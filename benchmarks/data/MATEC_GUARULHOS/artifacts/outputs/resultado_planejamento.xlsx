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'DIRETOS.DET'!$I$41</definedName>
    <definedName name="DIRETOS_RES_SEM_BDI">'DIRETOS.RES'!$I$8</definedName>
    <definedName name="DIRETOS_RES_COM_BDI">'DIRETOS.RES'!$N$8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PLANEJAMENTO!$I$8</definedName>
    <definedName name="TOTAL_COM_BDI">PLANEJAMENTO!$N$8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eap-1_3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eap-1_5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eap-1_1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MÃO DE OBRA</t>
        </is>
      </c>
      <c r="B4" s="11" t="inlineStr">
        <is>
          <t>MO-OPER-MOTO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MO-OPER-ROLO-COMP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MO-MOTOR-CAM-PIPA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5.98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MO-OPER-ROLO-COMP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7">
        <f>E7*F7</f>
        <v/>
      </c>
      <c r="H7" s="16" t="n">
        <v>5.98</v>
      </c>
      <c r="I7" s="17">
        <f>G7*H7</f>
        <v/>
      </c>
    </row>
    <row r="8">
      <c r="A8" s="11" t="inlineStr">
        <is>
          <t>MÃO DE OBRA</t>
        </is>
      </c>
      <c r="B8" s="11" t="inlineStr">
        <is>
          <t>MO-ENCARREG-TERRA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7">
        <f>E8*F8</f>
        <v/>
      </c>
      <c r="H8" s="16" t="n">
        <v>5.98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EQ-E0029</t>
        </is>
      </c>
      <c r="C9" s="11" t="inlineStr">
        <is>
          <t>Motoniveladora 140HP</t>
        </is>
      </c>
      <c r="D9" s="18" t="inlineStr">
        <is>
          <t>—</t>
        </is>
      </c>
      <c r="E9" s="16" t="n">
        <v>1</v>
      </c>
      <c r="F9" s="17" t="n">
        <v>43326.98</v>
      </c>
      <c r="G9" s="17">
        <f>E9*F9</f>
        <v/>
      </c>
      <c r="H9" s="16" t="n">
        <v>5.98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EQ-E0029</t>
        </is>
      </c>
      <c r="C10" s="11" t="inlineStr">
        <is>
          <t>Diesel S-10 (11.0 L/h)</t>
        </is>
      </c>
      <c r="D10" s="18" t="inlineStr">
        <is>
          <t>—</t>
        </is>
      </c>
      <c r="E10" s="16" t="n">
        <v>1</v>
      </c>
      <c r="F10" s="17" t="n">
        <v>14029.71</v>
      </c>
      <c r="G10" s="17">
        <f>E10*F10</f>
        <v/>
      </c>
      <c r="H10" s="16" t="n">
        <v>5.98</v>
      </c>
      <c r="I10" s="17">
        <f>G10*H10</f>
        <v/>
      </c>
    </row>
    <row r="11">
      <c r="A11" s="11" t="inlineStr">
        <is>
          <t>EQUIPAMENTO</t>
        </is>
      </c>
      <c r="B11" s="11" t="inlineStr">
        <is>
          <t>EQ-E0035</t>
        </is>
      </c>
      <c r="C11" s="11" t="inlineStr">
        <is>
          <t>Trator de esteiras 20T</t>
        </is>
      </c>
      <c r="D11" s="18" t="inlineStr">
        <is>
          <t>—</t>
        </is>
      </c>
      <c r="E11" s="16" t="n">
        <v>1</v>
      </c>
      <c r="F11" s="17" t="n">
        <v>21683.2</v>
      </c>
      <c r="G11" s="17">
        <f>E11*F11</f>
        <v/>
      </c>
      <c r="H11" s="16" t="n">
        <v>5.98</v>
      </c>
      <c r="I11" s="17">
        <f>G11*H11</f>
        <v/>
      </c>
    </row>
    <row r="12">
      <c r="A12" s="19" t="inlineStr">
        <is>
          <t>COMBUSTÍVEL</t>
        </is>
      </c>
      <c r="B12" s="11" t="inlineStr">
        <is>
          <t>EQ-E0035</t>
        </is>
      </c>
      <c r="C12" s="11" t="inlineStr">
        <is>
          <t>Diesel S-10 (18.0 L/h)</t>
        </is>
      </c>
      <c r="D12" s="18" t="inlineStr">
        <is>
          <t>—</t>
        </is>
      </c>
      <c r="E12" s="16" t="n">
        <v>1</v>
      </c>
      <c r="F12" s="17" t="n">
        <v>22957.71</v>
      </c>
      <c r="G12" s="17">
        <f>E12*F12</f>
        <v/>
      </c>
      <c r="H12" s="16" t="n">
        <v>5.98</v>
      </c>
      <c r="I12" s="17">
        <f>G12*H12</f>
        <v/>
      </c>
    </row>
    <row r="13">
      <c r="A13" s="11" t="inlineStr">
        <is>
          <t>EQUIPAMENTO</t>
        </is>
      </c>
      <c r="B13" s="11" t="inlineStr">
        <is>
          <t>EQ-E0010</t>
        </is>
      </c>
      <c r="C13" s="11" t="inlineStr">
        <is>
          <t>Caminhão Pipa 10.000L</t>
        </is>
      </c>
      <c r="D13" s="18" t="inlineStr">
        <is>
          <t>—</t>
        </is>
      </c>
      <c r="E13" s="16" t="n">
        <v>1</v>
      </c>
      <c r="F13" s="17" t="n">
        <v>19360</v>
      </c>
      <c r="G13" s="17">
        <f>E13*F13</f>
        <v/>
      </c>
      <c r="H13" s="16" t="n">
        <v>5.98</v>
      </c>
      <c r="I13" s="17">
        <f>G13*H13</f>
        <v/>
      </c>
    </row>
    <row r="14">
      <c r="A14" s="19" t="inlineStr">
        <is>
          <t>COMBUSTÍVEL</t>
        </is>
      </c>
      <c r="B14" s="11" t="inlineStr">
        <is>
          <t>EQ-E0010</t>
        </is>
      </c>
      <c r="C14" s="11" t="inlineStr">
        <is>
          <t>Diesel S-10 (2.0 L/h)</t>
        </is>
      </c>
      <c r="D14" s="18" t="inlineStr">
        <is>
          <t>—</t>
        </is>
      </c>
      <c r="E14" s="16" t="n">
        <v>1</v>
      </c>
      <c r="F14" s="17" t="n">
        <v>2550.86</v>
      </c>
      <c r="G14" s="17">
        <f>E14*F14</f>
        <v/>
      </c>
      <c r="H14" s="16" t="n">
        <v>5.98</v>
      </c>
      <c r="I14" s="17">
        <f>G14*H14</f>
        <v/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2">
        <f>SUM(G4:G14)</f>
        <v/>
      </c>
      <c r="H15" s="23" t="n">
        <v>5.98</v>
      </c>
      <c r="I15" s="22">
        <f>SUM(I4:I14)</f>
        <v/>
      </c>
    </row>
    <row r="16">
      <c r="A16" s="9" t="inlineStr">
        <is>
          <t>eap-1_2 — Corte e transporte interno</t>
        </is>
      </c>
    </row>
    <row r="17">
      <c r="A17" s="13" t="inlineStr">
        <is>
          <t>MÃO DE OBRA</t>
        </is>
      </c>
      <c r="B17" s="13" t="inlineStr">
        <is>
          <t>MO-OPERADOR-DE-MOTOSCRA</t>
        </is>
      </c>
      <c r="C17" s="13" t="inlineStr">
        <is>
          <t>Operador de Motoscraper</t>
        </is>
      </c>
      <c r="D17" s="24" t="inlineStr">
        <is>
          <t>DIRETO</t>
        </is>
      </c>
      <c r="E17" s="25" t="n">
        <v>1</v>
      </c>
      <c r="F17" s="26" t="n">
        <v>13892.78</v>
      </c>
      <c r="G17" s="26">
        <f>E17*F17</f>
        <v/>
      </c>
      <c r="H17" s="25" t="n">
        <v>5.98</v>
      </c>
      <c r="I17" s="26">
        <f>G17*H17</f>
        <v/>
      </c>
    </row>
    <row r="18">
      <c r="A18" s="13" t="inlineStr">
        <is>
          <t>MÃO DE OBRA</t>
        </is>
      </c>
      <c r="B18" s="13" t="inlineStr">
        <is>
          <t>MO-AJUDANTE</t>
        </is>
      </c>
      <c r="C18" s="13" t="inlineStr">
        <is>
          <t>Ajudante</t>
        </is>
      </c>
      <c r="D18" s="24" t="inlineStr">
        <is>
          <t>DIRETO</t>
        </is>
      </c>
      <c r="E18" s="25" t="n">
        <v>3</v>
      </c>
      <c r="F18" s="26" t="n">
        <v>5261.65</v>
      </c>
      <c r="G18" s="26">
        <f>E18*F18</f>
        <v/>
      </c>
      <c r="H18" s="25" t="n">
        <v>5.98</v>
      </c>
      <c r="I18" s="26">
        <f>G18*H18</f>
        <v/>
      </c>
    </row>
    <row r="19">
      <c r="A19" s="13" t="inlineStr">
        <is>
          <t>EQUIPAMENTO</t>
        </is>
      </c>
      <c r="B19" s="13" t="inlineStr">
        <is>
          <t>EQ-E0031</t>
        </is>
      </c>
      <c r="C19" s="13" t="inlineStr">
        <is>
          <t>Spread</t>
        </is>
      </c>
      <c r="D19" s="27" t="inlineStr">
        <is>
          <t>—</t>
        </is>
      </c>
      <c r="E19" s="25" t="n">
        <v>2</v>
      </c>
      <c r="F19" s="26" t="n">
        <v>6336</v>
      </c>
      <c r="G19" s="26">
        <f>E19*F19</f>
        <v/>
      </c>
      <c r="H19" s="25" t="n">
        <v>5.98</v>
      </c>
      <c r="I19" s="26">
        <f>G19*H19</f>
        <v/>
      </c>
    </row>
    <row r="20">
      <c r="A20" s="28" t="inlineStr">
        <is>
          <t>COMBUSTÍVEL</t>
        </is>
      </c>
      <c r="B20" s="13" t="inlineStr">
        <is>
          <t>EQ-E0031</t>
        </is>
      </c>
      <c r="C20" s="13" t="inlineStr">
        <is>
          <t>Diesel S-10 (2.0 L/h)</t>
        </is>
      </c>
      <c r="D20" s="27" t="inlineStr">
        <is>
          <t>—</t>
        </is>
      </c>
      <c r="E20" s="25" t="n">
        <v>2</v>
      </c>
      <c r="F20" s="26" t="n">
        <v>2550.86</v>
      </c>
      <c r="G20" s="26">
        <f>E20*F20</f>
        <v/>
      </c>
      <c r="H20" s="25" t="n">
        <v>5.98</v>
      </c>
      <c r="I20" s="26">
        <f>G20*H20</f>
        <v/>
      </c>
    </row>
    <row r="21">
      <c r="A21" s="20" t="inlineStr">
        <is>
          <t>Subtotal eap-1_2</t>
        </is>
      </c>
      <c r="B21" s="21" t="n"/>
      <c r="C21" s="21" t="n"/>
      <c r="D21" s="21" t="n"/>
      <c r="E21" s="21" t="n"/>
      <c r="F21" s="21" t="n"/>
      <c r="G21" s="22">
        <f>SUM(G17:G20)</f>
        <v/>
      </c>
      <c r="H21" s="23" t="n">
        <v>5.98</v>
      </c>
      <c r="I21" s="22">
        <f>SUM(I17:I20)</f>
        <v/>
      </c>
    </row>
    <row r="22">
      <c r="A22" s="9" t="inlineStr">
        <is>
          <t>eap-1_5 — Opcional - Transporte de solo já cortado, para outro terreno em Guarulhos com DMT de 8km.</t>
        </is>
      </c>
    </row>
    <row r="23">
      <c r="A23" s="11" t="inlineStr">
        <is>
          <t>MÃO DE OBRA</t>
        </is>
      </c>
      <c r="B23" s="11" t="inlineStr">
        <is>
          <t>P0040</t>
        </is>
      </c>
      <c r="C23" s="11" t="inlineStr">
        <is>
          <t>Operador de Escavadeira</t>
        </is>
      </c>
      <c r="D23" s="15" t="inlineStr">
        <is>
          <t>DIRETO</t>
        </is>
      </c>
      <c r="E23" s="16" t="n">
        <v>1</v>
      </c>
      <c r="F23" s="17" t="n">
        <v>10300</v>
      </c>
      <c r="G23" s="17">
        <f>E23*F23</f>
        <v/>
      </c>
      <c r="H23" s="16" t="n">
        <v>5.98</v>
      </c>
      <c r="I23" s="17">
        <f>G23*H23</f>
        <v/>
      </c>
    </row>
    <row r="24">
      <c r="A24" s="11" t="inlineStr">
        <is>
          <t>MÃO DE OBRA</t>
        </is>
      </c>
      <c r="B24" s="11" t="inlineStr">
        <is>
          <t>P0001</t>
        </is>
      </c>
      <c r="C24" s="11" t="inlineStr">
        <is>
          <t>Ajudante</t>
        </is>
      </c>
      <c r="D24" s="15" t="inlineStr">
        <is>
          <t>DIRETO</t>
        </is>
      </c>
      <c r="E24" s="16" t="n">
        <v>1</v>
      </c>
      <c r="F24" s="17" t="n">
        <v>4209.32</v>
      </c>
      <c r="G24" s="17">
        <f>E24*F24</f>
        <v/>
      </c>
      <c r="H24" s="16" t="n">
        <v>5.98</v>
      </c>
      <c r="I24" s="17">
        <f>G24*H24</f>
        <v/>
      </c>
    </row>
    <row r="25">
      <c r="A25" s="11" t="inlineStr">
        <is>
          <t>MÃO DE OBRA</t>
        </is>
      </c>
      <c r="B25" s="11" t="inlineStr">
        <is>
          <t>P0065</t>
        </is>
      </c>
      <c r="C25" s="11" t="inlineStr">
        <is>
          <t>Encarregado de Frente</t>
        </is>
      </c>
      <c r="D25" s="15" t="inlineStr">
        <is>
          <t>DIRETO</t>
        </is>
      </c>
      <c r="E25" s="16" t="n">
        <v>1</v>
      </c>
      <c r="F25" s="17" t="n">
        <v>7500</v>
      </c>
      <c r="G25" s="17">
        <f>E25*F25</f>
        <v/>
      </c>
      <c r="H25" s="16" t="n">
        <v>5.98</v>
      </c>
      <c r="I25" s="17">
        <f>G25*H25</f>
        <v/>
      </c>
    </row>
    <row r="26">
      <c r="A26" s="11" t="inlineStr">
        <is>
          <t>MÃO DE OBRA</t>
        </is>
      </c>
      <c r="B26" s="11" t="inlineStr">
        <is>
          <t>P0032</t>
        </is>
      </c>
      <c r="C26" s="11" t="inlineStr">
        <is>
          <t>Motorista de Caminhão Basculante</t>
        </is>
      </c>
      <c r="D26" s="15" t="inlineStr">
        <is>
          <t>DIRETO</t>
        </is>
      </c>
      <c r="E26" s="16" t="n">
        <v>7</v>
      </c>
      <c r="F26" s="17" t="n">
        <v>6341.17</v>
      </c>
      <c r="G26" s="17">
        <f>E26*F26</f>
        <v/>
      </c>
      <c r="H26" s="16" t="n">
        <v>5.98</v>
      </c>
      <c r="I26" s="17">
        <f>G26*H26</f>
        <v/>
      </c>
    </row>
    <row r="27">
      <c r="A27" s="11" t="inlineStr">
        <is>
          <t>EQUIPAMENTO</t>
        </is>
      </c>
      <c r="B27" s="11" t="inlineStr">
        <is>
          <t>EQ-E0015</t>
        </is>
      </c>
      <c r="C27" s="11" t="inlineStr">
        <is>
          <t>Distribuidor de Brita</t>
        </is>
      </c>
      <c r="D27" s="18" t="inlineStr">
        <is>
          <t>—</t>
        </is>
      </c>
      <c r="E27" s="16" t="n">
        <v>1</v>
      </c>
      <c r="F27" s="17" t="n">
        <v>3449.6</v>
      </c>
      <c r="G27" s="17">
        <f>E27*F27</f>
        <v/>
      </c>
      <c r="H27" s="16" t="n">
        <v>5.98</v>
      </c>
      <c r="I27" s="17">
        <f>G27*H27</f>
        <v/>
      </c>
    </row>
    <row r="28">
      <c r="A28" s="19" t="inlineStr">
        <is>
          <t>COMBUSTÍVEL</t>
        </is>
      </c>
      <c r="B28" s="11" t="inlineStr">
        <is>
          <t>EQ-E0015</t>
        </is>
      </c>
      <c r="C28" s="11" t="inlineStr">
        <is>
          <t>Diesel S-10 (1.5 L/h)</t>
        </is>
      </c>
      <c r="D28" s="18" t="inlineStr">
        <is>
          <t>—</t>
        </is>
      </c>
      <c r="E28" s="16" t="n">
        <v>1</v>
      </c>
      <c r="F28" s="17" t="n">
        <v>1913.14</v>
      </c>
      <c r="G28" s="17">
        <f>E28*F28</f>
        <v/>
      </c>
      <c r="H28" s="16" t="n">
        <v>5.98</v>
      </c>
      <c r="I28" s="17">
        <f>G28*H28</f>
        <v/>
      </c>
    </row>
    <row r="29">
      <c r="A29" s="11" t="inlineStr">
        <is>
          <t>EQUIPAMENTO</t>
        </is>
      </c>
      <c r="B29" s="11" t="inlineStr">
        <is>
          <t>EQ-E0002</t>
        </is>
      </c>
      <c r="C29" s="11" t="inlineStr">
        <is>
          <t>Betoneira 400L</t>
        </is>
      </c>
      <c r="D29" s="18" t="inlineStr">
        <is>
          <t>—</t>
        </is>
      </c>
      <c r="E29" s="16" t="n">
        <v>7</v>
      </c>
      <c r="F29" s="17" t="n">
        <v>607.2</v>
      </c>
      <c r="G29" s="17">
        <f>E29*F29</f>
        <v/>
      </c>
      <c r="H29" s="16" t="n">
        <v>5.98</v>
      </c>
      <c r="I29" s="17">
        <f>G29*H29</f>
        <v/>
      </c>
    </row>
    <row r="30">
      <c r="A30" s="19" t="inlineStr">
        <is>
          <t>COMBUSTÍVEL</t>
        </is>
      </c>
      <c r="B30" s="11" t="inlineStr">
        <is>
          <t>EQ-E0002</t>
        </is>
      </c>
      <c r="C30" s="11" t="inlineStr">
        <is>
          <t>Diesel S-10 (1.5 L/h)</t>
        </is>
      </c>
      <c r="D30" s="18" t="inlineStr">
        <is>
          <t>—</t>
        </is>
      </c>
      <c r="E30" s="16" t="n">
        <v>7</v>
      </c>
      <c r="F30" s="17" t="n">
        <v>1913.14</v>
      </c>
      <c r="G30" s="17">
        <f>E30*F30</f>
        <v/>
      </c>
      <c r="H30" s="16" t="n">
        <v>5.98</v>
      </c>
      <c r="I30" s="17">
        <f>G30*H30</f>
        <v/>
      </c>
    </row>
    <row r="31">
      <c r="A31" s="20" t="inlineStr">
        <is>
          <t>Subtotal eap-1_5</t>
        </is>
      </c>
      <c r="B31" s="21" t="n"/>
      <c r="C31" s="21" t="n"/>
      <c r="D31" s="21" t="n"/>
      <c r="E31" s="21" t="n"/>
      <c r="F31" s="21" t="n"/>
      <c r="G31" s="22">
        <f>SUM(G23:G30)</f>
        <v/>
      </c>
      <c r="H31" s="23" t="n">
        <v>5.98</v>
      </c>
      <c r="I31" s="22">
        <f>SUM(I23:I30)</f>
        <v/>
      </c>
    </row>
    <row r="32">
      <c r="A32" s="9" t="inlineStr">
        <is>
          <t>eap-1_1 — Remoção Superficial (20cm - Top Soil) - Excluso supressão vegetal</t>
        </is>
      </c>
    </row>
    <row r="33">
      <c r="A33" s="13" t="inlineStr">
        <is>
          <t>MÃO DE OBRA</t>
        </is>
      </c>
      <c r="B33" s="13" t="inlineStr">
        <is>
          <t>MO-OPER-ESCAV</t>
        </is>
      </c>
      <c r="C33" s="13" t="inlineStr">
        <is>
          <t>Operador de Escavadeira</t>
        </is>
      </c>
      <c r="D33" s="24" t="inlineStr">
        <is>
          <t>DIRETO</t>
        </is>
      </c>
      <c r="E33" s="25" t="n">
        <v>1</v>
      </c>
      <c r="F33" s="26" t="n">
        <v>12875</v>
      </c>
      <c r="G33" s="26">
        <f>E33*F33</f>
        <v/>
      </c>
      <c r="H33" s="25" t="n">
        <v>5.98</v>
      </c>
      <c r="I33" s="26">
        <f>G33*H33</f>
        <v/>
      </c>
    </row>
    <row r="34">
      <c r="A34" s="13" t="inlineStr">
        <is>
          <t>MÃO DE OBRA</t>
        </is>
      </c>
      <c r="B34" s="13" t="inlineStr">
        <is>
          <t>MO-OPER-TRATOR-EST</t>
        </is>
      </c>
      <c r="C34" s="13" t="inlineStr">
        <is>
          <t>Operador de Trator de Esteiras</t>
        </is>
      </c>
      <c r="D34" s="24" t="inlineStr">
        <is>
          <t>DIRETO</t>
        </is>
      </c>
      <c r="E34" s="25" t="n">
        <v>1</v>
      </c>
      <c r="F34" s="26" t="n">
        <v>12875</v>
      </c>
      <c r="G34" s="26">
        <f>E34*F34</f>
        <v/>
      </c>
      <c r="H34" s="25" t="n">
        <v>5.98</v>
      </c>
      <c r="I34" s="26">
        <f>G34*H34</f>
        <v/>
      </c>
    </row>
    <row r="35">
      <c r="A35" s="13" t="inlineStr">
        <is>
          <t>MÃO DE OBRA</t>
        </is>
      </c>
      <c r="B35" s="13" t="inlineStr">
        <is>
          <t>MO-AJUDANTE</t>
        </is>
      </c>
      <c r="C35" s="13" t="inlineStr">
        <is>
          <t>Ajudante</t>
        </is>
      </c>
      <c r="D35" s="24" t="inlineStr">
        <is>
          <t>DIRETO</t>
        </is>
      </c>
      <c r="E35" s="25" t="n">
        <v>3</v>
      </c>
      <c r="F35" s="26" t="n">
        <v>5261.65</v>
      </c>
      <c r="G35" s="26">
        <f>E35*F35</f>
        <v/>
      </c>
      <c r="H35" s="25" t="n">
        <v>5.98</v>
      </c>
      <c r="I35" s="26">
        <f>G35*H35</f>
        <v/>
      </c>
    </row>
    <row r="36">
      <c r="A36" s="13" t="inlineStr">
        <is>
          <t>EQUIPAMENTO</t>
        </is>
      </c>
      <c r="B36" s="13" t="inlineStr">
        <is>
          <t>EQ-E0016</t>
        </is>
      </c>
      <c r="C36" s="13" t="inlineStr">
        <is>
          <t>Escavadeira Hidráulica 22t</t>
        </is>
      </c>
      <c r="D36" s="27" t="inlineStr">
        <is>
          <t>—</t>
        </is>
      </c>
      <c r="E36" s="25" t="n">
        <v>1</v>
      </c>
      <c r="F36" s="26" t="n">
        <v>35639.3</v>
      </c>
      <c r="G36" s="26">
        <f>E36*F36</f>
        <v/>
      </c>
      <c r="H36" s="25" t="n">
        <v>5.98</v>
      </c>
      <c r="I36" s="26">
        <f>G36*H36</f>
        <v/>
      </c>
    </row>
    <row r="37">
      <c r="A37" s="13" t="inlineStr">
        <is>
          <t>EQUIPAMENTO</t>
        </is>
      </c>
      <c r="B37" s="13" t="inlineStr">
        <is>
          <t>EQ-E0024</t>
        </is>
      </c>
      <c r="C37" s="13" t="inlineStr">
        <is>
          <t>Trator de Esteiras 20t (300HP)</t>
        </is>
      </c>
      <c r="D37" s="27" t="inlineStr">
        <is>
          <t>—</t>
        </is>
      </c>
      <c r="E37" s="25" t="n">
        <v>1</v>
      </c>
      <c r="F37" s="26" t="n">
        <v>49477.12</v>
      </c>
      <c r="G37" s="26">
        <f>E37*F37</f>
        <v/>
      </c>
      <c r="H37" s="25" t="n">
        <v>5.98</v>
      </c>
      <c r="I37" s="26">
        <f>G37*H37</f>
        <v/>
      </c>
    </row>
    <row r="38">
      <c r="A38" s="28" t="inlineStr">
        <is>
          <t>COMBUSTÍVEL</t>
        </is>
      </c>
      <c r="B38" s="13" t="inlineStr">
        <is>
          <t>EQ-E0024</t>
        </is>
      </c>
      <c r="C38" s="13" t="inlineStr">
        <is>
          <t>Diesel S-10 (18.0 L/h)</t>
        </is>
      </c>
      <c r="D38" s="27" t="inlineStr">
        <is>
          <t>—</t>
        </is>
      </c>
      <c r="E38" s="25" t="n">
        <v>1</v>
      </c>
      <c r="F38" s="26" t="n">
        <v>22957.71</v>
      </c>
      <c r="G38" s="26">
        <f>E38*F38</f>
        <v/>
      </c>
      <c r="H38" s="25" t="n">
        <v>5.98</v>
      </c>
      <c r="I38" s="26">
        <f>G38*H38</f>
        <v/>
      </c>
    </row>
    <row r="39">
      <c r="A39" s="20" t="inlineStr">
        <is>
          <t>Subtotal eap-1_1</t>
        </is>
      </c>
      <c r="B39" s="21" t="n"/>
      <c r="C39" s="21" t="n"/>
      <c r="D39" s="21" t="n"/>
      <c r="E39" s="21" t="n"/>
      <c r="F39" s="21" t="n"/>
      <c r="G39" s="22">
        <f>SUM(G33:G38)</f>
        <v/>
      </c>
      <c r="H39" s="23" t="n">
        <v>5.98</v>
      </c>
      <c r="I39" s="22">
        <f>SUM(I33:I38)</f>
        <v/>
      </c>
    </row>
    <row r="41">
      <c r="A41" s="29" t="inlineStr">
        <is>
          <t>TOTAL DIRETO</t>
        </is>
      </c>
      <c r="I41" s="30">
        <f>I15+I21+I31+I39</f>
        <v/>
      </c>
    </row>
  </sheetData>
  <mergeCells count="6">
    <mergeCell ref="A32:I32"/>
    <mergeCell ref="A1:I1"/>
    <mergeCell ref="A41:H41"/>
    <mergeCell ref="A3:I3"/>
    <mergeCell ref="A22:I2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eap-1_3</t>
        </is>
      </c>
      <c r="B3" s="31" t="inlineStr">
        <is>
          <t>Aterro compactado / 98% e 100% P.N nas útimas 5 camadas</t>
        </is>
      </c>
      <c r="C3" s="31" t="inlineStr">
        <is>
          <t>m3</t>
        </is>
      </c>
      <c r="D3" s="32" t="n">
        <v>1000000</v>
      </c>
      <c r="E3" s="33" t="n">
        <v>364553.18</v>
      </c>
      <c r="F3" s="33" t="n">
        <v>504533.68</v>
      </c>
      <c r="G3" s="33" t="n">
        <v>236438.91</v>
      </c>
      <c r="H3" s="33" t="n">
        <v>0</v>
      </c>
      <c r="I3" s="33" t="n">
        <v>1105525.77</v>
      </c>
      <c r="J3" s="33" t="n">
        <v>490307.62</v>
      </c>
      <c r="K3" s="33" t="n">
        <v>678575.09</v>
      </c>
      <c r="L3" s="33" t="n">
        <v>317999.7</v>
      </c>
      <c r="M3" s="33" t="n">
        <v>0</v>
      </c>
      <c r="N3" s="33" t="n">
        <v>1486882.41</v>
      </c>
    </row>
    <row r="4">
      <c r="A4" s="34" t="inlineStr">
        <is>
          <t>eap-1_2</t>
        </is>
      </c>
      <c r="B4" s="34" t="inlineStr">
        <is>
          <t>Corte e transporte interno</t>
        </is>
      </c>
      <c r="C4" s="34" t="inlineStr">
        <is>
          <t>m3</t>
        </is>
      </c>
      <c r="D4" s="35" t="n">
        <v>1250000</v>
      </c>
      <c r="E4" s="36" t="n">
        <v>177472.83</v>
      </c>
      <c r="F4" s="36" t="n">
        <v>75778.56</v>
      </c>
      <c r="G4" s="36" t="n">
        <v>30508.29</v>
      </c>
      <c r="H4" s="36" t="n">
        <v>2333333.31</v>
      </c>
      <c r="I4" s="36" t="n">
        <v>2617092.98</v>
      </c>
      <c r="J4" s="36" t="n">
        <v>238692.96</v>
      </c>
      <c r="K4" s="36" t="n">
        <v>101918.75</v>
      </c>
      <c r="L4" s="36" t="n">
        <v>41032.27</v>
      </c>
      <c r="M4" s="36" t="n">
        <v>2799999.97</v>
      </c>
      <c r="N4" s="36" t="n">
        <v>3181643.96</v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544637.6</v>
      </c>
      <c r="F5" s="33" t="n">
        <v>0</v>
      </c>
      <c r="G5" s="33" t="n">
        <v>962201.4</v>
      </c>
      <c r="H5" s="33" t="n">
        <v>0</v>
      </c>
      <c r="I5" s="33" t="n">
        <v>1506839</v>
      </c>
      <c r="J5" s="33" t="n">
        <v>732513.0600000001</v>
      </c>
      <c r="K5" s="33" t="n">
        <v>0</v>
      </c>
      <c r="L5" s="33" t="n">
        <v>1294117.58</v>
      </c>
      <c r="M5" s="33" t="n">
        <v>0</v>
      </c>
      <c r="N5" s="33" t="n">
        <v>2026630.65</v>
      </c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248379</v>
      </c>
      <c r="F6" s="36" t="n">
        <v>508996.19</v>
      </c>
      <c r="G6" s="36" t="n">
        <v>137287.11</v>
      </c>
      <c r="H6" s="36" t="n">
        <v>74911.13</v>
      </c>
      <c r="I6" s="36" t="n">
        <v>969573.42</v>
      </c>
      <c r="J6" s="36" t="n">
        <v>334058.58</v>
      </c>
      <c r="K6" s="36" t="n">
        <v>684576.97</v>
      </c>
      <c r="L6" s="36" t="n">
        <v>184644.98</v>
      </c>
      <c r="M6" s="36" t="n">
        <v>89893.35000000001</v>
      </c>
      <c r="N6" s="36" t="n">
        <v>1293173.88</v>
      </c>
    </row>
    <row r="8">
      <c r="A8" s="29" t="inlineStr">
        <is>
          <t>TOTAL DIRETO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</row>
  </sheetData>
  <mergeCells count="2">
    <mergeCell ref="A8:D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3848060.32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675247.5600000001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631649.46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530586.9399999999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947590.71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947590.71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947590.71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947590.71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947590.71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947590.71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3848060.32</v>
      </c>
      <c r="D3" s="4" t="n">
        <v>22.37</v>
      </c>
      <c r="E3" s="17" t="n">
        <v>4709009.94</v>
      </c>
      <c r="F3" s="4" t="n">
        <v>67.68000000000001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675247.5600000001</v>
      </c>
      <c r="D4" s="7" t="n">
        <v>22.37</v>
      </c>
      <c r="E4" s="26" t="n">
        <v>826324.75</v>
      </c>
      <c r="F4" s="7" t="n">
        <v>11.88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631649.46</v>
      </c>
      <c r="D5" s="4" t="n">
        <v>22.37</v>
      </c>
      <c r="E5" s="17" t="n">
        <v>772972.1800000001</v>
      </c>
      <c r="F5" s="4" t="n">
        <v>11.11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530586.9399999999</v>
      </c>
      <c r="D6" s="7" t="n">
        <v>22.37</v>
      </c>
      <c r="E6" s="26" t="n">
        <v>649298.34</v>
      </c>
      <c r="F6" s="7" t="n">
        <v>9.33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6199031.17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5685544.28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91.72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7988330.9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71.17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eap-1_3</t>
        </is>
      </c>
      <c r="B3" s="43" t="inlineStr">
        <is>
          <t>Aterro compactado / 98% e 100% P.N nas útimas 5 camadas</t>
        </is>
      </c>
      <c r="C3" s="43" t="inlineStr">
        <is>
          <t>m3</t>
        </is>
      </c>
      <c r="D3" s="44" t="n">
        <v>1000000</v>
      </c>
      <c r="E3" s="45" t="n">
        <v>364553.18</v>
      </c>
      <c r="F3" s="45" t="n">
        <v>504533.68</v>
      </c>
      <c r="G3" s="45" t="n">
        <v>236438.91</v>
      </c>
      <c r="H3" s="45" t="n">
        <v>0</v>
      </c>
      <c r="I3" s="45" t="n">
        <v>1105525.77</v>
      </c>
      <c r="J3" s="45" t="n">
        <v>490307.62</v>
      </c>
      <c r="K3" s="45" t="n">
        <v>678575.09</v>
      </c>
      <c r="L3" s="45" t="n">
        <v>317999.7</v>
      </c>
      <c r="M3" s="45" t="n">
        <v>0</v>
      </c>
      <c r="N3" s="45" t="n">
        <v>1486882.41</v>
      </c>
      <c r="O3" s="43" t="inlineStr">
        <is>
          <t>B</t>
        </is>
      </c>
    </row>
    <row r="4">
      <c r="A4" s="46" t="inlineStr">
        <is>
          <t>eap-1_2</t>
        </is>
      </c>
      <c r="B4" s="46" t="inlineStr">
        <is>
          <t>Corte e transporte interno</t>
        </is>
      </c>
      <c r="C4" s="46" t="inlineStr">
        <is>
          <t>m3</t>
        </is>
      </c>
      <c r="D4" s="47" t="n">
        <v>1250000</v>
      </c>
      <c r="E4" s="48" t="n">
        <v>177472.83</v>
      </c>
      <c r="F4" s="48" t="n">
        <v>75778.56</v>
      </c>
      <c r="G4" s="48" t="n">
        <v>30508.29</v>
      </c>
      <c r="H4" s="48" t="n">
        <v>2333333.31</v>
      </c>
      <c r="I4" s="48" t="n">
        <v>2617092.98</v>
      </c>
      <c r="J4" s="48" t="n">
        <v>238692.96</v>
      </c>
      <c r="K4" s="48" t="n">
        <v>101918.75</v>
      </c>
      <c r="L4" s="48" t="n">
        <v>41032.27</v>
      </c>
      <c r="M4" s="48" t="n">
        <v>2799999.97</v>
      </c>
      <c r="N4" s="48" t="n">
        <v>3181643.96</v>
      </c>
      <c r="O4" s="46" t="inlineStr">
        <is>
          <t>A</t>
        </is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544637.6</v>
      </c>
      <c r="F5" s="33" t="n">
        <v>0</v>
      </c>
      <c r="G5" s="33" t="n">
        <v>962201.4</v>
      </c>
      <c r="H5" s="33" t="n">
        <v>0</v>
      </c>
      <c r="I5" s="33" t="n">
        <v>1506839</v>
      </c>
      <c r="J5" s="33" t="n">
        <v>732513.0600000001</v>
      </c>
      <c r="K5" s="33" t="n">
        <v>0</v>
      </c>
      <c r="L5" s="33" t="n">
        <v>1294117.58</v>
      </c>
      <c r="M5" s="33" t="n">
        <v>0</v>
      </c>
      <c r="N5" s="33" t="n">
        <v>2026630.65</v>
      </c>
      <c r="O5" s="31" t="inlineStr">
        <is>
          <t>C</t>
        </is>
      </c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248379</v>
      </c>
      <c r="F6" s="36" t="n">
        <v>508996.19</v>
      </c>
      <c r="G6" s="36" t="n">
        <v>137287.11</v>
      </c>
      <c r="H6" s="36" t="n">
        <v>74911.13</v>
      </c>
      <c r="I6" s="36" t="n">
        <v>969573.42</v>
      </c>
      <c r="J6" s="36" t="n">
        <v>334058.58</v>
      </c>
      <c r="K6" s="36" t="n">
        <v>684576.97</v>
      </c>
      <c r="L6" s="36" t="n">
        <v>184644.98</v>
      </c>
      <c r="M6" s="36" t="n">
        <v>89893.35000000001</v>
      </c>
      <c r="N6" s="36" t="n">
        <v>1293173.88</v>
      </c>
      <c r="O6" s="34" t="inlineStr">
        <is>
          <t>C</t>
        </is>
      </c>
    </row>
    <row r="8">
      <c r="A8" s="29" t="inlineStr">
        <is>
          <t>TOTAL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  <c r="O8" s="30">
        <f>SUM(O3:O7)</f>
        <v/>
      </c>
    </row>
  </sheetData>
  <mergeCells count="2">
    <mergeCell ref="A1:O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eap-1_3</t>
        </is>
      </c>
      <c r="B4" s="20" t="inlineStr">
        <is>
          <t>Aterro compactado / 98% e 100% P.N nas útimas 5 camadas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7</v>
      </c>
      <c r="F5" s="58" t="n">
        <v>7</v>
      </c>
      <c r="G5" s="58" t="n">
        <v>7</v>
      </c>
      <c r="H5" s="58" t="n">
        <v>7</v>
      </c>
      <c r="I5" s="58" t="n">
        <v>7</v>
      </c>
      <c r="J5" s="58" t="n">
        <v>7</v>
      </c>
      <c r="K5" s="58" t="n">
        <v>7</v>
      </c>
      <c r="L5" s="58" t="n">
        <v>7</v>
      </c>
      <c r="M5" s="58" t="n">
        <v>7</v>
      </c>
      <c r="N5" s="58" t="n">
        <v>7</v>
      </c>
      <c r="O5" s="58" t="n">
        <v>7</v>
      </c>
      <c r="P5" s="58" t="n">
        <v>7</v>
      </c>
      <c r="Q5" s="58" t="n">
        <v>7</v>
      </c>
      <c r="R5" s="58" t="n">
        <v>7</v>
      </c>
      <c r="S5" s="58" t="n">
        <v>7</v>
      </c>
      <c r="T5" s="58" t="n">
        <v>7</v>
      </c>
      <c r="U5" s="58" t="n">
        <v>7</v>
      </c>
      <c r="V5" s="58" t="n">
        <v>7</v>
      </c>
      <c r="W5" s="58" t="n">
        <v>7</v>
      </c>
      <c r="X5" s="58" t="n">
        <v>7</v>
      </c>
      <c r="Y5" s="58" t="n">
        <v>7</v>
      </c>
      <c r="Z5" s="58" t="n">
        <v>7</v>
      </c>
      <c r="AA5" s="58" t="n">
        <v>7</v>
      </c>
      <c r="AB5" s="58" t="n">
        <v>7</v>
      </c>
      <c r="AC5" s="58" t="n">
        <v>7</v>
      </c>
      <c r="AD5" s="58" t="n">
        <v>7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46688.23</v>
      </c>
      <c r="F6" s="33" t="n">
        <v>54472.32</v>
      </c>
      <c r="G6" s="33" t="n">
        <v>46688.23</v>
      </c>
      <c r="H6" s="33" t="n">
        <v>38909.58</v>
      </c>
      <c r="I6" s="33" t="n">
        <v>46688.23</v>
      </c>
      <c r="J6" s="33" t="n">
        <v>38909.58</v>
      </c>
      <c r="K6" s="33" t="n">
        <v>46688.23</v>
      </c>
      <c r="L6" s="33" t="n">
        <v>31125.48</v>
      </c>
      <c r="M6" s="33" t="n">
        <v>38909.58</v>
      </c>
      <c r="N6" s="33" t="n">
        <v>31125.48</v>
      </c>
      <c r="O6" s="33" t="n">
        <v>46688.23</v>
      </c>
      <c r="P6" s="33" t="n">
        <v>31125.48</v>
      </c>
      <c r="Q6" s="33" t="n">
        <v>31125.48</v>
      </c>
      <c r="R6" s="33" t="n">
        <v>46688.23</v>
      </c>
      <c r="S6" s="33" t="n">
        <v>54472.32</v>
      </c>
      <c r="T6" s="33" t="n">
        <v>46688.23</v>
      </c>
      <c r="U6" s="33" t="n">
        <v>46688.23</v>
      </c>
      <c r="V6" s="33" t="n">
        <v>46688.23</v>
      </c>
      <c r="W6" s="33" t="n">
        <v>46688.23</v>
      </c>
      <c r="X6" s="33" t="n">
        <v>54472.32</v>
      </c>
      <c r="Y6" s="33" t="n">
        <v>38909.58</v>
      </c>
      <c r="Z6" s="33" t="n">
        <v>54472.32</v>
      </c>
      <c r="AA6" s="33" t="n">
        <v>35088.22</v>
      </c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46688.23</v>
      </c>
      <c r="F7" s="33" t="n">
        <v>101160.55</v>
      </c>
      <c r="G7" s="33" t="n">
        <v>147848.77</v>
      </c>
      <c r="H7" s="33" t="n">
        <v>186758.35</v>
      </c>
      <c r="I7" s="33" t="n">
        <v>233446.57</v>
      </c>
      <c r="J7" s="33" t="n">
        <v>272356.15</v>
      </c>
      <c r="K7" s="33" t="n">
        <v>319044.38</v>
      </c>
      <c r="L7" s="33" t="n">
        <v>350169.86</v>
      </c>
      <c r="M7" s="33" t="n">
        <v>389079.44</v>
      </c>
      <c r="N7" s="33" t="n">
        <v>420204.92</v>
      </c>
      <c r="O7" s="33" t="n">
        <v>466893.15</v>
      </c>
      <c r="P7" s="33" t="n">
        <v>498018.63</v>
      </c>
      <c r="Q7" s="33" t="n">
        <v>529144.12</v>
      </c>
      <c r="R7" s="33" t="n">
        <v>575832.34</v>
      </c>
      <c r="S7" s="33" t="n">
        <v>630304.66</v>
      </c>
      <c r="T7" s="33" t="n">
        <v>676992.89</v>
      </c>
      <c r="U7" s="33" t="n">
        <v>723681.11</v>
      </c>
      <c r="V7" s="33" t="n">
        <v>770369.34</v>
      </c>
      <c r="W7" s="33" t="n">
        <v>817057.5600000001</v>
      </c>
      <c r="X7" s="33" t="n">
        <v>871529.88</v>
      </c>
      <c r="Y7" s="33" t="n">
        <v>910439.46</v>
      </c>
      <c r="Z7" s="33" t="n">
        <v>964911.78</v>
      </c>
      <c r="AA7" s="33" t="n">
        <v>1000000</v>
      </c>
      <c r="AB7" s="33" t="n">
        <v>1000000</v>
      </c>
      <c r="AC7" s="33" t="n">
        <v>1000000</v>
      </c>
      <c r="AD7" s="33" t="n">
        <v>1000000</v>
      </c>
      <c r="AE7" s="33" t="n">
        <v>1000000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Corte e transporte interno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209</v>
      </c>
      <c r="F10" s="67" t="n">
        <v>209</v>
      </c>
      <c r="G10" s="67" t="n">
        <v>209</v>
      </c>
      <c r="H10" s="67" t="n">
        <v>209</v>
      </c>
      <c r="I10" s="67" t="n">
        <v>209</v>
      </c>
      <c r="J10" s="67" t="n">
        <v>209</v>
      </c>
      <c r="K10" s="67" t="n">
        <v>209</v>
      </c>
      <c r="L10" s="67" t="n">
        <v>209</v>
      </c>
      <c r="M10" s="67" t="n">
        <v>209</v>
      </c>
      <c r="N10" s="67" t="n">
        <v>209</v>
      </c>
      <c r="O10" s="67" t="n">
        <v>209</v>
      </c>
      <c r="P10" s="67" t="n">
        <v>209</v>
      </c>
      <c r="Q10" s="67" t="n">
        <v>209</v>
      </c>
      <c r="R10" s="67" t="n">
        <v>209</v>
      </c>
      <c r="S10" s="67" t="n">
        <v>209</v>
      </c>
      <c r="T10" s="67" t="n">
        <v>209</v>
      </c>
      <c r="U10" s="67" t="n">
        <v>209</v>
      </c>
      <c r="V10" s="67" t="n">
        <v>209</v>
      </c>
      <c r="W10" s="67" t="n">
        <v>209</v>
      </c>
      <c r="X10" s="67" t="n">
        <v>209</v>
      </c>
      <c r="Y10" s="67" t="n">
        <v>209</v>
      </c>
      <c r="Z10" s="67" t="n">
        <v>209</v>
      </c>
      <c r="AA10" s="67" t="n">
        <v>209</v>
      </c>
      <c r="AB10" s="67" t="n">
        <v>209</v>
      </c>
      <c r="AC10" s="67" t="n">
        <v>209</v>
      </c>
      <c r="AD10" s="67" t="n">
        <v>209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51590.56</v>
      </c>
      <c r="F11" s="36" t="n">
        <v>60192</v>
      </c>
      <c r="G11" s="36" t="n">
        <v>51590.56</v>
      </c>
      <c r="H11" s="36" t="n">
        <v>42995.15</v>
      </c>
      <c r="I11" s="36" t="n">
        <v>51590.56</v>
      </c>
      <c r="J11" s="36" t="n">
        <v>42995.15</v>
      </c>
      <c r="K11" s="36" t="n">
        <v>51590.56</v>
      </c>
      <c r="L11" s="36" t="n">
        <v>34393.71</v>
      </c>
      <c r="M11" s="36" t="n">
        <v>42995.15</v>
      </c>
      <c r="N11" s="36" t="n">
        <v>34393.71</v>
      </c>
      <c r="O11" s="36" t="n">
        <v>51590.56</v>
      </c>
      <c r="P11" s="36" t="n">
        <v>34393.71</v>
      </c>
      <c r="Q11" s="36" t="n">
        <v>34393.71</v>
      </c>
      <c r="R11" s="36" t="n">
        <v>51590.56</v>
      </c>
      <c r="S11" s="36" t="n">
        <v>60192</v>
      </c>
      <c r="T11" s="36" t="n">
        <v>51590.56</v>
      </c>
      <c r="U11" s="36" t="n">
        <v>51590.56</v>
      </c>
      <c r="V11" s="36" t="n">
        <v>51590.56</v>
      </c>
      <c r="W11" s="36" t="n">
        <v>51590.56</v>
      </c>
      <c r="X11" s="36" t="n">
        <v>60192</v>
      </c>
      <c r="Y11" s="36" t="n">
        <v>42995.15</v>
      </c>
      <c r="Z11" s="36" t="n">
        <v>60192</v>
      </c>
      <c r="AA11" s="36" t="n">
        <v>60192</v>
      </c>
      <c r="AB11" s="36" t="n">
        <v>60192</v>
      </c>
      <c r="AC11" s="36" t="n">
        <v>60192</v>
      </c>
      <c r="AD11" s="36" t="n">
        <v>3194.95</v>
      </c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51590.56</v>
      </c>
      <c r="F12" s="36" t="n">
        <v>111782.56</v>
      </c>
      <c r="G12" s="36" t="n">
        <v>163373.13</v>
      </c>
      <c r="H12" s="36" t="n">
        <v>206368.27</v>
      </c>
      <c r="I12" s="36" t="n">
        <v>257958.84</v>
      </c>
      <c r="J12" s="36" t="n">
        <v>300953.98</v>
      </c>
      <c r="K12" s="36" t="n">
        <v>352544.54</v>
      </c>
      <c r="L12" s="36" t="n">
        <v>386938.25</v>
      </c>
      <c r="M12" s="36" t="n">
        <v>429933.4</v>
      </c>
      <c r="N12" s="36" t="n">
        <v>464327.11</v>
      </c>
      <c r="O12" s="36" t="n">
        <v>515917.67</v>
      </c>
      <c r="P12" s="36" t="n">
        <v>550311.38</v>
      </c>
      <c r="Q12" s="36" t="n">
        <v>584705.09</v>
      </c>
      <c r="R12" s="36" t="n">
        <v>636295.65</v>
      </c>
      <c r="S12" s="36" t="n">
        <v>696487.65</v>
      </c>
      <c r="T12" s="36" t="n">
        <v>748078.21</v>
      </c>
      <c r="U12" s="36" t="n">
        <v>799668.78</v>
      </c>
      <c r="V12" s="36" t="n">
        <v>851259.34</v>
      </c>
      <c r="W12" s="36" t="n">
        <v>902849.9</v>
      </c>
      <c r="X12" s="36" t="n">
        <v>963041.9</v>
      </c>
      <c r="Y12" s="36" t="n">
        <v>1006037.05</v>
      </c>
      <c r="Z12" s="36" t="n">
        <v>1066229.05</v>
      </c>
      <c r="AA12" s="36" t="n">
        <v>1126421.05</v>
      </c>
      <c r="AB12" s="36" t="n">
        <v>1186613.05</v>
      </c>
      <c r="AC12" s="36" t="n">
        <v>1246805.05</v>
      </c>
      <c r="AD12" s="36" t="n">
        <v>1250000</v>
      </c>
      <c r="AE12" s="36" t="n">
        <v>1250000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eap-1_5</t>
        </is>
      </c>
      <c r="B14" s="20" t="inlineStr">
        <is>
          <t>Opcional - Transporte de solo já cortado, para outro terreno em Guarulhos com DMT de 8km.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58" t="n">
        <v>1</v>
      </c>
      <c r="N15" s="58" t="n">
        <v>1</v>
      </c>
      <c r="O15" s="58" t="n">
        <v>1</v>
      </c>
      <c r="P15" s="58" t="n">
        <v>1</v>
      </c>
      <c r="Q15" s="58" t="n">
        <v>1</v>
      </c>
      <c r="R15" s="58" t="n">
        <v>1</v>
      </c>
      <c r="S15" s="58" t="n">
        <v>1</v>
      </c>
      <c r="T15" s="58" t="n">
        <v>1</v>
      </c>
      <c r="U15" s="58" t="n">
        <v>1</v>
      </c>
      <c r="V15" s="58" t="n">
        <v>1</v>
      </c>
      <c r="W15" s="58" t="n">
        <v>1</v>
      </c>
      <c r="X15" s="58" t="n">
        <v>1</v>
      </c>
      <c r="Y15" s="58" t="n">
        <v>1</v>
      </c>
      <c r="Z15" s="58" t="n">
        <v>1</v>
      </c>
      <c r="AA15" s="58" t="n">
        <v>1</v>
      </c>
      <c r="AB15" s="58" t="n">
        <v>1</v>
      </c>
      <c r="AC15" s="58" t="n">
        <v>1</v>
      </c>
      <c r="AD15" s="58" t="n">
        <v>1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9608.110000000001</v>
      </c>
      <c r="F16" s="33" t="n">
        <v>11210.02</v>
      </c>
      <c r="G16" s="33" t="n">
        <v>9608.110000000001</v>
      </c>
      <c r="H16" s="33" t="n">
        <v>8007.32</v>
      </c>
      <c r="I16" s="33" t="n">
        <v>9608.110000000001</v>
      </c>
      <c r="J16" s="33" t="n">
        <v>8007.32</v>
      </c>
      <c r="K16" s="33" t="n">
        <v>9608.110000000001</v>
      </c>
      <c r="L16" s="33" t="n">
        <v>6405.41</v>
      </c>
      <c r="M16" s="33" t="n">
        <v>8007.32</v>
      </c>
      <c r="N16" s="33" t="n">
        <v>6405.41</v>
      </c>
      <c r="O16" s="33" t="n">
        <v>9608.110000000001</v>
      </c>
      <c r="P16" s="33" t="n">
        <v>6405.41</v>
      </c>
      <c r="Q16" s="33" t="n">
        <v>6405.41</v>
      </c>
      <c r="R16" s="33" t="n">
        <v>9608.110000000001</v>
      </c>
      <c r="S16" s="33" t="n">
        <v>11210.02</v>
      </c>
      <c r="T16" s="33" t="n">
        <v>9608.110000000001</v>
      </c>
      <c r="U16" s="33" t="n">
        <v>9608.110000000001</v>
      </c>
      <c r="V16" s="33" t="n">
        <v>9608.110000000001</v>
      </c>
      <c r="W16" s="33" t="n">
        <v>9608.110000000001</v>
      </c>
      <c r="X16" s="33" t="n">
        <v>11210.02</v>
      </c>
      <c r="Y16" s="33" t="n">
        <v>8007.32</v>
      </c>
      <c r="Z16" s="33" t="n">
        <v>11210.02</v>
      </c>
      <c r="AA16" s="33" t="n">
        <v>1427.95</v>
      </c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9608.110000000001</v>
      </c>
      <c r="F17" s="33" t="n">
        <v>20818.13</v>
      </c>
      <c r="G17" s="33" t="n">
        <v>30426.24</v>
      </c>
      <c r="H17" s="33" t="n">
        <v>38433.55</v>
      </c>
      <c r="I17" s="33" t="n">
        <v>48041.66</v>
      </c>
      <c r="J17" s="33" t="n">
        <v>56048.98</v>
      </c>
      <c r="K17" s="33" t="n">
        <v>65657.09</v>
      </c>
      <c r="L17" s="33" t="n">
        <v>72062.49000000001</v>
      </c>
      <c r="M17" s="33" t="n">
        <v>80069.81</v>
      </c>
      <c r="N17" s="33" t="n">
        <v>86475.21000000001</v>
      </c>
      <c r="O17" s="33" t="n">
        <v>96083.32000000001</v>
      </c>
      <c r="P17" s="33" t="n">
        <v>102488.73</v>
      </c>
      <c r="Q17" s="33" t="n">
        <v>108894.13</v>
      </c>
      <c r="R17" s="33" t="n">
        <v>118502.24</v>
      </c>
      <c r="S17" s="33" t="n">
        <v>129712.26</v>
      </c>
      <c r="T17" s="33" t="n">
        <v>139320.37</v>
      </c>
      <c r="U17" s="33" t="n">
        <v>148928.48</v>
      </c>
      <c r="V17" s="33" t="n">
        <v>158536.58</v>
      </c>
      <c r="W17" s="33" t="n">
        <v>168144.69</v>
      </c>
      <c r="X17" s="33" t="n">
        <v>179354.71</v>
      </c>
      <c r="Y17" s="33" t="n">
        <v>187362.03</v>
      </c>
      <c r="Z17" s="33" t="n">
        <v>198572.05</v>
      </c>
      <c r="AA17" s="33" t="n">
        <v>200000</v>
      </c>
      <c r="AB17" s="33" t="n">
        <v>200000</v>
      </c>
      <c r="AC17" s="33" t="n">
        <v>200000</v>
      </c>
      <c r="AD17" s="33" t="n">
        <v>200000</v>
      </c>
      <c r="AE17" s="33" t="n">
        <v>200000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eap-1_1</t>
        </is>
      </c>
      <c r="B19" s="61" t="inlineStr">
        <is>
          <t>Remoção Superficial (20cm - Top Soil) - Excluso supressão vegetal</t>
        </is>
      </c>
      <c r="C19" s="62" t="inlineStr">
        <is>
          <t>m2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1</v>
      </c>
      <c r="F20" s="67" t="n">
        <v>1</v>
      </c>
      <c r="G20" s="67" t="n">
        <v>1</v>
      </c>
      <c r="H20" s="67" t="n">
        <v>1</v>
      </c>
      <c r="I20" s="67" t="n">
        <v>1</v>
      </c>
      <c r="J20" s="67" t="n">
        <v>1</v>
      </c>
      <c r="K20" s="67" t="n">
        <v>1</v>
      </c>
      <c r="L20" s="67" t="n">
        <v>1</v>
      </c>
      <c r="M20" s="67" t="n">
        <v>1</v>
      </c>
      <c r="N20" s="67" t="n">
        <v>1</v>
      </c>
      <c r="O20" s="67" t="n">
        <v>1</v>
      </c>
      <c r="P20" s="67" t="n">
        <v>1</v>
      </c>
      <c r="Q20" s="67" t="n">
        <v>1</v>
      </c>
      <c r="R20" s="67" t="n">
        <v>1</v>
      </c>
      <c r="S20" s="67" t="n">
        <v>1</v>
      </c>
      <c r="T20" s="67" t="n">
        <v>1</v>
      </c>
      <c r="U20" s="67" t="n">
        <v>1</v>
      </c>
      <c r="V20" s="67" t="n">
        <v>1</v>
      </c>
      <c r="W20" s="67" t="n">
        <v>1</v>
      </c>
      <c r="X20" s="67" t="n">
        <v>1</v>
      </c>
      <c r="Y20" s="67" t="n">
        <v>1</v>
      </c>
      <c r="Z20" s="67" t="n">
        <v>1</v>
      </c>
      <c r="AA20" s="67" t="n">
        <v>1</v>
      </c>
      <c r="AB20" s="67" t="n">
        <v>1</v>
      </c>
      <c r="AC20" s="67" t="n">
        <v>1</v>
      </c>
      <c r="AD20" s="67" t="n">
        <v>1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14399.28</v>
      </c>
      <c r="F21" s="36" t="n">
        <v>16800</v>
      </c>
      <c r="G21" s="36" t="n">
        <v>14399.28</v>
      </c>
      <c r="H21" s="36" t="n">
        <v>12000.24</v>
      </c>
      <c r="I21" s="36" t="n">
        <v>14399.28</v>
      </c>
      <c r="J21" s="36" t="n">
        <v>12000.24</v>
      </c>
      <c r="K21" s="36" t="n">
        <v>14399.28</v>
      </c>
      <c r="L21" s="36" t="n">
        <v>9599.52</v>
      </c>
      <c r="M21" s="36" t="n">
        <v>12000.24</v>
      </c>
      <c r="N21" s="36" t="n">
        <v>9599.52</v>
      </c>
      <c r="O21" s="36" t="n">
        <v>14399.28</v>
      </c>
      <c r="P21" s="36" t="n">
        <v>9599.52</v>
      </c>
      <c r="Q21" s="36" t="n">
        <v>9599.52</v>
      </c>
      <c r="R21" s="36" t="n">
        <v>14399.28</v>
      </c>
      <c r="S21" s="36" t="n">
        <v>16800</v>
      </c>
      <c r="T21" s="36" t="n">
        <v>14399.28</v>
      </c>
      <c r="U21" s="36" t="n">
        <v>14399.28</v>
      </c>
      <c r="V21" s="36" t="n">
        <v>14399.28</v>
      </c>
      <c r="W21" s="36" t="n">
        <v>7407.68</v>
      </c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14399.28</v>
      </c>
      <c r="F22" s="36" t="n">
        <v>31199.28</v>
      </c>
      <c r="G22" s="36" t="n">
        <v>45598.56</v>
      </c>
      <c r="H22" s="36" t="n">
        <v>57598.8</v>
      </c>
      <c r="I22" s="36" t="n">
        <v>71998.08</v>
      </c>
      <c r="J22" s="36" t="n">
        <v>83998.32000000001</v>
      </c>
      <c r="K22" s="36" t="n">
        <v>98397.60000000001</v>
      </c>
      <c r="L22" s="36" t="n">
        <v>107997.12</v>
      </c>
      <c r="M22" s="36" t="n">
        <v>119997.36</v>
      </c>
      <c r="N22" s="36" t="n">
        <v>129596.88</v>
      </c>
      <c r="O22" s="36" t="n">
        <v>143996.16</v>
      </c>
      <c r="P22" s="36" t="n">
        <v>153595.68</v>
      </c>
      <c r="Q22" s="36" t="n">
        <v>163195.2</v>
      </c>
      <c r="R22" s="36" t="n">
        <v>177594.48</v>
      </c>
      <c r="S22" s="36" t="n">
        <v>194394.48</v>
      </c>
      <c r="T22" s="36" t="n">
        <v>208793.76</v>
      </c>
      <c r="U22" s="36" t="n">
        <v>223193.04</v>
      </c>
      <c r="V22" s="36" t="n">
        <v>237592.32</v>
      </c>
      <c r="W22" s="36" t="n">
        <v>245000</v>
      </c>
      <c r="X22" s="36" t="n">
        <v>245000</v>
      </c>
      <c r="Y22" s="36" t="n">
        <v>245000</v>
      </c>
      <c r="Z22" s="36" t="n">
        <v>245000</v>
      </c>
      <c r="AA22" s="36" t="n">
        <v>245000</v>
      </c>
      <c r="AB22" s="36" t="n">
        <v>245000</v>
      </c>
      <c r="AC22" s="36" t="n">
        <v>245000</v>
      </c>
      <c r="AD22" s="36" t="n">
        <v>245000</v>
      </c>
      <c r="AE22" s="36" t="n">
        <v>245000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eap-1_3</t>
        </is>
      </c>
      <c r="B3" s="70" t="inlineStr">
        <is>
          <t>Aterro compactado / 98% e 100% P.N nas útimas 5 camadas</t>
        </is>
      </c>
      <c r="C3" s="18" t="inlineStr">
        <is>
          <t>m3</t>
        </is>
      </c>
      <c r="D3" s="32" t="n">
        <v>1000000</v>
      </c>
      <c r="E3" s="32" t="n">
        <v>46688.23</v>
      </c>
      <c r="F3" s="32" t="n">
        <v>186758.36</v>
      </c>
      <c r="G3" s="32" t="n">
        <v>155632.87</v>
      </c>
      <c r="H3" s="32" t="n">
        <v>186752.9</v>
      </c>
      <c r="I3" s="32" t="n">
        <v>194537.01</v>
      </c>
      <c r="J3" s="32" t="n">
        <v>194542.45</v>
      </c>
      <c r="K3" s="32" t="n">
        <v>35088.22</v>
      </c>
    </row>
    <row r="4">
      <c r="A4" s="13" t="inlineStr">
        <is>
          <t>eap-1_2</t>
        </is>
      </c>
      <c r="B4" s="71" t="inlineStr">
        <is>
          <t>Corte e transporte interno</t>
        </is>
      </c>
      <c r="C4" s="27" t="inlineStr">
        <is>
          <t>m3</t>
        </is>
      </c>
      <c r="D4" s="35" t="n">
        <v>1250000</v>
      </c>
      <c r="E4" s="35" t="n">
        <v>51590.56</v>
      </c>
      <c r="F4" s="35" t="n">
        <v>206368.27</v>
      </c>
      <c r="G4" s="35" t="n">
        <v>171974.57</v>
      </c>
      <c r="H4" s="35" t="n">
        <v>206362.25</v>
      </c>
      <c r="I4" s="35" t="n">
        <v>214963.68</v>
      </c>
      <c r="J4" s="35" t="n">
        <v>214969.71</v>
      </c>
      <c r="K4" s="35" t="n">
        <v>183770.95</v>
      </c>
    </row>
    <row r="5">
      <c r="A5" s="11" t="inlineStr">
        <is>
          <t>eap-1_5</t>
        </is>
      </c>
      <c r="B5" s="70" t="inlineStr">
        <is>
          <t>Opcional - Transporte de solo já cortado, para outro terreno em Guarulhos com DMT de 8km.</t>
        </is>
      </c>
      <c r="C5" s="18" t="inlineStr">
        <is>
          <t>m3</t>
        </is>
      </c>
      <c r="D5" s="32" t="n">
        <v>200000</v>
      </c>
      <c r="E5" s="32" t="n">
        <v>9608.110000000001</v>
      </c>
      <c r="F5" s="32" t="n">
        <v>38433.56</v>
      </c>
      <c r="G5" s="32" t="n">
        <v>32028.16</v>
      </c>
      <c r="H5" s="32" t="n">
        <v>38432.45</v>
      </c>
      <c r="I5" s="32" t="n">
        <v>40034.35</v>
      </c>
      <c r="J5" s="32" t="n">
        <v>40035.47</v>
      </c>
      <c r="K5" s="32" t="n">
        <v>1427.95</v>
      </c>
    </row>
    <row r="6">
      <c r="A6" s="13" t="inlineStr">
        <is>
          <t>eap-1_1</t>
        </is>
      </c>
      <c r="B6" s="71" t="inlineStr">
        <is>
          <t>Remoção Superficial (20cm - Top Soil) - Excluso supressão vegetal</t>
        </is>
      </c>
      <c r="C6" s="27" t="inlineStr">
        <is>
          <t>m2</t>
        </is>
      </c>
      <c r="D6" s="35" t="n">
        <v>245000</v>
      </c>
      <c r="E6" s="35" t="n">
        <v>14399.28</v>
      </c>
      <c r="F6" s="35" t="n">
        <v>57598.8</v>
      </c>
      <c r="G6" s="35" t="n">
        <v>47999.28</v>
      </c>
      <c r="H6" s="35" t="n">
        <v>57597.12</v>
      </c>
      <c r="I6" s="35" t="n">
        <v>59997.84</v>
      </c>
      <c r="J6" s="35" t="n">
        <v>7407.68</v>
      </c>
      <c r="K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eap-1_3</t>
        </is>
      </c>
      <c r="B4" s="11" t="inlineStr">
        <is>
          <t>CPU-TERRA-ATI-017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6" t="n">
        <v>5.98</v>
      </c>
      <c r="H4" s="16" t="n">
        <v>1</v>
      </c>
      <c r="I4" s="17" t="n">
        <v>103790.38</v>
      </c>
    </row>
    <row r="5">
      <c r="A5" s="11" t="inlineStr">
        <is>
          <t>eap-1_3</t>
        </is>
      </c>
      <c r="B5" s="11" t="inlineStr">
        <is>
          <t>CPU-TERRA-ATI-017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6" t="n">
        <v>5.98</v>
      </c>
      <c r="H5" s="16" t="n">
        <v>1</v>
      </c>
      <c r="I5" s="17" t="n">
        <v>63898.33</v>
      </c>
    </row>
    <row r="6">
      <c r="A6" s="11" t="inlineStr">
        <is>
          <t>eap-1_3</t>
        </is>
      </c>
      <c r="B6" s="11" t="inlineStr">
        <is>
          <t>CPU-TERRA-ATI-017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5.98</v>
      </c>
      <c r="H6" s="16" t="n">
        <v>1</v>
      </c>
      <c r="I6" s="17" t="n">
        <v>63898.33</v>
      </c>
    </row>
    <row r="7">
      <c r="A7" s="11" t="inlineStr">
        <is>
          <t>eap-1_3</t>
        </is>
      </c>
      <c r="B7" s="11" t="inlineStr">
        <is>
          <t>CPU-TERRA-ATI-017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6" t="n">
        <v>5.98</v>
      </c>
      <c r="H7" s="16" t="n">
        <v>1</v>
      </c>
      <c r="I7" s="17" t="n">
        <v>63898.33</v>
      </c>
    </row>
    <row r="8">
      <c r="A8" s="11" t="inlineStr">
        <is>
          <t>eap-1_3</t>
        </is>
      </c>
      <c r="B8" s="11" t="inlineStr">
        <is>
          <t>CPU-TERRA-ATI-017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6" t="n">
        <v>5.98</v>
      </c>
      <c r="H8" s="16" t="n">
        <v>1</v>
      </c>
      <c r="I8" s="17" t="n">
        <v>69067.8</v>
      </c>
    </row>
    <row r="9">
      <c r="A9" s="11" t="inlineStr">
        <is>
          <t>eap-1_3</t>
        </is>
      </c>
      <c r="B9" s="11" t="inlineStr">
        <is>
          <t>EQ-E0029</t>
        </is>
      </c>
      <c r="C9" s="11" t="inlineStr">
        <is>
          <t>Motoniveladora 140HP [EQ]</t>
        </is>
      </c>
      <c r="D9" s="72" t="inlineStr">
        <is>
          <t>EQ</t>
        </is>
      </c>
      <c r="E9" s="16" t="n">
        <v>1</v>
      </c>
      <c r="F9" s="17" t="n">
        <v>43326.98</v>
      </c>
      <c r="G9" s="16" t="n">
        <v>5.98</v>
      </c>
      <c r="H9" s="16" t="n">
        <v>1</v>
      </c>
      <c r="I9" s="17" t="n">
        <v>259095.34</v>
      </c>
    </row>
    <row r="10">
      <c r="A10" s="11" t="inlineStr">
        <is>
          <t>eap-1_3</t>
        </is>
      </c>
      <c r="B10" s="11" t="inlineStr">
        <is>
          <t>EQ-E0029</t>
        </is>
      </c>
      <c r="C10" s="19" t="inlineStr">
        <is>
          <t>Diesel — Motoniveladora 140HP</t>
        </is>
      </c>
      <c r="D10" s="73" t="inlineStr">
        <is>
          <t>COMB</t>
        </is>
      </c>
      <c r="E10" s="16" t="n">
        <v>1</v>
      </c>
      <c r="F10" s="17" t="n">
        <v>14029.71</v>
      </c>
      <c r="G10" s="16" t="n">
        <v>5.98</v>
      </c>
      <c r="H10" s="16" t="n">
        <v>1</v>
      </c>
      <c r="I10" s="17" t="n">
        <v>83897.67</v>
      </c>
    </row>
    <row r="11">
      <c r="A11" s="11" t="inlineStr">
        <is>
          <t>eap-1_3</t>
        </is>
      </c>
      <c r="B11" s="11" t="inlineStr">
        <is>
          <t>EQ-E0035</t>
        </is>
      </c>
      <c r="C11" s="11" t="inlineStr">
        <is>
          <t>Trator de esteiras 20T [EQ]</t>
        </is>
      </c>
      <c r="D11" s="72" t="inlineStr">
        <is>
          <t>EQ</t>
        </is>
      </c>
      <c r="E11" s="16" t="n">
        <v>1</v>
      </c>
      <c r="F11" s="17" t="n">
        <v>21683.2</v>
      </c>
      <c r="G11" s="16" t="n">
        <v>5.98</v>
      </c>
      <c r="H11" s="16" t="n">
        <v>1</v>
      </c>
      <c r="I11" s="17" t="n">
        <v>129665.54</v>
      </c>
    </row>
    <row r="12">
      <c r="A12" s="11" t="inlineStr">
        <is>
          <t>eap-1_3</t>
        </is>
      </c>
      <c r="B12" s="11" t="inlineStr">
        <is>
          <t>EQ-E0035</t>
        </is>
      </c>
      <c r="C12" s="19" t="inlineStr">
        <is>
          <t>Diesel — Trator de esteiras 20T</t>
        </is>
      </c>
      <c r="D12" s="73" t="inlineStr">
        <is>
          <t>COMB</t>
        </is>
      </c>
      <c r="E12" s="16" t="n">
        <v>1</v>
      </c>
      <c r="F12" s="17" t="n">
        <v>22957.71</v>
      </c>
      <c r="G12" s="16" t="n">
        <v>5.98</v>
      </c>
      <c r="H12" s="16" t="n">
        <v>1</v>
      </c>
      <c r="I12" s="17" t="n">
        <v>137287.11</v>
      </c>
    </row>
    <row r="13">
      <c r="A13" s="11" t="inlineStr">
        <is>
          <t>eap-1_3</t>
        </is>
      </c>
      <c r="B13" s="11" t="inlineStr">
        <is>
          <t>EQ-E0010</t>
        </is>
      </c>
      <c r="C13" s="11" t="inlineStr">
        <is>
          <t>Caminhão Pipa 10.000L [EQ]</t>
        </is>
      </c>
      <c r="D13" s="72" t="inlineStr">
        <is>
          <t>EQ</t>
        </is>
      </c>
      <c r="E13" s="16" t="n">
        <v>1</v>
      </c>
      <c r="F13" s="17" t="n">
        <v>19360</v>
      </c>
      <c r="G13" s="16" t="n">
        <v>5.98</v>
      </c>
      <c r="H13" s="16" t="n">
        <v>1</v>
      </c>
      <c r="I13" s="17" t="n">
        <v>115772.8</v>
      </c>
    </row>
    <row r="14">
      <c r="A14" s="11" t="inlineStr">
        <is>
          <t>eap-1_3</t>
        </is>
      </c>
      <c r="B14" s="11" t="inlineStr">
        <is>
          <t>EQ-E0010</t>
        </is>
      </c>
      <c r="C14" s="19" t="inlineStr">
        <is>
          <t>Diesel — Caminhão Pipa 10.000L</t>
        </is>
      </c>
      <c r="D14" s="73" t="inlineStr">
        <is>
          <t>COMB</t>
        </is>
      </c>
      <c r="E14" s="16" t="n">
        <v>1</v>
      </c>
      <c r="F14" s="17" t="n">
        <v>2550.86</v>
      </c>
      <c r="G14" s="16" t="n">
        <v>5.98</v>
      </c>
      <c r="H14" s="16" t="n">
        <v>1</v>
      </c>
      <c r="I14" s="17" t="n">
        <v>15254.14</v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>
        <v>7738370.85</v>
      </c>
    </row>
    <row r="16">
      <c r="A16" s="9" t="inlineStr">
        <is>
          <t>eap-1_2 — Corte e transporte interno</t>
        </is>
      </c>
    </row>
    <row r="17">
      <c r="A17" s="13" t="inlineStr">
        <is>
          <t>eap-1_2</t>
        </is>
      </c>
      <c r="B17" s="13" t="inlineStr">
        <is>
          <t>CPU-TERRA-ATI-001</t>
        </is>
      </c>
      <c r="C17" s="13" t="inlineStr">
        <is>
          <t>Operador de Motoscraper</t>
        </is>
      </c>
      <c r="D17" s="24" t="inlineStr">
        <is>
          <t>DIRETO</t>
        </is>
      </c>
      <c r="E17" s="25" t="n">
        <v>1</v>
      </c>
      <c r="F17" s="26" t="n">
        <v>13892.78</v>
      </c>
      <c r="G17" s="25" t="n">
        <v>5.98</v>
      </c>
      <c r="H17" s="25" t="n">
        <v>1</v>
      </c>
      <c r="I17" s="26" t="n">
        <v>83078.82000000001</v>
      </c>
    </row>
    <row r="18">
      <c r="A18" s="13" t="inlineStr">
        <is>
          <t>eap-1_2</t>
        </is>
      </c>
      <c r="B18" s="13" t="inlineStr">
        <is>
          <t>CPU-TERRA-ATI-001</t>
        </is>
      </c>
      <c r="C18" s="13" t="inlineStr">
        <is>
          <t>Ajudante</t>
        </is>
      </c>
      <c r="D18" s="24" t="inlineStr">
        <is>
          <t>DIRETO</t>
        </is>
      </c>
      <c r="E18" s="25" t="n">
        <v>3</v>
      </c>
      <c r="F18" s="26" t="n">
        <v>15784.95</v>
      </c>
      <c r="G18" s="25" t="n">
        <v>5.98</v>
      </c>
      <c r="H18" s="25" t="n">
        <v>1</v>
      </c>
      <c r="I18" s="26" t="n">
        <v>94394</v>
      </c>
    </row>
    <row r="19">
      <c r="A19" s="13" t="inlineStr">
        <is>
          <t>eap-1_2</t>
        </is>
      </c>
      <c r="B19" s="13" t="inlineStr">
        <is>
          <t>EQ-E0031</t>
        </is>
      </c>
      <c r="C19" s="13" t="inlineStr">
        <is>
          <t>Spread [EQ]</t>
        </is>
      </c>
      <c r="D19" s="74" t="inlineStr">
        <is>
          <t>EQ</t>
        </is>
      </c>
      <c r="E19" s="25" t="n">
        <v>2</v>
      </c>
      <c r="F19" s="26" t="n">
        <v>6336</v>
      </c>
      <c r="G19" s="25" t="n">
        <v>5.98</v>
      </c>
      <c r="H19" s="25" t="n">
        <v>1</v>
      </c>
      <c r="I19" s="26" t="n">
        <v>37889.28</v>
      </c>
    </row>
    <row r="20">
      <c r="A20" s="13" t="inlineStr">
        <is>
          <t>eap-1_2</t>
        </is>
      </c>
      <c r="B20" s="13" t="inlineStr">
        <is>
          <t>EQ-E0031</t>
        </is>
      </c>
      <c r="C20" s="28" t="inlineStr">
        <is>
          <t>Diesel — Spread</t>
        </is>
      </c>
      <c r="D20" s="75" t="inlineStr">
        <is>
          <t>COMB</t>
        </is>
      </c>
      <c r="E20" s="25" t="n">
        <v>2</v>
      </c>
      <c r="F20" s="26" t="n">
        <v>2550.86</v>
      </c>
      <c r="G20" s="25" t="n">
        <v>5.98</v>
      </c>
      <c r="H20" s="25" t="n">
        <v>1</v>
      </c>
      <c r="I20" s="26" t="n">
        <v>15254.14</v>
      </c>
    </row>
    <row r="21">
      <c r="A21" s="20" t="inlineStr">
        <is>
          <t>Subtotal eap-1_2</t>
        </is>
      </c>
      <c r="B21" s="21" t="n"/>
      <c r="C21" s="21" t="n"/>
      <c r="D21" s="21" t="n"/>
      <c r="E21" s="21" t="n"/>
      <c r="F21" s="21" t="n"/>
      <c r="G21" s="21" t="n"/>
      <c r="H21" s="21" t="n"/>
      <c r="I21" s="22" t="n">
        <v>59303399.1</v>
      </c>
    </row>
    <row r="22">
      <c r="A22" s="9" t="inlineStr">
        <is>
          <t>eap-1_5 — Opcional - Transporte de solo já cortado, para outro terreno em Guarulhos com DMT de 8km.</t>
        </is>
      </c>
    </row>
    <row r="23">
      <c r="A23" s="11" t="inlineStr">
        <is>
          <t>eap-1_5</t>
        </is>
      </c>
      <c r="B23" s="11" t="inlineStr">
        <is>
          <t>CPU-TERRA-ESCO-CARGA-1CAT-DMT2000</t>
        </is>
      </c>
      <c r="C23" s="11" t="inlineStr">
        <is>
          <t>Operador de Escavadeira</t>
        </is>
      </c>
      <c r="D23" s="15" t="inlineStr">
        <is>
          <t>DIRETO</t>
        </is>
      </c>
      <c r="E23" s="16" t="n">
        <v>1</v>
      </c>
      <c r="F23" s="17" t="n">
        <v>10300</v>
      </c>
      <c r="G23" s="16" t="n">
        <v>5.98</v>
      </c>
      <c r="H23" s="16" t="n">
        <v>1</v>
      </c>
      <c r="I23" s="17" t="n">
        <v>61594</v>
      </c>
    </row>
    <row r="24">
      <c r="A24" s="11" t="inlineStr">
        <is>
          <t>eap-1_5</t>
        </is>
      </c>
      <c r="B24" s="11" t="inlineStr">
        <is>
          <t>CPU-TERRA-ESCO-CARGA-1CAT-DMT2000</t>
        </is>
      </c>
      <c r="C24" s="11" t="inlineStr">
        <is>
          <t>Ajudante</t>
        </is>
      </c>
      <c r="D24" s="15" t="inlineStr">
        <is>
          <t>DIRETO</t>
        </is>
      </c>
      <c r="E24" s="16" t="n">
        <v>1</v>
      </c>
      <c r="F24" s="17" t="n">
        <v>4209.32</v>
      </c>
      <c r="G24" s="16" t="n">
        <v>5.98</v>
      </c>
      <c r="H24" s="16" t="n">
        <v>1</v>
      </c>
      <c r="I24" s="17" t="n">
        <v>25171.73</v>
      </c>
    </row>
    <row r="25">
      <c r="A25" s="11" t="inlineStr">
        <is>
          <t>eap-1_5</t>
        </is>
      </c>
      <c r="B25" s="11" t="inlineStr">
        <is>
          <t>CPU-TERRA-ESCO-CARGA-1CAT-DMT2000</t>
        </is>
      </c>
      <c r="C25" s="11" t="inlineStr">
        <is>
          <t>Encarregado de Frente</t>
        </is>
      </c>
      <c r="D25" s="15" t="inlineStr">
        <is>
          <t>DIRETO</t>
        </is>
      </c>
      <c r="E25" s="16" t="n">
        <v>1</v>
      </c>
      <c r="F25" s="17" t="n">
        <v>7500</v>
      </c>
      <c r="G25" s="16" t="n">
        <v>5.98</v>
      </c>
      <c r="H25" s="16" t="n">
        <v>1</v>
      </c>
      <c r="I25" s="17" t="n">
        <v>44850</v>
      </c>
    </row>
    <row r="26">
      <c r="A26" s="11" t="inlineStr">
        <is>
          <t>eap-1_5</t>
        </is>
      </c>
      <c r="B26" s="11" t="inlineStr">
        <is>
          <t>CPU-TERRA-ESCO-CARGA-1CAT-DMT2000</t>
        </is>
      </c>
      <c r="C26" s="11" t="inlineStr">
        <is>
          <t>Motorista de Caminhão Basculante</t>
        </is>
      </c>
      <c r="D26" s="15" t="inlineStr">
        <is>
          <t>DIRETO</t>
        </is>
      </c>
      <c r="E26" s="16" t="n">
        <v>7</v>
      </c>
      <c r="F26" s="17" t="n">
        <v>44388.19</v>
      </c>
      <c r="G26" s="16" t="n">
        <v>5.98</v>
      </c>
      <c r="H26" s="16" t="n">
        <v>1</v>
      </c>
      <c r="I26" s="17" t="n">
        <v>265441.38</v>
      </c>
    </row>
    <row r="27">
      <c r="A27" s="11" t="inlineStr">
        <is>
          <t>eap-1_5</t>
        </is>
      </c>
      <c r="B27" s="11" t="inlineStr">
        <is>
          <t>EQ-E0015</t>
        </is>
      </c>
      <c r="C27" s="11" t="inlineStr">
        <is>
          <t>Distribuidor de Brita [EQ]</t>
        </is>
      </c>
      <c r="D27" s="72" t="inlineStr">
        <is>
          <t>EQ</t>
        </is>
      </c>
      <c r="E27" s="16" t="n">
        <v>1</v>
      </c>
      <c r="F27" s="17" t="n">
        <v>3449.6</v>
      </c>
      <c r="G27" s="16" t="n">
        <v>5.98</v>
      </c>
      <c r="H27" s="16" t="n">
        <v>1</v>
      </c>
      <c r="I27" s="17" t="n">
        <v>20628.61</v>
      </c>
    </row>
    <row r="28">
      <c r="A28" s="11" t="inlineStr">
        <is>
          <t>eap-1_5</t>
        </is>
      </c>
      <c r="B28" s="11" t="inlineStr">
        <is>
          <t>EQ-E0015</t>
        </is>
      </c>
      <c r="C28" s="19" t="inlineStr">
        <is>
          <t>Diesel — Distribuidor de Brita</t>
        </is>
      </c>
      <c r="D28" s="73" t="inlineStr">
        <is>
          <t>COMB</t>
        </is>
      </c>
      <c r="E28" s="16" t="n">
        <v>1</v>
      </c>
      <c r="F28" s="17" t="n">
        <v>1913.14</v>
      </c>
      <c r="G28" s="16" t="n">
        <v>5.98</v>
      </c>
      <c r="H28" s="16" t="n">
        <v>1</v>
      </c>
      <c r="I28" s="17" t="n">
        <v>11440.58</v>
      </c>
    </row>
    <row r="29">
      <c r="A29" s="11" t="inlineStr">
        <is>
          <t>eap-1_5</t>
        </is>
      </c>
      <c r="B29" s="11" t="inlineStr">
        <is>
          <t>EQ-E0002</t>
        </is>
      </c>
      <c r="C29" s="11" t="inlineStr">
        <is>
          <t>Betoneira 400L [EQ]</t>
        </is>
      </c>
      <c r="D29" s="72" t="inlineStr">
        <is>
          <t>EQ</t>
        </is>
      </c>
      <c r="E29" s="16" t="n">
        <v>7</v>
      </c>
      <c r="F29" s="17" t="n">
        <v>607.2</v>
      </c>
      <c r="G29" s="16" t="n">
        <v>5.98</v>
      </c>
      <c r="H29" s="16" t="n">
        <v>1</v>
      </c>
      <c r="I29" s="17" t="n">
        <v>3631.06</v>
      </c>
    </row>
    <row r="30">
      <c r="A30" s="11" t="inlineStr">
        <is>
          <t>eap-1_5</t>
        </is>
      </c>
      <c r="B30" s="11" t="inlineStr">
        <is>
          <t>EQ-E0002</t>
        </is>
      </c>
      <c r="C30" s="19" t="inlineStr">
        <is>
          <t>Diesel — Betoneira 400L</t>
        </is>
      </c>
      <c r="D30" s="73" t="inlineStr">
        <is>
          <t>COMB</t>
        </is>
      </c>
      <c r="E30" s="16" t="n">
        <v>7</v>
      </c>
      <c r="F30" s="17" t="n">
        <v>1913.14</v>
      </c>
      <c r="G30" s="16" t="n">
        <v>5.98</v>
      </c>
      <c r="H30" s="16" t="n">
        <v>1</v>
      </c>
      <c r="I30" s="17" t="n">
        <v>11440.58</v>
      </c>
    </row>
    <row r="31">
      <c r="A31" s="20" t="inlineStr">
        <is>
          <t>Subtotal eap-1_5</t>
        </is>
      </c>
      <c r="B31" s="21" t="n"/>
      <c r="C31" s="21" t="n"/>
      <c r="D31" s="21" t="n"/>
      <c r="E31" s="21" t="n"/>
      <c r="F31" s="21" t="n"/>
      <c r="G31" s="21" t="n"/>
      <c r="H31" s="21" t="n"/>
      <c r="I31" s="22" t="n">
        <v>534606.34</v>
      </c>
    </row>
    <row r="32">
      <c r="A32" s="9" t="inlineStr">
        <is>
          <t>eap-1_1 — Remoção Superficial (20cm - Top Soil) - Excluso supressão vegetal</t>
        </is>
      </c>
    </row>
    <row r="33">
      <c r="A33" s="13" t="inlineStr">
        <is>
          <t>eap-1_1</t>
        </is>
      </c>
      <c r="B33" s="13" t="inlineStr">
        <is>
          <t>CPU-TERRA-ATI-003</t>
        </is>
      </c>
      <c r="C33" s="13" t="inlineStr">
        <is>
          <t>Operador de Escavadeira</t>
        </is>
      </c>
      <c r="D33" s="24" t="inlineStr">
        <is>
          <t>DIRETO</t>
        </is>
      </c>
      <c r="E33" s="25" t="n">
        <v>1</v>
      </c>
      <c r="F33" s="26" t="n">
        <v>12875</v>
      </c>
      <c r="G33" s="25" t="n">
        <v>5.98</v>
      </c>
      <c r="H33" s="25" t="n">
        <v>1</v>
      </c>
      <c r="I33" s="26" t="n">
        <v>76992.5</v>
      </c>
    </row>
    <row r="34">
      <c r="A34" s="13" t="inlineStr">
        <is>
          <t>eap-1_1</t>
        </is>
      </c>
      <c r="B34" s="13" t="inlineStr">
        <is>
          <t>CPU-TERRA-ATI-003</t>
        </is>
      </c>
      <c r="C34" s="13" t="inlineStr">
        <is>
          <t>Operador de Trator de Esteiras</t>
        </is>
      </c>
      <c r="D34" s="24" t="inlineStr">
        <is>
          <t>DIRETO</t>
        </is>
      </c>
      <c r="E34" s="25" t="n">
        <v>1</v>
      </c>
      <c r="F34" s="26" t="n">
        <v>12875</v>
      </c>
      <c r="G34" s="25" t="n">
        <v>5.98</v>
      </c>
      <c r="H34" s="25" t="n">
        <v>1</v>
      </c>
      <c r="I34" s="26" t="n">
        <v>76992.5</v>
      </c>
    </row>
    <row r="35">
      <c r="A35" s="13" t="inlineStr">
        <is>
          <t>eap-1_1</t>
        </is>
      </c>
      <c r="B35" s="13" t="inlineStr">
        <is>
          <t>CPU-TERRA-ATI-003</t>
        </is>
      </c>
      <c r="C35" s="13" t="inlineStr">
        <is>
          <t>Ajudante</t>
        </is>
      </c>
      <c r="D35" s="24" t="inlineStr">
        <is>
          <t>DIRETO</t>
        </is>
      </c>
      <c r="E35" s="25" t="n">
        <v>3</v>
      </c>
      <c r="F35" s="26" t="n">
        <v>15784.95</v>
      </c>
      <c r="G35" s="25" t="n">
        <v>5.98</v>
      </c>
      <c r="H35" s="25" t="n">
        <v>1</v>
      </c>
      <c r="I35" s="26" t="n">
        <v>94394</v>
      </c>
    </row>
    <row r="36">
      <c r="A36" s="13" t="inlineStr">
        <is>
          <t>eap-1_1</t>
        </is>
      </c>
      <c r="B36" s="13" t="inlineStr">
        <is>
          <t>EQ-E0016</t>
        </is>
      </c>
      <c r="C36" s="13" t="inlineStr">
        <is>
          <t>Escavadeira Hidráulica 22t [EQ]</t>
        </is>
      </c>
      <c r="D36" s="74" t="inlineStr">
        <is>
          <t>EQ</t>
        </is>
      </c>
      <c r="E36" s="25" t="n">
        <v>1</v>
      </c>
      <c r="F36" s="26" t="n">
        <v>35639.3</v>
      </c>
      <c r="G36" s="25" t="n">
        <v>5.98</v>
      </c>
      <c r="H36" s="25" t="n">
        <v>1</v>
      </c>
      <c r="I36" s="26" t="n">
        <v>213123.01</v>
      </c>
    </row>
    <row r="37">
      <c r="A37" s="13" t="inlineStr">
        <is>
          <t>eap-1_1</t>
        </is>
      </c>
      <c r="B37" s="13" t="inlineStr">
        <is>
          <t>EQ-E0024</t>
        </is>
      </c>
      <c r="C37" s="13" t="inlineStr">
        <is>
          <t>Trator de Esteiras 20t (300HP) [EQ]</t>
        </is>
      </c>
      <c r="D37" s="74" t="inlineStr">
        <is>
          <t>EQ</t>
        </is>
      </c>
      <c r="E37" s="25" t="n">
        <v>1</v>
      </c>
      <c r="F37" s="26" t="n">
        <v>49477.12</v>
      </c>
      <c r="G37" s="25" t="n">
        <v>5.98</v>
      </c>
      <c r="H37" s="25" t="n">
        <v>1</v>
      </c>
      <c r="I37" s="26" t="n">
        <v>295873.18</v>
      </c>
    </row>
    <row r="38">
      <c r="A38" s="13" t="inlineStr">
        <is>
          <t>eap-1_1</t>
        </is>
      </c>
      <c r="B38" s="13" t="inlineStr">
        <is>
          <t>EQ-E0024</t>
        </is>
      </c>
      <c r="C38" s="28" t="inlineStr">
        <is>
          <t>Diesel — Trator de Esteiras 20t (300HP)</t>
        </is>
      </c>
      <c r="D38" s="75" t="inlineStr">
        <is>
          <t>COMB</t>
        </is>
      </c>
      <c r="E38" s="25" t="n">
        <v>1</v>
      </c>
      <c r="F38" s="26" t="n">
        <v>22957.71</v>
      </c>
      <c r="G38" s="25" t="n">
        <v>5.98</v>
      </c>
      <c r="H38" s="25" t="n">
        <v>1</v>
      </c>
      <c r="I38" s="26" t="n">
        <v>137287.11</v>
      </c>
    </row>
    <row r="39">
      <c r="A39" s="20" t="inlineStr">
        <is>
          <t>Subtotal eap-1_1</t>
        </is>
      </c>
      <c r="B39" s="21" t="n"/>
      <c r="C39" s="21" t="n"/>
      <c r="D39" s="21" t="n"/>
      <c r="E39" s="21" t="n"/>
      <c r="F39" s="21" t="n"/>
      <c r="G39" s="21" t="n"/>
      <c r="H39" s="21" t="n"/>
      <c r="I39" s="22" t="n">
        <v>894626.51</v>
      </c>
    </row>
    <row r="41">
      <c r="A41" s="29" t="inlineStr">
        <is>
          <t>TOTAL EQUIPES DIRETAS</t>
        </is>
      </c>
      <c r="I41" s="30">
        <f>I15+I21+I31+I39</f>
        <v/>
      </c>
    </row>
  </sheetData>
  <mergeCells count="6">
    <mergeCell ref="A32:I32"/>
    <mergeCell ref="A1:I1"/>
    <mergeCell ref="A41:H41"/>
    <mergeCell ref="A3:I3"/>
    <mergeCell ref="A22:I22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eap-1_3</t>
        </is>
      </c>
      <c r="B3" s="11" t="inlineStr">
        <is>
          <t>CPU-TERRA-ATI-017</t>
        </is>
      </c>
      <c r="C3" s="17" t="n">
        <v>1105525.77</v>
      </c>
      <c r="D3" s="17" t="n">
        <v>1486882.41</v>
      </c>
      <c r="E3" s="76" t="n">
        <v>381356.64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CPU-TERRA-ATI-001</t>
        </is>
      </c>
      <c r="C4" s="26" t="n">
        <v>283759.67</v>
      </c>
      <c r="D4" s="26" t="n">
        <v>3181643.96</v>
      </c>
      <c r="E4" s="77" t="n">
        <v>2897884.29</v>
      </c>
      <c r="F4" s="24" t="inlineStr">
        <is>
          <t>OK</t>
        </is>
      </c>
    </row>
    <row r="5">
      <c r="A5" s="11" t="inlineStr">
        <is>
          <t>eap-1_5</t>
        </is>
      </c>
      <c r="B5" s="11" t="inlineStr">
        <is>
          <t>CPU-TERRA-ESCO-CARGA-1CAT-DMT2000</t>
        </is>
      </c>
      <c r="C5" s="17" t="n">
        <v>534627.73</v>
      </c>
      <c r="D5" s="17" t="n">
        <v>2026630.65</v>
      </c>
      <c r="E5" s="76" t="n">
        <v>1492002.92</v>
      </c>
      <c r="F5" s="15" t="inlineStr">
        <is>
          <t>OK</t>
        </is>
      </c>
    </row>
    <row r="6">
      <c r="A6" s="13" t="inlineStr">
        <is>
          <t>eap-1_1</t>
        </is>
      </c>
      <c r="B6" s="13" t="inlineStr">
        <is>
          <t>CPU-TERRA-ATI-003</t>
        </is>
      </c>
      <c r="C6" s="26" t="n">
        <v>894662.3</v>
      </c>
      <c r="D6" s="26" t="n">
        <v>1293173.88</v>
      </c>
      <c r="E6" s="77" t="n">
        <v>398511.58</v>
      </c>
      <c r="F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MATEC_GUARULHOS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PLANEJAMENTO!$I$8</f>
        <v/>
      </c>
      <c r="C11" s="14" t="n"/>
    </row>
    <row r="12">
      <c r="A12" s="78" t="inlineStr">
        <is>
          <t>Preço de venda c/ BDI</t>
        </is>
      </c>
      <c r="B12" s="79">
        <f>PLANEJAMENTO!$N$8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'DIRETOS.DET'!$I$41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81">
        <f>B12-B22</f>
        <v/>
      </c>
      <c r="C25" s="14" t="n"/>
    </row>
    <row r="26">
      <c r="A26" s="78" t="inlineStr">
        <is>
          <t>Margem bruta (%)</t>
        </is>
      </c>
      <c r="B26" s="82">
        <f>IF(B12&gt;0, B25/B12, 0)</f>
        <v/>
      </c>
      <c r="C26" s="12" t="n"/>
    </row>
    <row r="28">
      <c r="A28" s="83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PLANEJAMENTO!$I$8</f>
        <v/>
      </c>
      <c r="C31" s="14" t="n"/>
    </row>
    <row r="32">
      <c r="A32" s="11" t="inlineStr">
        <is>
          <t>Total Direto (c/BDI)</t>
        </is>
      </c>
      <c r="B32" s="17">
        <f>PLANEJAMENTO!$N$8</f>
        <v/>
      </c>
      <c r="C32" s="12" t="n"/>
    </row>
    <row r="33">
      <c r="A33" s="13" t="inlineStr">
        <is>
          <t>RAZÃO CI / CD (%)</t>
        </is>
      </c>
      <c r="B33" s="84" t="n">
        <v>91.72</v>
      </c>
      <c r="C33" s="14" t="n"/>
    </row>
    <row r="34">
      <c r="A34" s="11" t="inlineStr">
        <is>
          <t>CI / PVT (%)</t>
        </is>
      </c>
      <c r="B34" s="85" t="n">
        <v>71.17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6" t="n">
        <v>67306032.74948665</v>
      </c>
      <c r="C37" s="14" t="n"/>
    </row>
    <row r="38">
      <c r="A38" s="11" t="inlineStr">
        <is>
          <t>Parcela mensal (meses 2 a n)</t>
        </is>
      </c>
      <c r="B38" s="17" t="n">
        <v>1141190</v>
      </c>
      <c r="C38" s="12" t="n"/>
    </row>
    <row r="39">
      <c r="A39" s="13" t="inlineStr">
        <is>
          <t>Resíduo (mês n+1)</t>
        </is>
      </c>
      <c r="B39" s="26" t="n">
        <v>1141190.899999999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3580961.04</v>
      </c>
      <c r="C3" s="17" t="n">
        <v>0</v>
      </c>
      <c r="D3" s="17" t="n">
        <v>0</v>
      </c>
      <c r="E3" s="87" t="n">
        <v>-3580961.04</v>
      </c>
      <c r="F3" s="87" t="n">
        <v>-3580961.04</v>
      </c>
      <c r="G3" s="87" t="n">
        <v>3580961.04</v>
      </c>
    </row>
    <row r="4">
      <c r="A4" s="27" t="inlineStr">
        <is>
          <t>Jan/25</t>
        </is>
      </c>
      <c r="B4" s="26" t="n">
        <v>11481072.02</v>
      </c>
      <c r="C4" s="26" t="n">
        <v>1141190</v>
      </c>
      <c r="D4" s="26" t="n">
        <v>1141190</v>
      </c>
      <c r="E4" s="87" t="n">
        <v>-10339882.02</v>
      </c>
      <c r="F4" s="87" t="n">
        <v>-13920843.06</v>
      </c>
      <c r="G4" s="87" t="n">
        <v>13920843.06</v>
      </c>
    </row>
    <row r="5">
      <c r="A5" s="18" t="inlineStr">
        <is>
          <t>Fev/25</t>
        </is>
      </c>
      <c r="B5" s="17" t="n">
        <v>11481072.02</v>
      </c>
      <c r="C5" s="17" t="n">
        <v>1141190</v>
      </c>
      <c r="D5" s="17" t="n">
        <v>2282380</v>
      </c>
      <c r="E5" s="87" t="n">
        <v>-10339882.02</v>
      </c>
      <c r="F5" s="87" t="n">
        <v>-24260725.07</v>
      </c>
      <c r="G5" s="87" t="n">
        <v>24260725.07</v>
      </c>
    </row>
    <row r="6">
      <c r="A6" s="27" t="inlineStr">
        <is>
          <t>Mar/25</t>
        </is>
      </c>
      <c r="B6" s="26" t="n">
        <v>14114442.34</v>
      </c>
      <c r="C6" s="26" t="n">
        <v>1141190</v>
      </c>
      <c r="D6" s="26" t="n">
        <v>3423570</v>
      </c>
      <c r="E6" s="87" t="n">
        <v>-12973252.34</v>
      </c>
      <c r="F6" s="87" t="n">
        <v>-37233977.41</v>
      </c>
      <c r="G6" s="87" t="n">
        <v>37233977.41</v>
      </c>
    </row>
    <row r="7">
      <c r="A7" s="18" t="inlineStr">
        <is>
          <t>Abr/25</t>
        </is>
      </c>
      <c r="B7" s="17" t="n">
        <v>11481072.02</v>
      </c>
      <c r="C7" s="17" t="n">
        <v>1141190</v>
      </c>
      <c r="D7" s="17" t="n">
        <v>4564760</v>
      </c>
      <c r="E7" s="87" t="n">
        <v>-10339882.02</v>
      </c>
      <c r="F7" s="87" t="n">
        <v>-47573859.43</v>
      </c>
      <c r="G7" s="87" t="n">
        <v>47573859.43</v>
      </c>
    </row>
    <row r="8">
      <c r="A8" s="27" t="inlineStr">
        <is>
          <t>Mai/25</t>
        </is>
      </c>
      <c r="B8" s="26" t="n">
        <v>11481072.02</v>
      </c>
      <c r="C8" s="26" t="n">
        <v>1141190</v>
      </c>
      <c r="D8" s="26" t="n">
        <v>5705950</v>
      </c>
      <c r="E8" s="87" t="n">
        <v>-10339882.02</v>
      </c>
      <c r="F8" s="87" t="n">
        <v>-57913741.45</v>
      </c>
      <c r="G8" s="87" t="n">
        <v>57913741.45</v>
      </c>
    </row>
    <row r="9">
      <c r="A9" s="18" t="inlineStr">
        <is>
          <t>Jun/25</t>
        </is>
      </c>
      <c r="B9" s="17" t="n">
        <v>10533481.3</v>
      </c>
      <c r="C9" s="17" t="n">
        <v>1141190</v>
      </c>
      <c r="D9" s="17" t="n">
        <v>6847140</v>
      </c>
      <c r="E9" s="87" t="n">
        <v>-9392291.300000001</v>
      </c>
      <c r="F9" s="87" t="n">
        <v>-67306032.75</v>
      </c>
      <c r="G9" s="87" t="n">
        <v>67306032.75</v>
      </c>
    </row>
    <row r="10">
      <c r="A10" s="27" t="inlineStr">
        <is>
          <t>Jul/25</t>
        </is>
      </c>
      <c r="B10" s="26" t="n">
        <v>0</v>
      </c>
      <c r="C10" s="26" t="n">
        <v>1141190.9</v>
      </c>
      <c r="D10" s="26" t="n">
        <v>7988330.9</v>
      </c>
      <c r="E10" s="88" t="n">
        <v>1141190.9</v>
      </c>
      <c r="F10" s="87" t="n">
        <v>-66164841.85</v>
      </c>
      <c r="G10" s="87" t="n">
        <v>66164841.85</v>
      </c>
    </row>
    <row r="12">
      <c r="A12" s="89" t="inlineStr">
        <is>
          <t>TOTAL</t>
        </is>
      </c>
      <c r="B12" s="30" t="n">
        <v>74153172.75</v>
      </c>
      <c r="C12" s="30" t="n">
        <v>7988330.9</v>
      </c>
      <c r="D12" s="30" t="n">
        <v>7988330.9</v>
      </c>
      <c r="E12" s="90" t="n">
        <v>-66164841.85</v>
      </c>
      <c r="F12" s="90" t="n">
        <v>-66164841.85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1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1" t="n">
        <v>1141190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2" t="n">
        <v>1141190.899999999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3" t="n">
        <v>67306032.74948665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1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3" t="n">
        <v>-66164841.84948666</v>
      </c>
      <c r="D21" s="41" t="n"/>
      <c r="E21" s="41" t="n"/>
      <c r="F21" s="41" t="n"/>
      <c r="G21" s="39" t="n"/>
    </row>
    <row r="23" ht="36" customHeight="1">
      <c r="A23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EQ-E0002</t>
        </is>
      </c>
      <c r="B3" s="11" t="inlineStr">
        <is>
          <t>Betoneira 400L</t>
        </is>
      </c>
      <c r="C3" s="18" t="inlineStr">
        <is>
          <t>un</t>
        </is>
      </c>
      <c r="D3" s="58" t="n">
        <v>7</v>
      </c>
      <c r="E3" s="58" t="n">
        <v>7</v>
      </c>
      <c r="F3" s="58" t="n">
        <v>7</v>
      </c>
      <c r="G3" s="58" t="n">
        <v>7</v>
      </c>
      <c r="H3" s="58" t="n">
        <v>7</v>
      </c>
      <c r="I3" s="58" t="n">
        <v>7</v>
      </c>
      <c r="J3" s="58" t="n">
        <v>7</v>
      </c>
      <c r="K3" s="58" t="n">
        <v>7</v>
      </c>
      <c r="L3" s="58" t="n">
        <v>7</v>
      </c>
      <c r="M3" s="58" t="n">
        <v>7</v>
      </c>
      <c r="N3" s="58" t="n">
        <v>7</v>
      </c>
      <c r="O3" s="58" t="n">
        <v>7</v>
      </c>
      <c r="P3" s="58" t="n">
        <v>7</v>
      </c>
      <c r="Q3" s="58" t="n">
        <v>7</v>
      </c>
      <c r="R3" s="58" t="n">
        <v>7</v>
      </c>
      <c r="S3" s="58" t="n">
        <v>7</v>
      </c>
      <c r="T3" s="58" t="n">
        <v>7</v>
      </c>
      <c r="U3" s="58" t="n">
        <v>7</v>
      </c>
      <c r="V3" s="58" t="n">
        <v>7</v>
      </c>
      <c r="W3" s="58" t="n">
        <v>7</v>
      </c>
      <c r="X3" s="58" t="n">
        <v>7</v>
      </c>
      <c r="Y3" s="58" t="n">
        <v>7</v>
      </c>
      <c r="Z3" s="58" t="n">
        <v>7</v>
      </c>
      <c r="AA3" s="58" t="n">
        <v>7</v>
      </c>
      <c r="AB3" s="58" t="n">
        <v>7</v>
      </c>
      <c r="AC3" s="58" t="n">
        <v>7</v>
      </c>
      <c r="AD3" s="12" t="n"/>
    </row>
    <row r="4">
      <c r="A4" s="13" t="inlineStr">
        <is>
          <t>EQ-E0010</t>
        </is>
      </c>
      <c r="B4" s="13" t="inlineStr">
        <is>
          <t>Caminhão Pipa 10.000L</t>
        </is>
      </c>
      <c r="C4" s="27" t="inlineStr">
        <is>
          <t>un</t>
        </is>
      </c>
      <c r="D4" s="67" t="n">
        <v>7</v>
      </c>
      <c r="E4" s="67" t="n">
        <v>7</v>
      </c>
      <c r="F4" s="67" t="n">
        <v>7</v>
      </c>
      <c r="G4" s="67" t="n">
        <v>7</v>
      </c>
      <c r="H4" s="67" t="n">
        <v>7</v>
      </c>
      <c r="I4" s="67" t="n">
        <v>7</v>
      </c>
      <c r="J4" s="67" t="n">
        <v>7</v>
      </c>
      <c r="K4" s="67" t="n">
        <v>7</v>
      </c>
      <c r="L4" s="67" t="n">
        <v>7</v>
      </c>
      <c r="M4" s="67" t="n">
        <v>7</v>
      </c>
      <c r="N4" s="67" t="n">
        <v>7</v>
      </c>
      <c r="O4" s="67" t="n">
        <v>7</v>
      </c>
      <c r="P4" s="67" t="n">
        <v>7</v>
      </c>
      <c r="Q4" s="67" t="n">
        <v>7</v>
      </c>
      <c r="R4" s="67" t="n">
        <v>7</v>
      </c>
      <c r="S4" s="67" t="n">
        <v>7</v>
      </c>
      <c r="T4" s="67" t="n">
        <v>7</v>
      </c>
      <c r="U4" s="67" t="n">
        <v>7</v>
      </c>
      <c r="V4" s="67" t="n">
        <v>7</v>
      </c>
      <c r="W4" s="67" t="n">
        <v>7</v>
      </c>
      <c r="X4" s="67" t="n">
        <v>7</v>
      </c>
      <c r="Y4" s="67" t="n">
        <v>7</v>
      </c>
      <c r="Z4" s="67" t="n">
        <v>7</v>
      </c>
      <c r="AA4" s="67" t="n">
        <v>7</v>
      </c>
      <c r="AB4" s="67" t="n">
        <v>7</v>
      </c>
      <c r="AC4" s="67" t="n">
        <v>7</v>
      </c>
      <c r="AD4" s="14" t="n"/>
    </row>
    <row r="5">
      <c r="A5" s="11" t="inlineStr">
        <is>
          <t>EQ-E0015</t>
        </is>
      </c>
      <c r="B5" s="11" t="inlineStr">
        <is>
          <t>Distribuidor de Brita</t>
        </is>
      </c>
      <c r="C5" s="18" t="inlineStr">
        <is>
          <t>un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12" t="n"/>
    </row>
    <row r="6">
      <c r="A6" s="13" t="inlineStr">
        <is>
          <t>EQ-E0016</t>
        </is>
      </c>
      <c r="B6" s="13" t="inlineStr">
        <is>
          <t>Escavadeira Hidráulica 22t</t>
        </is>
      </c>
      <c r="C6" s="27" t="inlineStr">
        <is>
          <t>un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EQ-E0024</t>
        </is>
      </c>
      <c r="B7" s="11" t="inlineStr">
        <is>
          <t>Trator de Esteiras 20t (300HP)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EQ-E0029</t>
        </is>
      </c>
      <c r="B8" s="13" t="inlineStr">
        <is>
          <t>Motoniveladora 140HP</t>
        </is>
      </c>
      <c r="C8" s="27" t="inlineStr">
        <is>
          <t>un</t>
        </is>
      </c>
      <c r="D8" s="67" t="n">
        <v>7</v>
      </c>
      <c r="E8" s="67" t="n">
        <v>7</v>
      </c>
      <c r="F8" s="67" t="n">
        <v>7</v>
      </c>
      <c r="G8" s="67" t="n">
        <v>7</v>
      </c>
      <c r="H8" s="67" t="n">
        <v>7</v>
      </c>
      <c r="I8" s="67" t="n">
        <v>7</v>
      </c>
      <c r="J8" s="67" t="n">
        <v>7</v>
      </c>
      <c r="K8" s="67" t="n">
        <v>7</v>
      </c>
      <c r="L8" s="67" t="n">
        <v>7</v>
      </c>
      <c r="M8" s="67" t="n">
        <v>7</v>
      </c>
      <c r="N8" s="67" t="n">
        <v>7</v>
      </c>
      <c r="O8" s="67" t="n">
        <v>7</v>
      </c>
      <c r="P8" s="67" t="n">
        <v>7</v>
      </c>
      <c r="Q8" s="67" t="n">
        <v>7</v>
      </c>
      <c r="R8" s="67" t="n">
        <v>7</v>
      </c>
      <c r="S8" s="67" t="n">
        <v>7</v>
      </c>
      <c r="T8" s="67" t="n">
        <v>7</v>
      </c>
      <c r="U8" s="67" t="n">
        <v>7</v>
      </c>
      <c r="V8" s="67" t="n">
        <v>7</v>
      </c>
      <c r="W8" s="67" t="n">
        <v>7</v>
      </c>
      <c r="X8" s="67" t="n">
        <v>7</v>
      </c>
      <c r="Y8" s="67" t="n">
        <v>7</v>
      </c>
      <c r="Z8" s="67" t="n">
        <v>7</v>
      </c>
      <c r="AA8" s="67" t="n">
        <v>7</v>
      </c>
      <c r="AB8" s="67" t="n">
        <v>7</v>
      </c>
      <c r="AC8" s="67" t="n">
        <v>7</v>
      </c>
      <c r="AD8" s="14" t="n"/>
    </row>
    <row r="9">
      <c r="A9" s="11" t="inlineStr">
        <is>
          <t>EQ-E0031</t>
        </is>
      </c>
      <c r="B9" s="11" t="inlineStr">
        <is>
          <t>Spread</t>
        </is>
      </c>
      <c r="C9" s="18" t="inlineStr">
        <is>
          <t>un</t>
        </is>
      </c>
      <c r="D9" s="58" t="n">
        <v>418</v>
      </c>
      <c r="E9" s="58" t="n">
        <v>418</v>
      </c>
      <c r="F9" s="58" t="n">
        <v>418</v>
      </c>
      <c r="G9" s="58" t="n">
        <v>418</v>
      </c>
      <c r="H9" s="58" t="n">
        <v>418</v>
      </c>
      <c r="I9" s="58" t="n">
        <v>418</v>
      </c>
      <c r="J9" s="58" t="n">
        <v>418</v>
      </c>
      <c r="K9" s="58" t="n">
        <v>418</v>
      </c>
      <c r="L9" s="58" t="n">
        <v>418</v>
      </c>
      <c r="M9" s="58" t="n">
        <v>418</v>
      </c>
      <c r="N9" s="58" t="n">
        <v>418</v>
      </c>
      <c r="O9" s="58" t="n">
        <v>418</v>
      </c>
      <c r="P9" s="58" t="n">
        <v>418</v>
      </c>
      <c r="Q9" s="58" t="n">
        <v>418</v>
      </c>
      <c r="R9" s="58" t="n">
        <v>418</v>
      </c>
      <c r="S9" s="58" t="n">
        <v>418</v>
      </c>
      <c r="T9" s="58" t="n">
        <v>418</v>
      </c>
      <c r="U9" s="58" t="n">
        <v>418</v>
      </c>
      <c r="V9" s="58" t="n">
        <v>418</v>
      </c>
      <c r="W9" s="58" t="n">
        <v>418</v>
      </c>
      <c r="X9" s="58" t="n">
        <v>418</v>
      </c>
      <c r="Y9" s="58" t="n">
        <v>418</v>
      </c>
      <c r="Z9" s="58" t="n">
        <v>418</v>
      </c>
      <c r="AA9" s="58" t="n">
        <v>418</v>
      </c>
      <c r="AB9" s="58" t="n">
        <v>418</v>
      </c>
      <c r="AC9" s="58" t="n">
        <v>418</v>
      </c>
      <c r="AD9" s="12" t="n"/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7" t="n">
        <v>7</v>
      </c>
      <c r="E10" s="67" t="n">
        <v>7</v>
      </c>
      <c r="F10" s="67" t="n">
        <v>7</v>
      </c>
      <c r="G10" s="67" t="n">
        <v>7</v>
      </c>
      <c r="H10" s="67" t="n">
        <v>7</v>
      </c>
      <c r="I10" s="67" t="n">
        <v>7</v>
      </c>
      <c r="J10" s="67" t="n">
        <v>7</v>
      </c>
      <c r="K10" s="67" t="n">
        <v>7</v>
      </c>
      <c r="L10" s="67" t="n">
        <v>7</v>
      </c>
      <c r="M10" s="67" t="n">
        <v>7</v>
      </c>
      <c r="N10" s="67" t="n">
        <v>7</v>
      </c>
      <c r="O10" s="67" t="n">
        <v>7</v>
      </c>
      <c r="P10" s="67" t="n">
        <v>7</v>
      </c>
      <c r="Q10" s="67" t="n">
        <v>7</v>
      </c>
      <c r="R10" s="67" t="n">
        <v>7</v>
      </c>
      <c r="S10" s="67" t="n">
        <v>7</v>
      </c>
      <c r="T10" s="67" t="n">
        <v>7</v>
      </c>
      <c r="U10" s="67" t="n">
        <v>7</v>
      </c>
      <c r="V10" s="67" t="n">
        <v>7</v>
      </c>
      <c r="W10" s="67" t="n">
        <v>7</v>
      </c>
      <c r="X10" s="67" t="n">
        <v>7</v>
      </c>
      <c r="Y10" s="67" t="n">
        <v>7</v>
      </c>
      <c r="Z10" s="67" t="n">
        <v>7</v>
      </c>
      <c r="AA10" s="67" t="n">
        <v>7</v>
      </c>
      <c r="AB10" s="67" t="n">
        <v>7</v>
      </c>
      <c r="AC10" s="67" t="n">
        <v>7</v>
      </c>
      <c r="AD10" s="14" t="n"/>
    </row>
    <row r="12">
      <c r="A12" s="95" t="inlineStr">
        <is>
          <t>TOTAL SEMANAL</t>
        </is>
      </c>
      <c r="D12" s="96" t="n">
        <v>449</v>
      </c>
      <c r="E12" s="96" t="n">
        <v>449</v>
      </c>
      <c r="F12" s="96" t="n">
        <v>449</v>
      </c>
      <c r="G12" s="96" t="n">
        <v>449</v>
      </c>
      <c r="H12" s="96" t="n">
        <v>449</v>
      </c>
      <c r="I12" s="96" t="n">
        <v>449</v>
      </c>
      <c r="J12" s="96" t="n">
        <v>449</v>
      </c>
      <c r="K12" s="96" t="n">
        <v>449</v>
      </c>
      <c r="L12" s="96" t="n">
        <v>449</v>
      </c>
      <c r="M12" s="96" t="n">
        <v>449</v>
      </c>
      <c r="N12" s="96" t="n">
        <v>449</v>
      </c>
      <c r="O12" s="96" t="n">
        <v>449</v>
      </c>
      <c r="P12" s="96" t="n">
        <v>449</v>
      </c>
      <c r="Q12" s="96" t="n">
        <v>449</v>
      </c>
      <c r="R12" s="96" t="n">
        <v>449</v>
      </c>
      <c r="S12" s="96" t="n">
        <v>449</v>
      </c>
      <c r="T12" s="96" t="n">
        <v>449</v>
      </c>
      <c r="U12" s="96" t="n">
        <v>449</v>
      </c>
      <c r="V12" s="96" t="n">
        <v>449</v>
      </c>
      <c r="W12" s="96" t="n">
        <v>449</v>
      </c>
      <c r="X12" s="96" t="n">
        <v>449</v>
      </c>
      <c r="Y12" s="96" t="n">
        <v>449</v>
      </c>
      <c r="Z12" s="96" t="n">
        <v>449</v>
      </c>
      <c r="AA12" s="96" t="n">
        <v>449</v>
      </c>
      <c r="AB12" s="96" t="n">
        <v>449</v>
      </c>
      <c r="AC12" s="96" t="n">
        <v>449</v>
      </c>
      <c r="AD12" s="37" t="n"/>
    </row>
  </sheetData>
  <mergeCells count="2">
    <mergeCell ref="A12:C12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630</v>
      </c>
      <c r="E3" s="58" t="n">
        <v>630</v>
      </c>
      <c r="F3" s="58" t="n">
        <v>630</v>
      </c>
      <c r="G3" s="58" t="n">
        <v>630</v>
      </c>
      <c r="H3" s="58" t="n">
        <v>630</v>
      </c>
      <c r="I3" s="58" t="n">
        <v>630</v>
      </c>
      <c r="J3" s="58" t="n">
        <v>630</v>
      </c>
      <c r="K3" s="58" t="n">
        <v>630</v>
      </c>
      <c r="L3" s="58" t="n">
        <v>630</v>
      </c>
      <c r="M3" s="58" t="n">
        <v>630</v>
      </c>
      <c r="N3" s="58" t="n">
        <v>630</v>
      </c>
      <c r="O3" s="58" t="n">
        <v>630</v>
      </c>
      <c r="P3" s="58" t="n">
        <v>630</v>
      </c>
      <c r="Q3" s="58" t="n">
        <v>630</v>
      </c>
      <c r="R3" s="58" t="n">
        <v>630</v>
      </c>
      <c r="S3" s="58" t="n">
        <v>630</v>
      </c>
      <c r="T3" s="58" t="n">
        <v>630</v>
      </c>
      <c r="U3" s="58" t="n">
        <v>630</v>
      </c>
      <c r="V3" s="58" t="n">
        <v>630</v>
      </c>
      <c r="W3" s="58" t="n">
        <v>630</v>
      </c>
      <c r="X3" s="58" t="n">
        <v>630</v>
      </c>
      <c r="Y3" s="58" t="n">
        <v>630</v>
      </c>
      <c r="Z3" s="58" t="n">
        <v>630</v>
      </c>
      <c r="AA3" s="58" t="n">
        <v>630</v>
      </c>
      <c r="AB3" s="58" t="n">
        <v>630</v>
      </c>
      <c r="AC3" s="58" t="n">
        <v>630</v>
      </c>
      <c r="AD3" s="12" t="n"/>
    </row>
    <row r="4">
      <c r="A4" s="13" t="inlineStr">
        <is>
          <t>MO-ENCARREG-TERRA</t>
        </is>
      </c>
      <c r="B4" s="13" t="inlineStr">
        <is>
          <t>Encarregado de Terraplenagem</t>
        </is>
      </c>
      <c r="C4" s="27" t="inlineStr">
        <is>
          <t>pax</t>
        </is>
      </c>
      <c r="D4" s="67" t="n">
        <v>7</v>
      </c>
      <c r="E4" s="67" t="n">
        <v>7</v>
      </c>
      <c r="F4" s="67" t="n">
        <v>7</v>
      </c>
      <c r="G4" s="67" t="n">
        <v>7</v>
      </c>
      <c r="H4" s="67" t="n">
        <v>7</v>
      </c>
      <c r="I4" s="67" t="n">
        <v>7</v>
      </c>
      <c r="J4" s="67" t="n">
        <v>7</v>
      </c>
      <c r="K4" s="67" t="n">
        <v>7</v>
      </c>
      <c r="L4" s="67" t="n">
        <v>7</v>
      </c>
      <c r="M4" s="67" t="n">
        <v>7</v>
      </c>
      <c r="N4" s="67" t="n">
        <v>7</v>
      </c>
      <c r="O4" s="67" t="n">
        <v>7</v>
      </c>
      <c r="P4" s="67" t="n">
        <v>7</v>
      </c>
      <c r="Q4" s="67" t="n">
        <v>7</v>
      </c>
      <c r="R4" s="67" t="n">
        <v>7</v>
      </c>
      <c r="S4" s="67" t="n">
        <v>7</v>
      </c>
      <c r="T4" s="67" t="n">
        <v>7</v>
      </c>
      <c r="U4" s="67" t="n">
        <v>7</v>
      </c>
      <c r="V4" s="67" t="n">
        <v>7</v>
      </c>
      <c r="W4" s="67" t="n">
        <v>7</v>
      </c>
      <c r="X4" s="67" t="n">
        <v>7</v>
      </c>
      <c r="Y4" s="67" t="n">
        <v>7</v>
      </c>
      <c r="Z4" s="67" t="n">
        <v>7</v>
      </c>
      <c r="AA4" s="67" t="n">
        <v>7</v>
      </c>
      <c r="AB4" s="67" t="n">
        <v>7</v>
      </c>
      <c r="AC4" s="67" t="n">
        <v>7</v>
      </c>
      <c r="AD4" s="14" t="n"/>
    </row>
    <row r="5">
      <c r="A5" s="11" t="inlineStr">
        <is>
          <t>MO-MOTOR-CAM-PIPA</t>
        </is>
      </c>
      <c r="B5" s="11" t="inlineStr">
        <is>
          <t>Motorista de Caminhão Pipa</t>
        </is>
      </c>
      <c r="C5" s="18" t="inlineStr">
        <is>
          <t>pax</t>
        </is>
      </c>
      <c r="D5" s="58" t="n">
        <v>7</v>
      </c>
      <c r="E5" s="58" t="n">
        <v>7</v>
      </c>
      <c r="F5" s="58" t="n">
        <v>7</v>
      </c>
      <c r="G5" s="58" t="n">
        <v>7</v>
      </c>
      <c r="H5" s="58" t="n">
        <v>7</v>
      </c>
      <c r="I5" s="58" t="n">
        <v>7</v>
      </c>
      <c r="J5" s="58" t="n">
        <v>7</v>
      </c>
      <c r="K5" s="58" t="n">
        <v>7</v>
      </c>
      <c r="L5" s="58" t="n">
        <v>7</v>
      </c>
      <c r="M5" s="58" t="n">
        <v>7</v>
      </c>
      <c r="N5" s="58" t="n">
        <v>7</v>
      </c>
      <c r="O5" s="58" t="n">
        <v>7</v>
      </c>
      <c r="P5" s="58" t="n">
        <v>7</v>
      </c>
      <c r="Q5" s="58" t="n">
        <v>7</v>
      </c>
      <c r="R5" s="58" t="n">
        <v>7</v>
      </c>
      <c r="S5" s="58" t="n">
        <v>7</v>
      </c>
      <c r="T5" s="58" t="n">
        <v>7</v>
      </c>
      <c r="U5" s="58" t="n">
        <v>7</v>
      </c>
      <c r="V5" s="58" t="n">
        <v>7</v>
      </c>
      <c r="W5" s="58" t="n">
        <v>7</v>
      </c>
      <c r="X5" s="58" t="n">
        <v>7</v>
      </c>
      <c r="Y5" s="58" t="n">
        <v>7</v>
      </c>
      <c r="Z5" s="58" t="n">
        <v>7</v>
      </c>
      <c r="AA5" s="58" t="n">
        <v>7</v>
      </c>
      <c r="AB5" s="58" t="n">
        <v>7</v>
      </c>
      <c r="AC5" s="58" t="n">
        <v>7</v>
      </c>
      <c r="AD5" s="12" t="n"/>
    </row>
    <row r="6">
      <c r="A6" s="13" t="inlineStr">
        <is>
          <t>MO-OPER-ESCAV</t>
        </is>
      </c>
      <c r="B6" s="13" t="inlineStr">
        <is>
          <t>Operador de Escavadeira</t>
        </is>
      </c>
      <c r="C6" s="27" t="inlineStr">
        <is>
          <t>pax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MO-OPER-MOTO</t>
        </is>
      </c>
      <c r="B7" s="11" t="inlineStr">
        <is>
          <t>Operador de Motoniveladora</t>
        </is>
      </c>
      <c r="C7" s="18" t="inlineStr">
        <is>
          <t>pax</t>
        </is>
      </c>
      <c r="D7" s="58" t="n">
        <v>7</v>
      </c>
      <c r="E7" s="58" t="n">
        <v>7</v>
      </c>
      <c r="F7" s="58" t="n">
        <v>7</v>
      </c>
      <c r="G7" s="58" t="n">
        <v>7</v>
      </c>
      <c r="H7" s="58" t="n">
        <v>7</v>
      </c>
      <c r="I7" s="58" t="n">
        <v>7</v>
      </c>
      <c r="J7" s="58" t="n">
        <v>7</v>
      </c>
      <c r="K7" s="58" t="n">
        <v>7</v>
      </c>
      <c r="L7" s="58" t="n">
        <v>7</v>
      </c>
      <c r="M7" s="58" t="n">
        <v>7</v>
      </c>
      <c r="N7" s="58" t="n">
        <v>7</v>
      </c>
      <c r="O7" s="58" t="n">
        <v>7</v>
      </c>
      <c r="P7" s="58" t="n">
        <v>7</v>
      </c>
      <c r="Q7" s="58" t="n">
        <v>7</v>
      </c>
      <c r="R7" s="58" t="n">
        <v>7</v>
      </c>
      <c r="S7" s="58" t="n">
        <v>7</v>
      </c>
      <c r="T7" s="58" t="n">
        <v>7</v>
      </c>
      <c r="U7" s="58" t="n">
        <v>7</v>
      </c>
      <c r="V7" s="58" t="n">
        <v>7</v>
      </c>
      <c r="W7" s="58" t="n">
        <v>7</v>
      </c>
      <c r="X7" s="58" t="n">
        <v>7</v>
      </c>
      <c r="Y7" s="58" t="n">
        <v>7</v>
      </c>
      <c r="Z7" s="58" t="n">
        <v>7</v>
      </c>
      <c r="AA7" s="58" t="n">
        <v>7</v>
      </c>
      <c r="AB7" s="58" t="n">
        <v>7</v>
      </c>
      <c r="AC7" s="58" t="n">
        <v>7</v>
      </c>
      <c r="AD7" s="12" t="n"/>
    </row>
    <row r="8">
      <c r="A8" s="13" t="inlineStr">
        <is>
          <t>MO-OPER-ROLO-COMP</t>
        </is>
      </c>
      <c r="B8" s="13" t="inlineStr">
        <is>
          <t>Operador de Rolo Compactador</t>
        </is>
      </c>
      <c r="C8" s="27" t="inlineStr">
        <is>
          <t>pax</t>
        </is>
      </c>
      <c r="D8" s="67" t="n">
        <v>14</v>
      </c>
      <c r="E8" s="67" t="n">
        <v>14</v>
      </c>
      <c r="F8" s="67" t="n">
        <v>14</v>
      </c>
      <c r="G8" s="67" t="n">
        <v>14</v>
      </c>
      <c r="H8" s="67" t="n">
        <v>14</v>
      </c>
      <c r="I8" s="67" t="n">
        <v>14</v>
      </c>
      <c r="J8" s="67" t="n">
        <v>14</v>
      </c>
      <c r="K8" s="67" t="n">
        <v>14</v>
      </c>
      <c r="L8" s="67" t="n">
        <v>14</v>
      </c>
      <c r="M8" s="67" t="n">
        <v>14</v>
      </c>
      <c r="N8" s="67" t="n">
        <v>14</v>
      </c>
      <c r="O8" s="67" t="n">
        <v>14</v>
      </c>
      <c r="P8" s="67" t="n">
        <v>14</v>
      </c>
      <c r="Q8" s="67" t="n">
        <v>14</v>
      </c>
      <c r="R8" s="67" t="n">
        <v>14</v>
      </c>
      <c r="S8" s="67" t="n">
        <v>14</v>
      </c>
      <c r="T8" s="67" t="n">
        <v>14</v>
      </c>
      <c r="U8" s="67" t="n">
        <v>14</v>
      </c>
      <c r="V8" s="67" t="n">
        <v>14</v>
      </c>
      <c r="W8" s="67" t="n">
        <v>14</v>
      </c>
      <c r="X8" s="67" t="n">
        <v>14</v>
      </c>
      <c r="Y8" s="67" t="n">
        <v>14</v>
      </c>
      <c r="Z8" s="67" t="n">
        <v>14</v>
      </c>
      <c r="AA8" s="67" t="n">
        <v>14</v>
      </c>
      <c r="AB8" s="67" t="n">
        <v>14</v>
      </c>
      <c r="AC8" s="67" t="n">
        <v>14</v>
      </c>
      <c r="AD8" s="14" t="n"/>
    </row>
    <row r="9">
      <c r="A9" s="11" t="inlineStr">
        <is>
          <t>MO-OPER-TRATOR-EST</t>
        </is>
      </c>
      <c r="B9" s="11" t="inlineStr">
        <is>
          <t>Operador de Trator de Esteiras</t>
        </is>
      </c>
      <c r="C9" s="18" t="inlineStr">
        <is>
          <t>pax</t>
        </is>
      </c>
      <c r="D9" s="58" t="n">
        <v>1</v>
      </c>
      <c r="E9" s="58" t="n">
        <v>1</v>
      </c>
      <c r="F9" s="58" t="n">
        <v>1</v>
      </c>
      <c r="G9" s="58" t="n">
        <v>1</v>
      </c>
      <c r="H9" s="58" t="n">
        <v>1</v>
      </c>
      <c r="I9" s="58" t="n">
        <v>1</v>
      </c>
      <c r="J9" s="58" t="n">
        <v>1</v>
      </c>
      <c r="K9" s="58" t="n">
        <v>1</v>
      </c>
      <c r="L9" s="58" t="n">
        <v>1</v>
      </c>
      <c r="M9" s="58" t="n">
        <v>1</v>
      </c>
      <c r="N9" s="58" t="n">
        <v>1</v>
      </c>
      <c r="O9" s="58" t="n">
        <v>1</v>
      </c>
      <c r="P9" s="58" t="n">
        <v>1</v>
      </c>
      <c r="Q9" s="58" t="n">
        <v>1</v>
      </c>
      <c r="R9" s="58" t="n">
        <v>1</v>
      </c>
      <c r="S9" s="58" t="n">
        <v>1</v>
      </c>
      <c r="T9" s="58" t="n">
        <v>1</v>
      </c>
      <c r="U9" s="58" t="n">
        <v>1</v>
      </c>
      <c r="V9" s="58" t="n">
        <v>1</v>
      </c>
      <c r="W9" s="58" t="n">
        <v>1</v>
      </c>
      <c r="X9" s="58" t="n">
        <v>1</v>
      </c>
      <c r="Y9" s="58" t="n">
        <v>1</v>
      </c>
      <c r="Z9" s="58" t="n">
        <v>1</v>
      </c>
      <c r="AA9" s="58" t="n">
        <v>1</v>
      </c>
      <c r="AB9" s="58" t="n">
        <v>1</v>
      </c>
      <c r="AC9" s="58" t="n">
        <v>1</v>
      </c>
      <c r="AD9" s="12" t="n"/>
    </row>
    <row r="10">
      <c r="A10" s="13" t="inlineStr">
        <is>
          <t>MO-OPERADOR-DE-MOTOSCRA</t>
        </is>
      </c>
      <c r="B10" s="13" t="inlineStr">
        <is>
          <t>Operador de Motoscraper</t>
        </is>
      </c>
      <c r="C10" s="27" t="inlineStr">
        <is>
          <t>pax</t>
        </is>
      </c>
      <c r="D10" s="67" t="n">
        <v>209</v>
      </c>
      <c r="E10" s="67" t="n">
        <v>209</v>
      </c>
      <c r="F10" s="67" t="n">
        <v>209</v>
      </c>
      <c r="G10" s="67" t="n">
        <v>209</v>
      </c>
      <c r="H10" s="67" t="n">
        <v>209</v>
      </c>
      <c r="I10" s="67" t="n">
        <v>209</v>
      </c>
      <c r="J10" s="67" t="n">
        <v>209</v>
      </c>
      <c r="K10" s="67" t="n">
        <v>209</v>
      </c>
      <c r="L10" s="67" t="n">
        <v>209</v>
      </c>
      <c r="M10" s="67" t="n">
        <v>209</v>
      </c>
      <c r="N10" s="67" t="n">
        <v>209</v>
      </c>
      <c r="O10" s="67" t="n">
        <v>209</v>
      </c>
      <c r="P10" s="67" t="n">
        <v>209</v>
      </c>
      <c r="Q10" s="67" t="n">
        <v>209</v>
      </c>
      <c r="R10" s="67" t="n">
        <v>209</v>
      </c>
      <c r="S10" s="67" t="n">
        <v>209</v>
      </c>
      <c r="T10" s="67" t="n">
        <v>209</v>
      </c>
      <c r="U10" s="67" t="n">
        <v>209</v>
      </c>
      <c r="V10" s="67" t="n">
        <v>209</v>
      </c>
      <c r="W10" s="67" t="n">
        <v>209</v>
      </c>
      <c r="X10" s="67" t="n">
        <v>209</v>
      </c>
      <c r="Y10" s="67" t="n">
        <v>209</v>
      </c>
      <c r="Z10" s="67" t="n">
        <v>209</v>
      </c>
      <c r="AA10" s="67" t="n">
        <v>209</v>
      </c>
      <c r="AB10" s="67" t="n">
        <v>209</v>
      </c>
      <c r="AC10" s="67" t="n">
        <v>209</v>
      </c>
      <c r="AD10" s="14" t="n"/>
    </row>
    <row r="11">
      <c r="A11" s="11" t="inlineStr">
        <is>
          <t>P0001</t>
        </is>
      </c>
      <c r="B11" s="11" t="inlineStr">
        <is>
          <t>Ajudante</t>
        </is>
      </c>
      <c r="C11" s="18" t="inlineStr">
        <is>
          <t>pax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2">
      <c r="A12" s="13" t="inlineStr">
        <is>
          <t>P0032</t>
        </is>
      </c>
      <c r="B12" s="13" t="inlineStr">
        <is>
          <t>Motorista de Caminhão Basculante</t>
        </is>
      </c>
      <c r="C12" s="27" t="inlineStr">
        <is>
          <t>pax</t>
        </is>
      </c>
      <c r="D12" s="67" t="n">
        <v>7</v>
      </c>
      <c r="E12" s="67" t="n">
        <v>7</v>
      </c>
      <c r="F12" s="67" t="n">
        <v>7</v>
      </c>
      <c r="G12" s="67" t="n">
        <v>7</v>
      </c>
      <c r="H12" s="67" t="n">
        <v>7</v>
      </c>
      <c r="I12" s="67" t="n">
        <v>7</v>
      </c>
      <c r="J12" s="67" t="n">
        <v>7</v>
      </c>
      <c r="K12" s="67" t="n">
        <v>7</v>
      </c>
      <c r="L12" s="67" t="n">
        <v>7</v>
      </c>
      <c r="M12" s="67" t="n">
        <v>7</v>
      </c>
      <c r="N12" s="67" t="n">
        <v>7</v>
      </c>
      <c r="O12" s="67" t="n">
        <v>7</v>
      </c>
      <c r="P12" s="67" t="n">
        <v>7</v>
      </c>
      <c r="Q12" s="67" t="n">
        <v>7</v>
      </c>
      <c r="R12" s="67" t="n">
        <v>7</v>
      </c>
      <c r="S12" s="67" t="n">
        <v>7</v>
      </c>
      <c r="T12" s="67" t="n">
        <v>7</v>
      </c>
      <c r="U12" s="67" t="n">
        <v>7</v>
      </c>
      <c r="V12" s="67" t="n">
        <v>7</v>
      </c>
      <c r="W12" s="67" t="n">
        <v>7</v>
      </c>
      <c r="X12" s="67" t="n">
        <v>7</v>
      </c>
      <c r="Y12" s="67" t="n">
        <v>7</v>
      </c>
      <c r="Z12" s="67" t="n">
        <v>7</v>
      </c>
      <c r="AA12" s="67" t="n">
        <v>7</v>
      </c>
      <c r="AB12" s="67" t="n">
        <v>7</v>
      </c>
      <c r="AC12" s="67" t="n">
        <v>7</v>
      </c>
      <c r="AD12" s="14" t="n"/>
    </row>
    <row r="13">
      <c r="A13" s="11" t="inlineStr">
        <is>
          <t>P0040</t>
        </is>
      </c>
      <c r="B13" s="11" t="inlineStr">
        <is>
          <t>Operador de Escavadeira</t>
        </is>
      </c>
      <c r="C13" s="18" t="inlineStr">
        <is>
          <t>pax</t>
        </is>
      </c>
      <c r="D13" s="58" t="n">
        <v>1</v>
      </c>
      <c r="E13" s="58" t="n">
        <v>1</v>
      </c>
      <c r="F13" s="58" t="n">
        <v>1</v>
      </c>
      <c r="G13" s="58" t="n">
        <v>1</v>
      </c>
      <c r="H13" s="58" t="n">
        <v>1</v>
      </c>
      <c r="I13" s="58" t="n">
        <v>1</v>
      </c>
      <c r="J13" s="58" t="n">
        <v>1</v>
      </c>
      <c r="K13" s="58" t="n">
        <v>1</v>
      </c>
      <c r="L13" s="58" t="n">
        <v>1</v>
      </c>
      <c r="M13" s="58" t="n">
        <v>1</v>
      </c>
      <c r="N13" s="58" t="n">
        <v>1</v>
      </c>
      <c r="O13" s="58" t="n">
        <v>1</v>
      </c>
      <c r="P13" s="58" t="n">
        <v>1</v>
      </c>
      <c r="Q13" s="58" t="n">
        <v>1</v>
      </c>
      <c r="R13" s="58" t="n">
        <v>1</v>
      </c>
      <c r="S13" s="58" t="n">
        <v>1</v>
      </c>
      <c r="T13" s="58" t="n">
        <v>1</v>
      </c>
      <c r="U13" s="58" t="n">
        <v>1</v>
      </c>
      <c r="V13" s="58" t="n">
        <v>1</v>
      </c>
      <c r="W13" s="58" t="n">
        <v>1</v>
      </c>
      <c r="X13" s="58" t="n">
        <v>1</v>
      </c>
      <c r="Y13" s="58" t="n">
        <v>1</v>
      </c>
      <c r="Z13" s="58" t="n">
        <v>1</v>
      </c>
      <c r="AA13" s="58" t="n">
        <v>1</v>
      </c>
      <c r="AB13" s="58" t="n">
        <v>1</v>
      </c>
      <c r="AC13" s="58" t="n">
        <v>1</v>
      </c>
      <c r="AD13" s="12" t="n"/>
    </row>
    <row r="14">
      <c r="A14" s="13" t="inlineStr">
        <is>
          <t>P0065</t>
        </is>
      </c>
      <c r="B14" s="13" t="inlineStr">
        <is>
          <t>Encarregado de Frente</t>
        </is>
      </c>
      <c r="C14" s="27" t="inlineStr">
        <is>
          <t>pax</t>
        </is>
      </c>
      <c r="D14" s="67" t="n">
        <v>1</v>
      </c>
      <c r="E14" s="67" t="n">
        <v>1</v>
      </c>
      <c r="F14" s="67" t="n">
        <v>1</v>
      </c>
      <c r="G14" s="67" t="n">
        <v>1</v>
      </c>
      <c r="H14" s="67" t="n">
        <v>1</v>
      </c>
      <c r="I14" s="67" t="n">
        <v>1</v>
      </c>
      <c r="J14" s="67" t="n">
        <v>1</v>
      </c>
      <c r="K14" s="67" t="n">
        <v>1</v>
      </c>
      <c r="L14" s="67" t="n">
        <v>1</v>
      </c>
      <c r="M14" s="67" t="n">
        <v>1</v>
      </c>
      <c r="N14" s="67" t="n">
        <v>1</v>
      </c>
      <c r="O14" s="67" t="n">
        <v>1</v>
      </c>
      <c r="P14" s="67" t="n">
        <v>1</v>
      </c>
      <c r="Q14" s="67" t="n">
        <v>1</v>
      </c>
      <c r="R14" s="67" t="n">
        <v>1</v>
      </c>
      <c r="S14" s="67" t="n">
        <v>1</v>
      </c>
      <c r="T14" s="67" t="n">
        <v>1</v>
      </c>
      <c r="U14" s="67" t="n">
        <v>1</v>
      </c>
      <c r="V14" s="67" t="n">
        <v>1</v>
      </c>
      <c r="W14" s="67" t="n">
        <v>1</v>
      </c>
      <c r="X14" s="67" t="n">
        <v>1</v>
      </c>
      <c r="Y14" s="67" t="n">
        <v>1</v>
      </c>
      <c r="Z14" s="67" t="n">
        <v>1</v>
      </c>
      <c r="AA14" s="67" t="n">
        <v>1</v>
      </c>
      <c r="AB14" s="67" t="n">
        <v>1</v>
      </c>
      <c r="AC14" s="67" t="n">
        <v>1</v>
      </c>
      <c r="AD14" s="14" t="n"/>
    </row>
    <row r="16">
      <c r="A16" s="95" t="inlineStr">
        <is>
          <t>TOTAL SEMANAL</t>
        </is>
      </c>
      <c r="D16" s="96" t="n">
        <v>886</v>
      </c>
      <c r="E16" s="96" t="n">
        <v>886</v>
      </c>
      <c r="F16" s="96" t="n">
        <v>886</v>
      </c>
      <c r="G16" s="96" t="n">
        <v>886</v>
      </c>
      <c r="H16" s="96" t="n">
        <v>886</v>
      </c>
      <c r="I16" s="96" t="n">
        <v>886</v>
      </c>
      <c r="J16" s="96" t="n">
        <v>886</v>
      </c>
      <c r="K16" s="96" t="n">
        <v>886</v>
      </c>
      <c r="L16" s="96" t="n">
        <v>886</v>
      </c>
      <c r="M16" s="96" t="n">
        <v>886</v>
      </c>
      <c r="N16" s="96" t="n">
        <v>886</v>
      </c>
      <c r="O16" s="96" t="n">
        <v>886</v>
      </c>
      <c r="P16" s="96" t="n">
        <v>886</v>
      </c>
      <c r="Q16" s="96" t="n">
        <v>886</v>
      </c>
      <c r="R16" s="96" t="n">
        <v>886</v>
      </c>
      <c r="S16" s="96" t="n">
        <v>886</v>
      </c>
      <c r="T16" s="96" t="n">
        <v>886</v>
      </c>
      <c r="U16" s="96" t="n">
        <v>886</v>
      </c>
      <c r="V16" s="96" t="n">
        <v>886</v>
      </c>
      <c r="W16" s="96" t="n">
        <v>886</v>
      </c>
      <c r="X16" s="96" t="n">
        <v>886</v>
      </c>
      <c r="Y16" s="96" t="n">
        <v>886</v>
      </c>
      <c r="Z16" s="96" t="n">
        <v>886</v>
      </c>
      <c r="AA16" s="96" t="n">
        <v>886</v>
      </c>
      <c r="AB16" s="96" t="n">
        <v>886</v>
      </c>
      <c r="AC16" s="96" t="n">
        <v>886</v>
      </c>
      <c r="AD16" s="37" t="n"/>
    </row>
  </sheetData>
  <mergeCells count="2">
    <mergeCell ref="A16:C16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6" t="inlineStr">
        <is>
          <t>eap-1_2</t>
        </is>
      </c>
      <c r="B3" s="46" t="inlineStr">
        <is>
          <t>Corte e transporte interno</t>
        </is>
      </c>
      <c r="C3" s="46" t="inlineStr">
        <is>
          <t>m3</t>
        </is>
      </c>
      <c r="D3" s="47" t="n">
        <v>1250000</v>
      </c>
      <c r="E3" s="48" t="n">
        <v>2617092.98</v>
      </c>
      <c r="F3" s="97" t="n">
        <v>42.2178</v>
      </c>
      <c r="G3" s="97" t="n">
        <v>42.2178</v>
      </c>
      <c r="H3" s="46" t="inlineStr">
        <is>
          <t>A</t>
        </is>
      </c>
      <c r="I3" s="46" t="inlineStr"/>
    </row>
    <row r="4">
      <c r="A4" s="43" t="inlineStr">
        <is>
          <t>eap-1_3</t>
        </is>
      </c>
      <c r="B4" s="43" t="inlineStr">
        <is>
          <t>Aterro compactado / 98% e 100% P.N nas útimas 5 camadas</t>
        </is>
      </c>
      <c r="C4" s="43" t="inlineStr">
        <is>
          <t>m3</t>
        </is>
      </c>
      <c r="D4" s="44" t="n">
        <v>1000000</v>
      </c>
      <c r="E4" s="45" t="n">
        <v>1105525.77</v>
      </c>
      <c r="F4" s="98" t="n">
        <v>17.8338</v>
      </c>
      <c r="G4" s="98" t="n">
        <v>60.0516</v>
      </c>
      <c r="H4" s="43" t="inlineStr">
        <is>
          <t>B</t>
        </is>
      </c>
      <c r="I4" s="43" t="inlineStr"/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1506839</v>
      </c>
      <c r="F5" s="4" t="n">
        <v>24.3077</v>
      </c>
      <c r="G5" s="4" t="n">
        <v>84.3593</v>
      </c>
      <c r="H5" s="31" t="inlineStr">
        <is>
          <t>C</t>
        </is>
      </c>
      <c r="I5" s="31" t="inlineStr"/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969573.42</v>
      </c>
      <c r="F6" s="7" t="n">
        <v>15.6407</v>
      </c>
      <c r="G6" s="7" t="n">
        <v>100</v>
      </c>
      <c r="H6" s="34" t="inlineStr">
        <is>
          <t>C</t>
        </is>
      </c>
      <c r="I6" s="34" t="inlineStr"/>
    </row>
    <row r="8">
      <c r="A8" s="29" t="inlineStr">
        <is>
          <t>TOTAL</t>
        </is>
      </c>
      <c r="E8" s="30">
        <f>SUM(E3:E7)</f>
        <v/>
      </c>
      <c r="F8" s="37" t="n"/>
      <c r="G8" s="37" t="n"/>
      <c r="H8" s="37" t="n"/>
      <c r="I8" s="37" t="n"/>
    </row>
  </sheetData>
  <mergeCells count="2">
    <mergeCell ref="A1:I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2026-05-12T13:21:32Z</dcterms:created>
  <dcterms:modified xsi:type="dcterms:W3CDTF">2026-05-12T13:21:33Z</dcterms:modified>
</cp:coreProperties>
</file>