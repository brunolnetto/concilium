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  <sheet name="ANALISE.CURVA_ABC" sheetId="15" state="visible" r:id="rId15"/>
  </sheets>
  <definedNames>
    <definedName name="TOTAL_DIRETO">'DIRETOS.DET'!$I$42</definedName>
    <definedName name="DIRETOS_RES_SEM_BDI">'DIRETOS.RES'!$I$8</definedName>
    <definedName name="DIRETOS_RES_COM_BDI">'DIRETOS.RES'!$N$8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PLANEJAMENTO!$I$8</definedName>
    <definedName name="TOTAL_COM_BDI">PLANEJAMENTO!$N$8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9B1C1C"/>
      <sz val="14"/>
    </font>
    <font>
      <name val="Calibri"/>
      <color rgb="009B1C1C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F5E6D8"/>
        <bgColor rgb="00F5E6D8"/>
      </patternFill>
    </fill>
    <fill>
      <patternFill patternType="solid">
        <fgColor rgb="00FFA500"/>
        <bgColor rgb="00FFA500"/>
      </patternFill>
    </fill>
    <fill>
      <patternFill patternType="solid">
        <fgColor rgb="00FFFF33"/>
        <bgColor rgb="00FFFF33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165" fontId="4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4" fillId="10" borderId="1" applyAlignment="1" pivotButton="0" quotePrefix="0" xfId="0">
      <alignment horizontal="center" vertical="center"/>
    </xf>
    <xf numFmtId="9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1" fontId="0" fillId="7" borderId="1" applyAlignment="1" pivotButton="0" quotePrefix="0" xfId="0">
      <alignment horizontal="right" vertical="center"/>
    </xf>
    <xf numFmtId="0" fontId="0" fillId="7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9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9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165" fontId="12" fillId="3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5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  <xf numFmtId="164" fontId="0" fillId="8" borderId="1" applyAlignment="1" pivotButton="0" quotePrefix="0" xfId="0">
      <alignment horizontal="right" vertical="center"/>
    </xf>
    <xf numFmtId="164" fontId="0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  <row r="11">
      <c r="A11" s="9" t="inlineStr">
        <is>
          <t>BDI Efetivo Aplicado por Item do Planejamento</t>
        </is>
      </c>
    </row>
    <row r="12">
      <c r="A12" s="10" t="inlineStr">
        <is>
          <t>Item ID</t>
        </is>
      </c>
      <c r="B12" s="10" t="inlineStr">
        <is>
          <t>MO BDI (%)</t>
        </is>
      </c>
      <c r="C12" s="10" t="inlineStr">
        <is>
          <t>EQ BDI (%)</t>
        </is>
      </c>
      <c r="D12" s="10" t="inlineStr">
        <is>
          <t>MAT BDI (%)</t>
        </is>
      </c>
      <c r="E12" s="10" t="inlineStr">
        <is>
          <t>DIESEL BDI (%)</t>
        </is>
      </c>
      <c r="F12" s="10" t="inlineStr"/>
      <c r="G12" s="10" t="inlineStr"/>
      <c r="H12" s="10" t="inlineStr"/>
      <c r="I12" s="10" t="inlineStr"/>
      <c r="J12" s="10" t="inlineStr"/>
      <c r="K12" s="10" t="inlineStr"/>
      <c r="L12" s="10" t="inlineStr"/>
      <c r="M12" s="10" t="inlineStr"/>
    </row>
    <row r="13">
      <c r="A13" s="11" t="inlineStr">
        <is>
          <t>eap-01</t>
        </is>
      </c>
      <c r="B13" s="4" t="n">
        <v>34.5</v>
      </c>
      <c r="C13" s="4" t="n">
        <v>34.5</v>
      </c>
      <c r="D13" s="4" t="n">
        <v>20</v>
      </c>
      <c r="E13" s="4" t="n">
        <v>34.5</v>
      </c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13" t="inlineStr">
        <is>
          <t>eap-02</t>
        </is>
      </c>
      <c r="B14" s="7" t="n">
        <v>34.5</v>
      </c>
      <c r="C14" s="7" t="n">
        <v>34.5</v>
      </c>
      <c r="D14" s="7" t="n">
        <v>20</v>
      </c>
      <c r="E14" s="7" t="n">
        <v>34.5</v>
      </c>
      <c r="F14" s="14" t="n"/>
      <c r="G14" s="14" t="n"/>
      <c r="H14" s="14" t="n"/>
      <c r="I14" s="14" t="n"/>
      <c r="J14" s="14" t="n"/>
      <c r="K14" s="14" t="n"/>
      <c r="L14" s="14" t="n"/>
      <c r="M14" s="14" t="n"/>
    </row>
    <row r="15">
      <c r="A15" s="11" t="inlineStr">
        <is>
          <t>eap-03</t>
        </is>
      </c>
      <c r="B15" s="4" t="n">
        <v>34.5</v>
      </c>
      <c r="C15" s="4" t="n">
        <v>34.5</v>
      </c>
      <c r="D15" s="4" t="n">
        <v>20</v>
      </c>
      <c r="E15" s="4" t="n">
        <v>34.5</v>
      </c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13" t="inlineStr">
        <is>
          <t>eap-04</t>
        </is>
      </c>
      <c r="B16" s="7" t="n">
        <v>34.5</v>
      </c>
      <c r="C16" s="7" t="n">
        <v>34.5</v>
      </c>
      <c r="D16" s="7" t="n">
        <v>20</v>
      </c>
      <c r="E16" s="7" t="n">
        <v>34.5</v>
      </c>
      <c r="F16" s="14" t="n"/>
      <c r="G16" s="14" t="n"/>
      <c r="H16" s="14" t="n"/>
      <c r="I16" s="14" t="n"/>
      <c r="J16" s="14" t="n"/>
      <c r="K16" s="14" t="n"/>
      <c r="L16" s="14" t="n"/>
      <c r="M16" s="14" t="n"/>
    </row>
  </sheetData>
  <mergeCells count="3">
    <mergeCell ref="A11:M11"/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6" customWidth="1" min="3" max="3"/>
    <col width="10" customWidth="1" min="4" max="4"/>
    <col width="6" customWidth="1" min="5" max="5"/>
    <col width="16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eap-01 — Escavação, carga e transporte 1ª cat</t>
        </is>
      </c>
    </row>
    <row r="4">
      <c r="A4" s="11" t="inlineStr">
        <is>
          <t>MÃO DE OBRA</t>
        </is>
      </c>
      <c r="B4" s="11" t="inlineStr">
        <is>
          <t>MO-OPER-ESCAV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7">
        <f>E4*F4</f>
        <v/>
      </c>
      <c r="H4" s="16" t="n">
        <v>2.53</v>
      </c>
      <c r="I4" s="17">
        <f>G4*H4</f>
        <v/>
      </c>
    </row>
    <row r="5">
      <c r="A5" s="11" t="inlineStr">
        <is>
          <t>MÃO DE OBRA</t>
        </is>
      </c>
      <c r="B5" s="11" t="inlineStr">
        <is>
          <t>MO-MOTOR-CAM-BASC</t>
        </is>
      </c>
      <c r="C5" s="11" t="inlineStr">
        <is>
          <t>Motorista de Caminhão Basculante</t>
        </is>
      </c>
      <c r="D5" s="15" t="inlineStr">
        <is>
          <t>DIRETO</t>
        </is>
      </c>
      <c r="E5" s="16" t="n">
        <v>3</v>
      </c>
      <c r="F5" s="17" t="n">
        <v>10685.34</v>
      </c>
      <c r="G5" s="17">
        <f>E5*F5</f>
        <v/>
      </c>
      <c r="H5" s="16" t="n">
        <v>2.53</v>
      </c>
      <c r="I5" s="17">
        <f>G5*H5</f>
        <v/>
      </c>
    </row>
    <row r="6">
      <c r="A6" s="11" t="inlineStr">
        <is>
          <t>MÃO DE OBRA</t>
        </is>
      </c>
      <c r="B6" s="11" t="inlineStr">
        <is>
          <t>MO-MOTOR-CAM-BASC</t>
        </is>
      </c>
      <c r="C6" s="11" t="inlineStr">
        <is>
          <t>Motorista de Caminhão Basculante</t>
        </is>
      </c>
      <c r="D6" s="15" t="inlineStr">
        <is>
          <t>DIRETO</t>
        </is>
      </c>
      <c r="E6" s="16" t="n">
        <v>1</v>
      </c>
      <c r="F6" s="17" t="n">
        <v>10685.34</v>
      </c>
      <c r="G6" s="17">
        <f>E6*F6</f>
        <v/>
      </c>
      <c r="H6" s="16" t="n">
        <v>2.53</v>
      </c>
      <c r="I6" s="17">
        <f>G6*H6</f>
        <v/>
      </c>
    </row>
    <row r="7">
      <c r="A7" s="11" t="inlineStr">
        <is>
          <t>MÃO DE OBRA</t>
        </is>
      </c>
      <c r="B7" s="11" t="inlineStr">
        <is>
          <t>MO-ENCARREG-TERRA</t>
        </is>
      </c>
      <c r="C7" s="11" t="inlineStr">
        <is>
          <t>Encarregado de Terraplenagem</t>
        </is>
      </c>
      <c r="D7" s="15" t="inlineStr">
        <is>
          <t>DIRETO</t>
        </is>
      </c>
      <c r="E7" s="16" t="n">
        <v>1</v>
      </c>
      <c r="F7" s="17" t="n">
        <v>11549.8</v>
      </c>
      <c r="G7" s="17">
        <f>E7*F7</f>
        <v/>
      </c>
      <c r="H7" s="16" t="n">
        <v>2.53</v>
      </c>
      <c r="I7" s="17">
        <f>G7*H7</f>
        <v/>
      </c>
    </row>
    <row r="8">
      <c r="A8" s="11" t="inlineStr">
        <is>
          <t>EQUIPAMENTO</t>
        </is>
      </c>
      <c r="B8" s="11" t="inlineStr">
        <is>
          <t>EQ-E0016</t>
        </is>
      </c>
      <c r="C8" s="11" t="inlineStr">
        <is>
          <t>Escavadeira Hidráulica 22t</t>
        </is>
      </c>
      <c r="D8" s="18" t="inlineStr">
        <is>
          <t>—</t>
        </is>
      </c>
      <c r="E8" s="16" t="n">
        <v>1</v>
      </c>
      <c r="F8" s="17" t="n">
        <v>35639.3</v>
      </c>
      <c r="G8" s="17">
        <f>E8*F8</f>
        <v/>
      </c>
      <c r="H8" s="16" t="n">
        <v>2.53</v>
      </c>
      <c r="I8" s="17">
        <f>G8*H8</f>
        <v/>
      </c>
    </row>
    <row r="9">
      <c r="A9" s="11" t="inlineStr">
        <is>
          <t>EQUIPAMENTO</t>
        </is>
      </c>
      <c r="B9" s="11" t="inlineStr">
        <is>
          <t>EQ-E0007</t>
        </is>
      </c>
      <c r="C9" s="11" t="inlineStr">
        <is>
          <t>Caminhão Basculante 14m³</t>
        </is>
      </c>
      <c r="D9" s="18" t="inlineStr">
        <is>
          <t>—</t>
        </is>
      </c>
      <c r="E9" s="16" t="n">
        <v>3</v>
      </c>
      <c r="F9" s="17" t="n">
        <v>25132.8</v>
      </c>
      <c r="G9" s="17">
        <f>E9*F9</f>
        <v/>
      </c>
      <c r="H9" s="16" t="n">
        <v>2.53</v>
      </c>
      <c r="I9" s="17">
        <f>G9*H9</f>
        <v/>
      </c>
    </row>
    <row r="10">
      <c r="A10" s="19" t="inlineStr">
        <is>
          <t>COMBUSTÍVEL</t>
        </is>
      </c>
      <c r="B10" s="11" t="inlineStr">
        <is>
          <t>EQ-E0007</t>
        </is>
      </c>
      <c r="C10" s="11" t="inlineStr">
        <is>
          <t>Diesel S-10 (7.3 L/h)</t>
        </is>
      </c>
      <c r="D10" s="18" t="inlineStr">
        <is>
          <t>—</t>
        </is>
      </c>
      <c r="E10" s="16" t="n">
        <v>3</v>
      </c>
      <c r="F10" s="17" t="n">
        <v>9259.610000000001</v>
      </c>
      <c r="G10" s="17">
        <f>E10*F10</f>
        <v/>
      </c>
      <c r="H10" s="16" t="n">
        <v>2.53</v>
      </c>
      <c r="I10" s="17">
        <f>G10*H10</f>
        <v/>
      </c>
    </row>
    <row r="11">
      <c r="A11" s="20" t="inlineStr">
        <is>
          <t>Subtotal eap-01</t>
        </is>
      </c>
      <c r="B11" s="21" t="n"/>
      <c r="C11" s="21" t="n"/>
      <c r="D11" s="21" t="n"/>
      <c r="E11" s="21" t="n"/>
      <c r="F11" s="21" t="n"/>
      <c r="G11" s="22">
        <f>SUM(G4:G10)</f>
        <v/>
      </c>
      <c r="H11" s="23" t="n">
        <v>2.53</v>
      </c>
      <c r="I11" s="22">
        <f>SUM(I4:I10)</f>
        <v/>
      </c>
    </row>
    <row r="12">
      <c r="A12" s="9" t="inlineStr">
        <is>
          <t>eap-02 — Compactação de aterro</t>
        </is>
      </c>
    </row>
    <row r="13">
      <c r="A13" s="13" t="inlineStr">
        <is>
          <t>MÃO DE OBRA</t>
        </is>
      </c>
      <c r="B13" s="13" t="inlineStr">
        <is>
          <t>MO-OPER-MOTO</t>
        </is>
      </c>
      <c r="C13" s="13" t="inlineStr">
        <is>
          <t>Operador de Motoniveladora</t>
        </is>
      </c>
      <c r="D13" s="24" t="inlineStr">
        <is>
          <t>DIRETO</t>
        </is>
      </c>
      <c r="E13" s="25" t="n">
        <v>1</v>
      </c>
      <c r="F13" s="26" t="n">
        <v>17356.25</v>
      </c>
      <c r="G13" s="26">
        <f>E13*F13</f>
        <v/>
      </c>
      <c r="H13" s="25" t="n">
        <v>2.3</v>
      </c>
      <c r="I13" s="26">
        <f>G13*H13</f>
        <v/>
      </c>
    </row>
    <row r="14">
      <c r="A14" s="13" t="inlineStr">
        <is>
          <t>MÃO DE OBRA</t>
        </is>
      </c>
      <c r="B14" s="13" t="inlineStr">
        <is>
          <t>MO-OPER-ROLO-COMP</t>
        </is>
      </c>
      <c r="C14" s="13" t="inlineStr">
        <is>
          <t>Operador de Rolo Compactador</t>
        </is>
      </c>
      <c r="D14" s="24" t="inlineStr">
        <is>
          <t>DIRETO</t>
        </is>
      </c>
      <c r="E14" s="25" t="n">
        <v>1</v>
      </c>
      <c r="F14" s="26" t="n">
        <v>10685.34</v>
      </c>
      <c r="G14" s="26">
        <f>E14*F14</f>
        <v/>
      </c>
      <c r="H14" s="25" t="n">
        <v>2.3</v>
      </c>
      <c r="I14" s="26">
        <f>G14*H14</f>
        <v/>
      </c>
    </row>
    <row r="15">
      <c r="A15" s="13" t="inlineStr">
        <is>
          <t>MÃO DE OBRA</t>
        </is>
      </c>
      <c r="B15" s="13" t="inlineStr">
        <is>
          <t>MO-MOTOR-CAM-PIPA</t>
        </is>
      </c>
      <c r="C15" s="13" t="inlineStr">
        <is>
          <t>Motorista de Caminhão Pipa</t>
        </is>
      </c>
      <c r="D15" s="24" t="inlineStr">
        <is>
          <t>DIRETO</t>
        </is>
      </c>
      <c r="E15" s="25" t="n">
        <v>1</v>
      </c>
      <c r="F15" s="26" t="n">
        <v>10685.34</v>
      </c>
      <c r="G15" s="26">
        <f>E15*F15</f>
        <v/>
      </c>
      <c r="H15" s="25" t="n">
        <v>2.3</v>
      </c>
      <c r="I15" s="26">
        <f>G15*H15</f>
        <v/>
      </c>
    </row>
    <row r="16">
      <c r="A16" s="13" t="inlineStr">
        <is>
          <t>MÃO DE OBRA</t>
        </is>
      </c>
      <c r="B16" s="13" t="inlineStr">
        <is>
          <t>MO-OPER-ROLO-COMP</t>
        </is>
      </c>
      <c r="C16" s="13" t="inlineStr">
        <is>
          <t>Operador de Rolo Compactador</t>
        </is>
      </c>
      <c r="D16" s="24" t="inlineStr">
        <is>
          <t>DIRETO</t>
        </is>
      </c>
      <c r="E16" s="25" t="n">
        <v>1</v>
      </c>
      <c r="F16" s="26" t="n">
        <v>10685.34</v>
      </c>
      <c r="G16" s="26">
        <f>E16*F16</f>
        <v/>
      </c>
      <c r="H16" s="25" t="n">
        <v>2.3</v>
      </c>
      <c r="I16" s="26">
        <f>G16*H16</f>
        <v/>
      </c>
    </row>
    <row r="17">
      <c r="A17" s="13" t="inlineStr">
        <is>
          <t>MÃO DE OBRA</t>
        </is>
      </c>
      <c r="B17" s="13" t="inlineStr">
        <is>
          <t>MO-ENCARREG-TERRA</t>
        </is>
      </c>
      <c r="C17" s="13" t="inlineStr">
        <is>
          <t>Encarregado de Terraplenagem</t>
        </is>
      </c>
      <c r="D17" s="24" t="inlineStr">
        <is>
          <t>DIRETO</t>
        </is>
      </c>
      <c r="E17" s="25" t="n">
        <v>1</v>
      </c>
      <c r="F17" s="26" t="n">
        <v>11549.8</v>
      </c>
      <c r="G17" s="26">
        <f>E17*F17</f>
        <v/>
      </c>
      <c r="H17" s="25" t="n">
        <v>2.3</v>
      </c>
      <c r="I17" s="26">
        <f>G17*H17</f>
        <v/>
      </c>
    </row>
    <row r="18">
      <c r="A18" s="13" t="inlineStr">
        <is>
          <t>EQUIPAMENTO</t>
        </is>
      </c>
      <c r="B18" s="13" t="inlineStr">
        <is>
          <t>EQ-E0029</t>
        </is>
      </c>
      <c r="C18" s="13" t="inlineStr">
        <is>
          <t>Motoniveladora 140HP</t>
        </is>
      </c>
      <c r="D18" s="27" t="inlineStr">
        <is>
          <t>—</t>
        </is>
      </c>
      <c r="E18" s="25" t="n">
        <v>1</v>
      </c>
      <c r="F18" s="26" t="n">
        <v>43326.98</v>
      </c>
      <c r="G18" s="26">
        <f>E18*F18</f>
        <v/>
      </c>
      <c r="H18" s="25" t="n">
        <v>2.3</v>
      </c>
      <c r="I18" s="26">
        <f>G18*H18</f>
        <v/>
      </c>
    </row>
    <row r="19">
      <c r="A19" s="28" t="inlineStr">
        <is>
          <t>COMBUSTÍVEL</t>
        </is>
      </c>
      <c r="B19" s="13" t="inlineStr">
        <is>
          <t>EQ-E0029</t>
        </is>
      </c>
      <c r="C19" s="13" t="inlineStr">
        <is>
          <t>Diesel S-10 (11.0 L/h)</t>
        </is>
      </c>
      <c r="D19" s="27" t="inlineStr">
        <is>
          <t>—</t>
        </is>
      </c>
      <c r="E19" s="25" t="n">
        <v>1</v>
      </c>
      <c r="F19" s="26" t="n">
        <v>14029.71</v>
      </c>
      <c r="G19" s="26">
        <f>E19*F19</f>
        <v/>
      </c>
      <c r="H19" s="25" t="n">
        <v>2.3</v>
      </c>
      <c r="I19" s="26">
        <f>G19*H19</f>
        <v/>
      </c>
    </row>
    <row r="20">
      <c r="A20" s="13" t="inlineStr">
        <is>
          <t>EQUIPAMENTO</t>
        </is>
      </c>
      <c r="B20" s="13" t="inlineStr">
        <is>
          <t>EQ-E0035</t>
        </is>
      </c>
      <c r="C20" s="13" t="inlineStr">
        <is>
          <t>Trator de esteiras 20T</t>
        </is>
      </c>
      <c r="D20" s="27" t="inlineStr">
        <is>
          <t>—</t>
        </is>
      </c>
      <c r="E20" s="25" t="n">
        <v>1</v>
      </c>
      <c r="F20" s="26" t="n">
        <v>21683.2</v>
      </c>
      <c r="G20" s="26">
        <f>E20*F20</f>
        <v/>
      </c>
      <c r="H20" s="25" t="n">
        <v>2.3</v>
      </c>
      <c r="I20" s="26">
        <f>G20*H20</f>
        <v/>
      </c>
    </row>
    <row r="21">
      <c r="A21" s="28" t="inlineStr">
        <is>
          <t>COMBUSTÍVEL</t>
        </is>
      </c>
      <c r="B21" s="13" t="inlineStr">
        <is>
          <t>EQ-E0035</t>
        </is>
      </c>
      <c r="C21" s="13" t="inlineStr">
        <is>
          <t>Diesel S-10 (18.0 L/h)</t>
        </is>
      </c>
      <c r="D21" s="27" t="inlineStr">
        <is>
          <t>—</t>
        </is>
      </c>
      <c r="E21" s="25" t="n">
        <v>1</v>
      </c>
      <c r="F21" s="26" t="n">
        <v>22957.71</v>
      </c>
      <c r="G21" s="26">
        <f>E21*F21</f>
        <v/>
      </c>
      <c r="H21" s="25" t="n">
        <v>2.3</v>
      </c>
      <c r="I21" s="26">
        <f>G21*H21</f>
        <v/>
      </c>
    </row>
    <row r="22">
      <c r="A22" s="13" t="inlineStr">
        <is>
          <t>EQUIPAMENTO</t>
        </is>
      </c>
      <c r="B22" s="13" t="inlineStr">
        <is>
          <t>EQ-E0010</t>
        </is>
      </c>
      <c r="C22" s="13" t="inlineStr">
        <is>
          <t>Caminhão Pipa 10.000L</t>
        </is>
      </c>
      <c r="D22" s="27" t="inlineStr">
        <is>
          <t>—</t>
        </is>
      </c>
      <c r="E22" s="25" t="n">
        <v>1</v>
      </c>
      <c r="F22" s="26" t="n">
        <v>19360</v>
      </c>
      <c r="G22" s="26">
        <f>E22*F22</f>
        <v/>
      </c>
      <c r="H22" s="25" t="n">
        <v>2.3</v>
      </c>
      <c r="I22" s="26">
        <f>G22*H22</f>
        <v/>
      </c>
    </row>
    <row r="23">
      <c r="A23" s="28" t="inlineStr">
        <is>
          <t>COMBUSTÍVEL</t>
        </is>
      </c>
      <c r="B23" s="13" t="inlineStr">
        <is>
          <t>EQ-E0010</t>
        </is>
      </c>
      <c r="C23" s="13" t="inlineStr">
        <is>
          <t>Diesel S-10 (2.0 L/h)</t>
        </is>
      </c>
      <c r="D23" s="27" t="inlineStr">
        <is>
          <t>—</t>
        </is>
      </c>
      <c r="E23" s="25" t="n">
        <v>1</v>
      </c>
      <c r="F23" s="26" t="n">
        <v>2550.86</v>
      </c>
      <c r="G23" s="26">
        <f>E23*F23</f>
        <v/>
      </c>
      <c r="H23" s="25" t="n">
        <v>2.3</v>
      </c>
      <c r="I23" s="26">
        <f>G23*H23</f>
        <v/>
      </c>
    </row>
    <row r="24">
      <c r="A24" s="20" t="inlineStr">
        <is>
          <t>Subtotal eap-02</t>
        </is>
      </c>
      <c r="B24" s="21" t="n"/>
      <c r="C24" s="21" t="n"/>
      <c r="D24" s="21" t="n"/>
      <c r="E24" s="21" t="n"/>
      <c r="F24" s="21" t="n"/>
      <c r="G24" s="22">
        <f>SUM(G13:G23)</f>
        <v/>
      </c>
      <c r="H24" s="23" t="n">
        <v>2.3</v>
      </c>
      <c r="I24" s="22">
        <f>SUM(I13:I23)</f>
        <v/>
      </c>
    </row>
    <row r="25">
      <c r="A25" s="9" t="inlineStr">
        <is>
          <t>eap-03 — Regularização de Subleito</t>
        </is>
      </c>
    </row>
    <row r="26">
      <c r="A26" s="11" t="inlineStr">
        <is>
          <t>MÃO DE OBRA</t>
        </is>
      </c>
      <c r="B26" s="11" t="inlineStr">
        <is>
          <t>MO-OPER-MOTO</t>
        </is>
      </c>
      <c r="C26" s="11" t="inlineStr">
        <is>
          <t>Operador de Motoniveladora</t>
        </is>
      </c>
      <c r="D26" s="15" t="inlineStr">
        <is>
          <t>DIRETO</t>
        </is>
      </c>
      <c r="E26" s="16" t="n">
        <v>1</v>
      </c>
      <c r="F26" s="17" t="n">
        <v>17356.25</v>
      </c>
      <c r="G26" s="17">
        <f>E26*F26</f>
        <v/>
      </c>
      <c r="H26" s="16" t="n">
        <v>1.15</v>
      </c>
      <c r="I26" s="17">
        <f>G26*H26</f>
        <v/>
      </c>
    </row>
    <row r="27">
      <c r="A27" s="11" t="inlineStr">
        <is>
          <t>MÃO DE OBRA</t>
        </is>
      </c>
      <c r="B27" s="11" t="inlineStr">
        <is>
          <t>MO-OPER-ROLO-COMP</t>
        </is>
      </c>
      <c r="C27" s="11" t="inlineStr">
        <is>
          <t>Operador de Rolo Compactador</t>
        </is>
      </c>
      <c r="D27" s="15" t="inlineStr">
        <is>
          <t>DIRETO</t>
        </is>
      </c>
      <c r="E27" s="16" t="n">
        <v>1</v>
      </c>
      <c r="F27" s="17" t="n">
        <v>10685.34</v>
      </c>
      <c r="G27" s="17">
        <f>E27*F27</f>
        <v/>
      </c>
      <c r="H27" s="16" t="n">
        <v>1.15</v>
      </c>
      <c r="I27" s="17">
        <f>G27*H27</f>
        <v/>
      </c>
    </row>
    <row r="28">
      <c r="A28" s="11" t="inlineStr">
        <is>
          <t>EQUIPAMENTO</t>
        </is>
      </c>
      <c r="B28" s="11" t="inlineStr">
        <is>
          <t>EQ-MOTONIVEL-140K</t>
        </is>
      </c>
      <c r="C28" s="11" t="inlineStr">
        <is>
          <t>Motoniveladora 140K</t>
        </is>
      </c>
      <c r="D28" s="18" t="inlineStr">
        <is>
          <t>—</t>
        </is>
      </c>
      <c r="E28" s="16" t="n">
        <v>1</v>
      </c>
      <c r="F28" s="17" t="n">
        <v>44816.64</v>
      </c>
      <c r="G28" s="17">
        <f>E28*F28</f>
        <v/>
      </c>
      <c r="H28" s="16" t="n">
        <v>1.15</v>
      </c>
      <c r="I28" s="17">
        <f>G28*H28</f>
        <v/>
      </c>
    </row>
    <row r="29">
      <c r="A29" s="19" t="inlineStr">
        <is>
          <t>COMBUSTÍVEL</t>
        </is>
      </c>
      <c r="B29" s="11" t="inlineStr">
        <is>
          <t>EQ-MOTONIVEL-140K</t>
        </is>
      </c>
      <c r="C29" s="11" t="inlineStr">
        <is>
          <t>Diesel S-10 (11.0 L/h)</t>
        </is>
      </c>
      <c r="D29" s="18" t="inlineStr">
        <is>
          <t>—</t>
        </is>
      </c>
      <c r="E29" s="16" t="n">
        <v>1</v>
      </c>
      <c r="F29" s="17" t="n">
        <v>14029.71</v>
      </c>
      <c r="G29" s="17">
        <f>E29*F29</f>
        <v/>
      </c>
      <c r="H29" s="16" t="n">
        <v>1.15</v>
      </c>
      <c r="I29" s="17">
        <f>G29*H29</f>
        <v/>
      </c>
    </row>
    <row r="30">
      <c r="A30" s="11" t="inlineStr">
        <is>
          <t>EQUIPAMENTO</t>
        </is>
      </c>
      <c r="B30" s="11" t="inlineStr">
        <is>
          <t>EQ-ROLO-LISO</t>
        </is>
      </c>
      <c r="C30" s="11" t="inlineStr">
        <is>
          <t>Rolo compactador liso</t>
        </is>
      </c>
      <c r="D30" s="18" t="inlineStr">
        <is>
          <t>—</t>
        </is>
      </c>
      <c r="E30" s="16" t="n">
        <v>1</v>
      </c>
      <c r="F30" s="17" t="n">
        <v>15840</v>
      </c>
      <c r="G30" s="17">
        <f>E30*F30</f>
        <v/>
      </c>
      <c r="H30" s="16" t="n">
        <v>1.15</v>
      </c>
      <c r="I30" s="17">
        <f>G30*H30</f>
        <v/>
      </c>
    </row>
    <row r="31">
      <c r="A31" s="19" t="inlineStr">
        <is>
          <t>COMBUSTÍVEL</t>
        </is>
      </c>
      <c r="B31" s="11" t="inlineStr">
        <is>
          <t>EQ-ROLO-LISO</t>
        </is>
      </c>
      <c r="C31" s="11" t="inlineStr">
        <is>
          <t>Diesel S-10 (7.0 L/h)</t>
        </is>
      </c>
      <c r="D31" s="18" t="inlineStr">
        <is>
          <t>—</t>
        </is>
      </c>
      <c r="E31" s="16" t="n">
        <v>1</v>
      </c>
      <c r="F31" s="17" t="n">
        <v>8928</v>
      </c>
      <c r="G31" s="17">
        <f>E31*F31</f>
        <v/>
      </c>
      <c r="H31" s="16" t="n">
        <v>1.15</v>
      </c>
      <c r="I31" s="17">
        <f>G31*H31</f>
        <v/>
      </c>
    </row>
    <row r="32">
      <c r="A32" s="20" t="inlineStr">
        <is>
          <t>Subtotal eap-03</t>
        </is>
      </c>
      <c r="B32" s="21" t="n"/>
      <c r="C32" s="21" t="n"/>
      <c r="D32" s="21" t="n"/>
      <c r="E32" s="21" t="n"/>
      <c r="F32" s="21" t="n"/>
      <c r="G32" s="22">
        <f>SUM(G26:G31)</f>
        <v/>
      </c>
      <c r="H32" s="23" t="n">
        <v>1.15</v>
      </c>
      <c r="I32" s="22">
        <f>SUM(I26:I31)</f>
        <v/>
      </c>
    </row>
    <row r="33">
      <c r="A33" s="9" t="inlineStr">
        <is>
          <t>eap-04 — Canaleta/Drenagem</t>
        </is>
      </c>
    </row>
    <row r="34">
      <c r="A34" s="13" t="inlineStr">
        <is>
          <t>MÃO DE OBRA</t>
        </is>
      </c>
      <c r="B34" s="13" t="inlineStr">
        <is>
          <t>MO-OPER-RETRO</t>
        </is>
      </c>
      <c r="C34" s="13" t="inlineStr">
        <is>
          <t>Operador de Retro Escavadeira</t>
        </is>
      </c>
      <c r="D34" s="24" t="inlineStr">
        <is>
          <t>DIRETO</t>
        </is>
      </c>
      <c r="E34" s="25" t="n">
        <v>1</v>
      </c>
      <c r="F34" s="26" t="n">
        <v>13892.78</v>
      </c>
      <c r="G34" s="26">
        <f>E34*F34</f>
        <v/>
      </c>
      <c r="H34" s="25" t="n">
        <v>0.92</v>
      </c>
      <c r="I34" s="26">
        <f>G34*H34</f>
        <v/>
      </c>
    </row>
    <row r="35">
      <c r="A35" s="13" t="inlineStr">
        <is>
          <t>MÃO DE OBRA</t>
        </is>
      </c>
      <c r="B35" s="13" t="inlineStr">
        <is>
          <t>MO-ENCANADOR</t>
        </is>
      </c>
      <c r="C35" s="13" t="inlineStr">
        <is>
          <t>Encanador</t>
        </is>
      </c>
      <c r="D35" s="24" t="inlineStr">
        <is>
          <t>DIRETO</t>
        </is>
      </c>
      <c r="E35" s="25" t="n">
        <v>1</v>
      </c>
      <c r="F35" s="26" t="n">
        <v>10685.34</v>
      </c>
      <c r="G35" s="26">
        <f>E35*F35</f>
        <v/>
      </c>
      <c r="H35" s="25" t="n">
        <v>0.92</v>
      </c>
      <c r="I35" s="26">
        <f>G35*H35</f>
        <v/>
      </c>
    </row>
    <row r="36">
      <c r="A36" s="13" t="inlineStr">
        <is>
          <t>MÃO DE OBRA</t>
        </is>
      </c>
      <c r="B36" s="13" t="inlineStr">
        <is>
          <t>MO-MONTADOR-AGUA</t>
        </is>
      </c>
      <c r="C36" s="13" t="inlineStr">
        <is>
          <t>Montador de Água/Esgoto</t>
        </is>
      </c>
      <c r="D36" s="24" t="inlineStr">
        <is>
          <t>DIRETO</t>
        </is>
      </c>
      <c r="E36" s="25" t="n">
        <v>1</v>
      </c>
      <c r="F36" s="26" t="n">
        <v>10685.34</v>
      </c>
      <c r="G36" s="26">
        <f>E36*F36</f>
        <v/>
      </c>
      <c r="H36" s="25" t="n">
        <v>0.92</v>
      </c>
      <c r="I36" s="26">
        <f>G36*H36</f>
        <v/>
      </c>
    </row>
    <row r="37">
      <c r="A37" s="13" t="inlineStr">
        <is>
          <t>MÃO DE OBRA</t>
        </is>
      </c>
      <c r="B37" s="13" t="inlineStr">
        <is>
          <t>MO-SERV-GERAL</t>
        </is>
      </c>
      <c r="C37" s="13" t="inlineStr">
        <is>
          <t>Servente</t>
        </is>
      </c>
      <c r="D37" s="24" t="inlineStr">
        <is>
          <t>DIRETO</t>
        </is>
      </c>
      <c r="E37" s="25" t="n">
        <v>2</v>
      </c>
      <c r="F37" s="26" t="n">
        <v>7093.01</v>
      </c>
      <c r="G37" s="26">
        <f>E37*F37</f>
        <v/>
      </c>
      <c r="H37" s="25" t="n">
        <v>0.92</v>
      </c>
      <c r="I37" s="26">
        <f>G37*H37</f>
        <v/>
      </c>
    </row>
    <row r="38">
      <c r="A38" s="13" t="inlineStr">
        <is>
          <t>EQUIPAMENTO</t>
        </is>
      </c>
      <c r="B38" s="13" t="inlineStr">
        <is>
          <t>EQ-RETRO-ESCAV</t>
        </is>
      </c>
      <c r="C38" s="13" t="inlineStr">
        <is>
          <t>Retroescavadeira</t>
        </is>
      </c>
      <c r="D38" s="27" t="inlineStr">
        <is>
          <t>—</t>
        </is>
      </c>
      <c r="E38" s="25" t="n">
        <v>1</v>
      </c>
      <c r="F38" s="26" t="n">
        <v>13112</v>
      </c>
      <c r="G38" s="26">
        <f>E38*F38</f>
        <v/>
      </c>
      <c r="H38" s="25" t="n">
        <v>0.92</v>
      </c>
      <c r="I38" s="26">
        <f>G38*H38</f>
        <v/>
      </c>
    </row>
    <row r="39">
      <c r="A39" s="28" t="inlineStr">
        <is>
          <t>COMBUSTÍVEL</t>
        </is>
      </c>
      <c r="B39" s="13" t="inlineStr">
        <is>
          <t>EQ-RETRO-ESCAV</t>
        </is>
      </c>
      <c r="C39" s="13" t="inlineStr">
        <is>
          <t>Diesel S-10 (8.0 L/h)</t>
        </is>
      </c>
      <c r="D39" s="27" t="inlineStr">
        <is>
          <t>—</t>
        </is>
      </c>
      <c r="E39" s="25" t="n">
        <v>1</v>
      </c>
      <c r="F39" s="26" t="n">
        <v>10203.43</v>
      </c>
      <c r="G39" s="26">
        <f>E39*F39</f>
        <v/>
      </c>
      <c r="H39" s="25" t="n">
        <v>0.92</v>
      </c>
      <c r="I39" s="26">
        <f>G39*H39</f>
        <v/>
      </c>
    </row>
    <row r="40">
      <c r="A40" s="20" t="inlineStr">
        <is>
          <t>Subtotal eap-04</t>
        </is>
      </c>
      <c r="B40" s="21" t="n"/>
      <c r="C40" s="21" t="n"/>
      <c r="D40" s="21" t="n"/>
      <c r="E40" s="21" t="n"/>
      <c r="F40" s="21" t="n"/>
      <c r="G40" s="22">
        <f>SUM(G34:G39)</f>
        <v/>
      </c>
      <c r="H40" s="23" t="n">
        <v>0.92</v>
      </c>
      <c r="I40" s="22">
        <f>SUM(I34:I39)</f>
        <v/>
      </c>
    </row>
    <row r="42">
      <c r="A42" s="29" t="inlineStr">
        <is>
          <t>TOTAL DIRETO</t>
        </is>
      </c>
      <c r="I42" s="30">
        <f>I11+I24+I32+I40</f>
        <v/>
      </c>
    </row>
  </sheetData>
  <mergeCells count="6">
    <mergeCell ref="A25:I25"/>
    <mergeCell ref="A33:I33"/>
    <mergeCell ref="A1:I1"/>
    <mergeCell ref="A42:H42"/>
    <mergeCell ref="A3:I3"/>
    <mergeCell ref="A12:I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31" t="inlineStr">
        <is>
          <t>eap-01</t>
        </is>
      </c>
      <c r="B3" s="31" t="inlineStr">
        <is>
          <t>Escavação, carga e transporte 1ª cat</t>
        </is>
      </c>
      <c r="C3" s="31" t="inlineStr">
        <is>
          <t>m3</t>
        </is>
      </c>
      <c r="D3" s="32" t="n">
        <v>62338</v>
      </c>
      <c r="E3" s="33" t="n">
        <v>169930.38</v>
      </c>
      <c r="F3" s="33" t="n">
        <v>280925.38</v>
      </c>
      <c r="G3" s="33" t="n">
        <v>54762.51</v>
      </c>
      <c r="H3" s="33" t="n">
        <v>53694.35</v>
      </c>
      <c r="I3" s="33" t="n">
        <v>559312.62</v>
      </c>
      <c r="J3" s="33" t="n">
        <v>228548.72</v>
      </c>
      <c r="K3" s="33" t="n">
        <v>377832</v>
      </c>
      <c r="L3" s="33" t="n">
        <v>73653.11</v>
      </c>
      <c r="M3" s="33" t="n">
        <v>64433.22</v>
      </c>
      <c r="N3" s="33" t="n">
        <v>744467.04</v>
      </c>
    </row>
    <row r="4">
      <c r="A4" s="34" t="inlineStr">
        <is>
          <t>eap-02</t>
        </is>
      </c>
      <c r="B4" s="34" t="inlineStr">
        <is>
          <t>Compactação de aterro</t>
        </is>
      </c>
      <c r="C4" s="34" t="inlineStr">
        <is>
          <t>m3</t>
        </is>
      </c>
      <c r="D4" s="35" t="n">
        <v>59723</v>
      </c>
      <c r="E4" s="36" t="n">
        <v>140212.76</v>
      </c>
      <c r="F4" s="36" t="n">
        <v>194051.41</v>
      </c>
      <c r="G4" s="36" t="n">
        <v>70150.50999999999</v>
      </c>
      <c r="H4" s="36" t="n">
        <v>0</v>
      </c>
      <c r="I4" s="36" t="n">
        <v>404414.68</v>
      </c>
      <c r="J4" s="36" t="n">
        <v>188579.85</v>
      </c>
      <c r="K4" s="36" t="n">
        <v>260990.42</v>
      </c>
      <c r="L4" s="36" t="n">
        <v>94349.27</v>
      </c>
      <c r="M4" s="36" t="n">
        <v>0</v>
      </c>
      <c r="N4" s="36" t="n">
        <v>543919.55</v>
      </c>
    </row>
    <row r="5">
      <c r="A5" s="31" t="inlineStr">
        <is>
          <t>eap-03</t>
        </is>
      </c>
      <c r="B5" s="31" t="inlineStr">
        <is>
          <t>Regularização de Subleito</t>
        </is>
      </c>
      <c r="C5" s="31" t="inlineStr">
        <is>
          <t>m2</t>
        </is>
      </c>
      <c r="D5" s="32" t="n">
        <v>72837</v>
      </c>
      <c r="E5" s="33" t="n">
        <v>32247.83</v>
      </c>
      <c r="F5" s="33" t="n">
        <v>69755.14</v>
      </c>
      <c r="G5" s="33" t="n">
        <v>22629.14</v>
      </c>
      <c r="H5" s="33" t="n">
        <v>0</v>
      </c>
      <c r="I5" s="33" t="n">
        <v>124632.1</v>
      </c>
      <c r="J5" s="33" t="n">
        <v>43371.88</v>
      </c>
      <c r="K5" s="33" t="n">
        <v>93817.52</v>
      </c>
      <c r="L5" s="33" t="n">
        <v>30435.17</v>
      </c>
      <c r="M5" s="33" t="n">
        <v>0</v>
      </c>
      <c r="N5" s="33" t="n">
        <v>167624.57</v>
      </c>
    </row>
    <row r="6">
      <c r="A6" s="34" t="inlineStr">
        <is>
          <t>eap-04</t>
        </is>
      </c>
      <c r="B6" s="34" t="inlineStr">
        <is>
          <t>Canaleta/Drenagem</t>
        </is>
      </c>
      <c r="C6" s="34" t="inlineStr">
        <is>
          <t>m</t>
        </is>
      </c>
      <c r="D6" s="35" t="n">
        <v>406</v>
      </c>
      <c r="E6" s="36" t="n">
        <v>45493.52</v>
      </c>
      <c r="F6" s="36" t="n">
        <v>12063.04</v>
      </c>
      <c r="G6" s="36" t="n">
        <v>8045.96</v>
      </c>
      <c r="H6" s="36" t="n">
        <v>44846.76</v>
      </c>
      <c r="I6" s="36" t="n">
        <v>110449.28</v>
      </c>
      <c r="J6" s="36" t="n">
        <v>61186.74</v>
      </c>
      <c r="K6" s="36" t="n">
        <v>16224.25</v>
      </c>
      <c r="L6" s="36" t="n">
        <v>10821.46</v>
      </c>
      <c r="M6" s="36" t="n">
        <v>53816.11</v>
      </c>
      <c r="N6" s="36" t="n">
        <v>142048.55</v>
      </c>
    </row>
    <row r="8">
      <c r="A8" s="29" t="inlineStr">
        <is>
          <t>TOTAL DIRETO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</row>
  </sheetData>
  <mergeCells count="2">
    <mergeCell ref="A8:D8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1" t="inlineStr">
        <is>
          <t>CUSTO TOTAL</t>
        </is>
      </c>
      <c r="C4" s="11" t="inlineStr">
        <is>
          <t>—</t>
        </is>
      </c>
      <c r="D4" s="11" t="inlineStr">
        <is>
          <t>Administracao de obra</t>
        </is>
      </c>
      <c r="E4" s="16" t="n">
        <v>1</v>
      </c>
      <c r="F4" s="17" t="n">
        <v>0</v>
      </c>
      <c r="G4" s="16" t="n">
        <v>6.24</v>
      </c>
      <c r="H4" s="17" t="n">
        <v>1118706.12</v>
      </c>
    </row>
    <row r="5">
      <c r="A5" s="20" t="inlineStr">
        <is>
          <t>Subtotal ADM</t>
        </is>
      </c>
      <c r="B5" s="21" t="n"/>
      <c r="C5" s="21" t="n"/>
      <c r="D5" s="21" t="n"/>
      <c r="E5" s="21" t="n"/>
      <c r="F5" s="21" t="n"/>
      <c r="G5" s="21" t="n"/>
      <c r="H5" s="22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13" t="inlineStr">
        <is>
          <t>CUSTO TOTAL</t>
        </is>
      </c>
      <c r="C7" s="13" t="inlineStr">
        <is>
          <t>—</t>
        </is>
      </c>
      <c r="D7" s="13" t="inlineStr">
        <is>
          <t>Topografia</t>
        </is>
      </c>
      <c r="E7" s="25" t="n">
        <v>1</v>
      </c>
      <c r="F7" s="26" t="n">
        <v>0</v>
      </c>
      <c r="G7" s="25" t="n">
        <v>6.24</v>
      </c>
      <c r="H7" s="26" t="n">
        <v>294408.81</v>
      </c>
    </row>
    <row r="8">
      <c r="A8" s="20" t="inlineStr">
        <is>
          <t>Subtotal TOP</t>
        </is>
      </c>
      <c r="B8" s="21" t="n"/>
      <c r="C8" s="21" t="n"/>
      <c r="D8" s="21" t="n"/>
      <c r="E8" s="21" t="n"/>
      <c r="F8" s="21" t="n"/>
      <c r="G8" s="21" t="n"/>
      <c r="H8" s="22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1" t="inlineStr">
        <is>
          <t>CUSTO TOTAL</t>
        </is>
      </c>
      <c r="C10" s="11" t="inlineStr">
        <is>
          <t>—</t>
        </is>
      </c>
      <c r="D10" s="11" t="inlineStr">
        <is>
          <t>Laboratorio de solos e materiais</t>
        </is>
      </c>
      <c r="E10" s="16" t="n">
        <v>1</v>
      </c>
      <c r="F10" s="17" t="n">
        <v>0</v>
      </c>
      <c r="G10" s="16" t="n">
        <v>6.24</v>
      </c>
      <c r="H10" s="17" t="n">
        <v>264031.38</v>
      </c>
    </row>
    <row r="11">
      <c r="A11" s="20" t="inlineStr">
        <is>
          <t>Subtotal LAB</t>
        </is>
      </c>
      <c r="B11" s="21" t="n"/>
      <c r="C11" s="21" t="n"/>
      <c r="D11" s="21" t="n"/>
      <c r="E11" s="21" t="n"/>
      <c r="F11" s="21" t="n"/>
      <c r="G11" s="21" t="n"/>
      <c r="H11" s="22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13" t="inlineStr">
        <is>
          <t>CUSTO TOTAL</t>
        </is>
      </c>
      <c r="C13" s="13" t="inlineStr">
        <is>
          <t>—</t>
        </is>
      </c>
      <c r="D13" s="13" t="inlineStr">
        <is>
          <t>Qualidade, Saude, Seguranca e Meio Ambiente</t>
        </is>
      </c>
      <c r="E13" s="25" t="n">
        <v>1</v>
      </c>
      <c r="F13" s="26" t="n">
        <v>0</v>
      </c>
      <c r="G13" s="25" t="n">
        <v>6.24</v>
      </c>
      <c r="H13" s="26" t="n">
        <v>211875.21</v>
      </c>
    </row>
    <row r="14">
      <c r="A14" s="20" t="inlineStr">
        <is>
          <t>Subtotal QSMS</t>
        </is>
      </c>
      <c r="B14" s="21" t="n"/>
      <c r="C14" s="21" t="n"/>
      <c r="D14" s="21" t="n"/>
      <c r="E14" s="21" t="n"/>
      <c r="F14" s="21" t="n"/>
      <c r="G14" s="21" t="n"/>
      <c r="H14" s="22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1" t="inlineStr">
        <is>
          <t>CUSTO TOTAL</t>
        </is>
      </c>
      <c r="C16" s="11" t="inlineStr">
        <is>
          <t>—</t>
        </is>
      </c>
      <c r="D16" s="11" t="inlineStr">
        <is>
          <t>Mobilizacao e desmobilizacao</t>
        </is>
      </c>
      <c r="E16" s="16" t="n">
        <v>1</v>
      </c>
      <c r="F16" s="17" t="n">
        <v>0</v>
      </c>
      <c r="G16" s="16" t="n">
        <v>8</v>
      </c>
      <c r="H16" s="17" t="n">
        <v>0</v>
      </c>
    </row>
    <row r="17">
      <c r="A17" s="20" t="inlineStr">
        <is>
          <t>Subtotal MOB</t>
        </is>
      </c>
      <c r="B17" s="21" t="n"/>
      <c r="C17" s="21" t="n"/>
      <c r="D17" s="21" t="n"/>
      <c r="E17" s="21" t="n"/>
      <c r="F17" s="21" t="n"/>
      <c r="G17" s="21" t="n"/>
      <c r="H17" s="22">
        <f>SUM(H16:H16)</f>
        <v/>
      </c>
    </row>
    <row r="19">
      <c r="A19" s="29" t="inlineStr">
        <is>
          <t>TOTAL INDIRETO</t>
        </is>
      </c>
      <c r="H19" s="30">
        <f>H5+H8+H11+H14+H17</f>
        <v/>
      </c>
    </row>
    <row r="22">
      <c r="A22" s="9" t="inlineStr">
        <is>
          <t>Distribuição Mensal de Indiretos</t>
        </is>
      </c>
    </row>
    <row r="23">
      <c r="A23" s="10" t="inlineStr">
        <is>
          <t>Mês</t>
        </is>
      </c>
      <c r="B23" s="10" t="inlineStr">
        <is>
          <t>Despesa Indireta (R$)</t>
        </is>
      </c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1" t="inlineStr">
        <is>
          <t>Dez/24</t>
        </is>
      </c>
      <c r="B24" s="17" t="n">
        <v>314836.92</v>
      </c>
      <c r="C24" s="12" t="n"/>
      <c r="D24" s="12" t="n"/>
      <c r="E24" s="12" t="n"/>
      <c r="F24" s="12" t="n"/>
      <c r="G24" s="12" t="n"/>
      <c r="H24" s="12" t="n"/>
    </row>
    <row r="25">
      <c r="A25" s="13" t="inlineStr">
        <is>
          <t>Jan/25</t>
        </is>
      </c>
      <c r="B25" s="26" t="n">
        <v>314836.92</v>
      </c>
      <c r="C25" s="14" t="n"/>
      <c r="D25" s="14" t="n"/>
      <c r="E25" s="14" t="n"/>
      <c r="F25" s="14" t="n"/>
      <c r="G25" s="14" t="n"/>
      <c r="H25" s="14" t="n"/>
    </row>
    <row r="26">
      <c r="A26" s="11" t="inlineStr">
        <is>
          <t>Fev/25</t>
        </is>
      </c>
      <c r="B26" s="17" t="n">
        <v>314836.92</v>
      </c>
      <c r="C26" s="12" t="n"/>
      <c r="D26" s="12" t="n"/>
      <c r="E26" s="12" t="n"/>
      <c r="F26" s="12" t="n"/>
      <c r="G26" s="12" t="n"/>
      <c r="H26" s="12" t="n"/>
    </row>
    <row r="27">
      <c r="A27" s="13" t="inlineStr">
        <is>
          <t>Mar/25</t>
        </is>
      </c>
      <c r="B27" s="26" t="n">
        <v>314836.92</v>
      </c>
      <c r="C27" s="14" t="n"/>
      <c r="D27" s="14" t="n"/>
      <c r="E27" s="14" t="n"/>
      <c r="F27" s="14" t="n"/>
      <c r="G27" s="14" t="n"/>
      <c r="H27" s="14" t="n"/>
    </row>
    <row r="28">
      <c r="A28" s="11" t="inlineStr">
        <is>
          <t>Abr/25</t>
        </is>
      </c>
      <c r="B28" s="17" t="n">
        <v>314836.92</v>
      </c>
      <c r="C28" s="12" t="n"/>
      <c r="D28" s="12" t="n"/>
      <c r="E28" s="12" t="n"/>
      <c r="F28" s="12" t="n"/>
      <c r="G28" s="12" t="n"/>
      <c r="H28" s="12" t="n"/>
    </row>
    <row r="29">
      <c r="A29" s="13" t="inlineStr">
        <is>
          <t>Mai/25</t>
        </is>
      </c>
      <c r="B29" s="26" t="n">
        <v>314836.92</v>
      </c>
      <c r="C29" s="14" t="n"/>
      <c r="D29" s="14" t="n"/>
      <c r="E29" s="14" t="n"/>
      <c r="F29" s="14" t="n"/>
      <c r="G29" s="14" t="n"/>
      <c r="H29" s="14" t="n"/>
    </row>
    <row r="30">
      <c r="A30" s="11" t="inlineStr">
        <is>
          <t>Jun/25</t>
        </is>
      </c>
      <c r="B30" s="17" t="n">
        <v>0</v>
      </c>
      <c r="C30" s="12" t="n"/>
      <c r="D30" s="12" t="n"/>
      <c r="E30" s="12" t="n"/>
      <c r="F30" s="12" t="n"/>
      <c r="G30" s="12" t="n"/>
      <c r="H30" s="12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1" t="inlineStr">
        <is>
          <t>Administracao de obra</t>
        </is>
      </c>
      <c r="C3" s="17" t="n">
        <v>1118706.12</v>
      </c>
      <c r="D3" s="4" t="n">
        <v>22.37</v>
      </c>
      <c r="E3" s="17" t="n">
        <v>1369000.95</v>
      </c>
      <c r="F3" s="4" t="n">
        <v>59.22</v>
      </c>
    </row>
    <row r="4">
      <c r="A4" s="6" t="inlineStr">
        <is>
          <t>TOP</t>
        </is>
      </c>
      <c r="B4" s="13" t="inlineStr">
        <is>
          <t>Topografia</t>
        </is>
      </c>
      <c r="C4" s="26" t="n">
        <v>294408.81</v>
      </c>
      <c r="D4" s="7" t="n">
        <v>22.37</v>
      </c>
      <c r="E4" s="26" t="n">
        <v>360278.66</v>
      </c>
      <c r="F4" s="7" t="n">
        <v>15.59</v>
      </c>
    </row>
    <row r="5">
      <c r="A5" s="3" t="inlineStr">
        <is>
          <t>LAB</t>
        </is>
      </c>
      <c r="B5" s="11" t="inlineStr">
        <is>
          <t>Laboratorio de solos e materiais</t>
        </is>
      </c>
      <c r="C5" s="17" t="n">
        <v>264031.38</v>
      </c>
      <c r="D5" s="4" t="n">
        <v>22.37</v>
      </c>
      <c r="E5" s="17" t="n">
        <v>323104.7</v>
      </c>
      <c r="F5" s="4" t="n">
        <v>13.98</v>
      </c>
    </row>
    <row r="6">
      <c r="A6" s="6" t="inlineStr">
        <is>
          <t>QSMS</t>
        </is>
      </c>
      <c r="B6" s="13" t="inlineStr">
        <is>
          <t>Qualidade, Saude, Seguranca e Meio Ambiente</t>
        </is>
      </c>
      <c r="C6" s="26" t="n">
        <v>211875.21</v>
      </c>
      <c r="D6" s="7" t="n">
        <v>22.37</v>
      </c>
      <c r="E6" s="26" t="n">
        <v>259279.32</v>
      </c>
      <c r="F6" s="7" t="n">
        <v>11.22</v>
      </c>
    </row>
    <row r="7">
      <c r="A7" s="3" t="inlineStr">
        <is>
          <t>MOB</t>
        </is>
      </c>
      <c r="B7" s="11" t="inlineStr">
        <is>
          <t>Mobilizacao e desmobilizacao</t>
        </is>
      </c>
      <c r="C7" s="17" t="n">
        <v>0</v>
      </c>
      <c r="D7" s="4" t="n">
        <v>22.37</v>
      </c>
      <c r="E7" s="17" t="n">
        <v>0</v>
      </c>
      <c r="F7" s="4" t="n">
        <v>0</v>
      </c>
    </row>
    <row r="9">
      <c r="A9" s="29" t="inlineStr">
        <is>
          <t>TOTAL INDIRETO</t>
        </is>
      </c>
      <c r="C9" s="30">
        <f>C3+C4+C5+C6+C7</f>
        <v/>
      </c>
      <c r="D9" s="37" t="n"/>
      <c r="E9" s="30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1198808.68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1889021.52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157.58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3909723.35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48.32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  <col width="12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EQ s/BDI (R$)</t>
        </is>
      </c>
      <c r="G2" s="2" t="inlineStr">
        <is>
          <t>Comb. s/BDI (R$)</t>
        </is>
      </c>
      <c r="H2" s="2" t="inlineStr">
        <is>
          <t>MAT s/BDI (R$)</t>
        </is>
      </c>
      <c r="I2" s="2" t="inlineStr">
        <is>
          <t>Total s/BDI (R$)</t>
        </is>
      </c>
      <c r="J2" s="2" t="inlineStr">
        <is>
          <t>MO c/BDI (R$)</t>
        </is>
      </c>
      <c r="K2" s="2" t="inlineStr">
        <is>
          <t>EQ c/BDI (R$)</t>
        </is>
      </c>
      <c r="L2" s="2" t="inlineStr">
        <is>
          <t>Comb. c/BDI (R$)</t>
        </is>
      </c>
      <c r="M2" s="2" t="inlineStr">
        <is>
          <t>MAT c/BDI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eap-01</t>
        </is>
      </c>
      <c r="B3" s="43" t="inlineStr">
        <is>
          <t>Escavação, carga e transporte 1ª cat</t>
        </is>
      </c>
      <c r="C3" s="43" t="inlineStr">
        <is>
          <t>m3</t>
        </is>
      </c>
      <c r="D3" s="44" t="n">
        <v>62338</v>
      </c>
      <c r="E3" s="45" t="n">
        <v>169930.38</v>
      </c>
      <c r="F3" s="45" t="n">
        <v>280925.38</v>
      </c>
      <c r="G3" s="45" t="n">
        <v>54762.51</v>
      </c>
      <c r="H3" s="45" t="n">
        <v>53694.35</v>
      </c>
      <c r="I3" s="45" t="n">
        <v>559312.62</v>
      </c>
      <c r="J3" s="45" t="n">
        <v>228548.72</v>
      </c>
      <c r="K3" s="45" t="n">
        <v>377832</v>
      </c>
      <c r="L3" s="45" t="n">
        <v>73653.11</v>
      </c>
      <c r="M3" s="45" t="n">
        <v>64433.22</v>
      </c>
      <c r="N3" s="45" t="n">
        <v>744467.04</v>
      </c>
      <c r="O3" s="43" t="inlineStr">
        <is>
          <t>A</t>
        </is>
      </c>
    </row>
    <row r="4">
      <c r="A4" s="46" t="inlineStr">
        <is>
          <t>eap-02</t>
        </is>
      </c>
      <c r="B4" s="46" t="inlineStr">
        <is>
          <t>Compactação de aterro</t>
        </is>
      </c>
      <c r="C4" s="46" t="inlineStr">
        <is>
          <t>m3</t>
        </is>
      </c>
      <c r="D4" s="47" t="n">
        <v>59723</v>
      </c>
      <c r="E4" s="48" t="n">
        <v>140212.76</v>
      </c>
      <c r="F4" s="48" t="n">
        <v>194051.41</v>
      </c>
      <c r="G4" s="48" t="n">
        <v>70150.50999999999</v>
      </c>
      <c r="H4" s="48" t="n">
        <v>0</v>
      </c>
      <c r="I4" s="48" t="n">
        <v>404414.68</v>
      </c>
      <c r="J4" s="48" t="n">
        <v>188579.85</v>
      </c>
      <c r="K4" s="48" t="n">
        <v>260990.42</v>
      </c>
      <c r="L4" s="48" t="n">
        <v>94349.27</v>
      </c>
      <c r="M4" s="48" t="n">
        <v>0</v>
      </c>
      <c r="N4" s="48" t="n">
        <v>543919.55</v>
      </c>
      <c r="O4" s="46" t="inlineStr">
        <is>
          <t>B</t>
        </is>
      </c>
    </row>
    <row r="5">
      <c r="A5" s="31" t="inlineStr">
        <is>
          <t>eap-03</t>
        </is>
      </c>
      <c r="B5" s="31" t="inlineStr">
        <is>
          <t>Regularização de Subleito</t>
        </is>
      </c>
      <c r="C5" s="31" t="inlineStr">
        <is>
          <t>m2</t>
        </is>
      </c>
      <c r="D5" s="32" t="n">
        <v>72837</v>
      </c>
      <c r="E5" s="33" t="n">
        <v>32247.83</v>
      </c>
      <c r="F5" s="33" t="n">
        <v>69755.14</v>
      </c>
      <c r="G5" s="33" t="n">
        <v>22629.14</v>
      </c>
      <c r="H5" s="33" t="n">
        <v>0</v>
      </c>
      <c r="I5" s="33" t="n">
        <v>124632.1</v>
      </c>
      <c r="J5" s="33" t="n">
        <v>43371.88</v>
      </c>
      <c r="K5" s="33" t="n">
        <v>93817.52</v>
      </c>
      <c r="L5" s="33" t="n">
        <v>30435.17</v>
      </c>
      <c r="M5" s="33" t="n">
        <v>0</v>
      </c>
      <c r="N5" s="33" t="n">
        <v>167624.57</v>
      </c>
      <c r="O5" s="31" t="inlineStr">
        <is>
          <t>C</t>
        </is>
      </c>
    </row>
    <row r="6">
      <c r="A6" s="34" t="inlineStr">
        <is>
          <t>eap-04</t>
        </is>
      </c>
      <c r="B6" s="34" t="inlineStr">
        <is>
          <t>Canaleta/Drenagem</t>
        </is>
      </c>
      <c r="C6" s="34" t="inlineStr">
        <is>
          <t>m</t>
        </is>
      </c>
      <c r="D6" s="35" t="n">
        <v>406</v>
      </c>
      <c r="E6" s="36" t="n">
        <v>45493.52</v>
      </c>
      <c r="F6" s="36" t="n">
        <v>12063.04</v>
      </c>
      <c r="G6" s="36" t="n">
        <v>8045.96</v>
      </c>
      <c r="H6" s="36" t="n">
        <v>44846.76</v>
      </c>
      <c r="I6" s="36" t="n">
        <v>110449.28</v>
      </c>
      <c r="J6" s="36" t="n">
        <v>61186.74</v>
      </c>
      <c r="K6" s="36" t="n">
        <v>16224.25</v>
      </c>
      <c r="L6" s="36" t="n">
        <v>10821.46</v>
      </c>
      <c r="M6" s="36" t="n">
        <v>53816.11</v>
      </c>
      <c r="N6" s="36" t="n">
        <v>142048.55</v>
      </c>
      <c r="O6" s="34" t="inlineStr">
        <is>
          <t>C</t>
        </is>
      </c>
    </row>
    <row r="8">
      <c r="A8" s="29" t="inlineStr">
        <is>
          <t>TOTAL</t>
        </is>
      </c>
      <c r="E8" s="30">
        <f>SUM(E3:E7)</f>
        <v/>
      </c>
      <c r="F8" s="30">
        <f>SUM(F3:F7)</f>
        <v/>
      </c>
      <c r="G8" s="30">
        <f>SUM(G3:G7)</f>
        <v/>
      </c>
      <c r="H8" s="30">
        <f>SUM(H3:H7)</f>
        <v/>
      </c>
      <c r="I8" s="30">
        <f>SUM(I3:I7)</f>
        <v/>
      </c>
      <c r="J8" s="30">
        <f>SUM(J3:J7)</f>
        <v/>
      </c>
      <c r="K8" s="30">
        <f>SUM(K3:K7)</f>
        <v/>
      </c>
      <c r="L8" s="30">
        <f>SUM(L3:L7)</f>
        <v/>
      </c>
      <c r="M8" s="30">
        <f>SUM(M3:M7)</f>
        <v/>
      </c>
      <c r="N8" s="30">
        <f>SUM(N3:N7)</f>
        <v/>
      </c>
      <c r="O8" s="30">
        <f>SUM(O3:O7)</f>
        <v/>
      </c>
    </row>
  </sheetData>
  <mergeCells count="2">
    <mergeCell ref="A1:O1"/>
    <mergeCell ref="A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3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2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Métrica</t>
        </is>
      </c>
      <c r="E2" s="2" t="inlineStr">
        <is>
          <t>30/Dez</t>
        </is>
      </c>
      <c r="F2" s="2" t="inlineStr">
        <is>
          <t>06/Jan</t>
        </is>
      </c>
      <c r="G2" s="2" t="inlineStr">
        <is>
          <t>13/Jan</t>
        </is>
      </c>
      <c r="H2" s="2" t="inlineStr">
        <is>
          <t>20/Jan</t>
        </is>
      </c>
      <c r="I2" s="2" t="inlineStr">
        <is>
          <t>27/Jan</t>
        </is>
      </c>
      <c r="J2" s="2" t="inlineStr">
        <is>
          <t>03/Fev</t>
        </is>
      </c>
      <c r="K2" s="2" t="inlineStr">
        <is>
          <t>10/Fev</t>
        </is>
      </c>
      <c r="L2" s="2" t="inlineStr">
        <is>
          <t>17/Fev</t>
        </is>
      </c>
      <c r="M2" s="2" t="inlineStr">
        <is>
          <t>24/Fev</t>
        </is>
      </c>
      <c r="N2" s="2" t="inlineStr">
        <is>
          <t>03/Mar</t>
        </is>
      </c>
      <c r="O2" s="2" t="inlineStr">
        <is>
          <t>10/Mar</t>
        </is>
      </c>
      <c r="P2" s="2" t="inlineStr">
        <is>
          <t>17/Mar</t>
        </is>
      </c>
      <c r="Q2" s="2" t="inlineStr">
        <is>
          <t>24/Mar</t>
        </is>
      </c>
      <c r="R2" s="2" t="inlineStr">
        <is>
          <t>31/Mar</t>
        </is>
      </c>
      <c r="S2" s="2" t="inlineStr">
        <is>
          <t>07/Abr</t>
        </is>
      </c>
      <c r="T2" s="2" t="inlineStr">
        <is>
          <t>14/Abr</t>
        </is>
      </c>
      <c r="U2" s="2" t="inlineStr">
        <is>
          <t>21/Abr</t>
        </is>
      </c>
      <c r="V2" s="2" t="inlineStr">
        <is>
          <t>28/Abr</t>
        </is>
      </c>
      <c r="W2" s="2" t="inlineStr">
        <is>
          <t>05/Mai</t>
        </is>
      </c>
      <c r="X2" s="2" t="inlineStr">
        <is>
          <t>12/Mai</t>
        </is>
      </c>
      <c r="Y2" s="2" t="inlineStr">
        <is>
          <t>19/Mai</t>
        </is>
      </c>
      <c r="Z2" s="2" t="inlineStr">
        <is>
          <t>26/Mai</t>
        </is>
      </c>
      <c r="AA2" s="2" t="inlineStr">
        <is>
          <t>02/Jun</t>
        </is>
      </c>
      <c r="AB2" s="2" t="inlineStr">
        <is>
          <t>09/Jun</t>
        </is>
      </c>
      <c r="AC2" s="2" t="inlineStr">
        <is>
          <t>16/Jun</t>
        </is>
      </c>
      <c r="AD2" s="2" t="inlineStr">
        <is>
          <t>23/Jun</t>
        </is>
      </c>
      <c r="AE2" s="2" t="inlineStr">
        <is>
          <t>30/Jun</t>
        </is>
      </c>
    </row>
    <row r="3">
      <c r="A3" s="49" t="n"/>
      <c r="B3" s="49" t="n"/>
      <c r="C3" s="49" t="n"/>
      <c r="D3" s="50" t="inlineStr">
        <is>
          <t>Praticabilidade</t>
        </is>
      </c>
      <c r="E3" s="51" t="n">
        <v>0.8571</v>
      </c>
      <c r="F3" s="52" t="n">
        <v>1</v>
      </c>
      <c r="G3" s="51" t="n">
        <v>0.8571</v>
      </c>
      <c r="H3" s="51" t="n">
        <v>0.7143</v>
      </c>
      <c r="I3" s="51" t="n">
        <v>0.8571</v>
      </c>
      <c r="J3" s="51" t="n">
        <v>0.7143</v>
      </c>
      <c r="K3" s="51" t="n">
        <v>0.8571</v>
      </c>
      <c r="L3" s="51" t="n">
        <v>0.5714</v>
      </c>
      <c r="M3" s="51" t="n">
        <v>0.7143</v>
      </c>
      <c r="N3" s="51" t="n">
        <v>0.5714</v>
      </c>
      <c r="O3" s="51" t="n">
        <v>0.8571</v>
      </c>
      <c r="P3" s="51" t="n">
        <v>0.5714</v>
      </c>
      <c r="Q3" s="51" t="n">
        <v>0.5714</v>
      </c>
      <c r="R3" s="51" t="n">
        <v>0.8571</v>
      </c>
      <c r="S3" s="52" t="n">
        <v>1</v>
      </c>
      <c r="T3" s="51" t="n">
        <v>0.8571</v>
      </c>
      <c r="U3" s="51" t="n">
        <v>0.8571</v>
      </c>
      <c r="V3" s="51" t="n">
        <v>0.8571</v>
      </c>
      <c r="W3" s="51" t="n">
        <v>0.8571</v>
      </c>
      <c r="X3" s="52" t="n">
        <v>1</v>
      </c>
      <c r="Y3" s="51" t="n">
        <v>0.7143</v>
      </c>
      <c r="Z3" s="52" t="n">
        <v>1</v>
      </c>
      <c r="AA3" s="52" t="n">
        <v>1</v>
      </c>
      <c r="AB3" s="52" t="n">
        <v>1</v>
      </c>
      <c r="AC3" s="52" t="n">
        <v>1</v>
      </c>
      <c r="AD3" s="52" t="n">
        <v>1</v>
      </c>
      <c r="AE3" s="52" t="n">
        <v>1</v>
      </c>
    </row>
    <row r="4">
      <c r="A4" s="20" t="inlineStr">
        <is>
          <t>eap-01</t>
        </is>
      </c>
      <c r="B4" s="20" t="inlineStr">
        <is>
          <t>Escavação, carga e transporte 1ª cat</t>
        </is>
      </c>
      <c r="C4" s="53" t="inlineStr">
        <is>
          <t>m3</t>
        </is>
      </c>
      <c r="D4" s="54" t="inlineStr">
        <is>
          <t>Dias Trabalhados</t>
        </is>
      </c>
      <c r="E4" s="55" t="n">
        <v>6</v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  <c r="AA4" s="56" t="n"/>
      <c r="AB4" s="56" t="n"/>
      <c r="AC4" s="56" t="n"/>
      <c r="AD4" s="56" t="n"/>
      <c r="AE4" s="56" t="n"/>
    </row>
    <row r="5">
      <c r="A5" s="11" t="n"/>
      <c r="B5" s="11" t="n"/>
      <c r="C5" s="18" t="n"/>
      <c r="D5" s="57" t="inlineStr">
        <is>
          <t>Nº De Equipes</t>
        </is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58" t="n">
        <v>1</v>
      </c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  <c r="AD5" s="59" t="n"/>
      <c r="AE5" s="59" t="n"/>
    </row>
    <row r="6">
      <c r="A6" s="11" t="n"/>
      <c r="B6" s="11" t="n"/>
      <c r="C6" s="18" t="n"/>
      <c r="D6" s="57" t="inlineStr">
        <is>
          <t>Qtd. Planejada</t>
        </is>
      </c>
      <c r="E6" s="33" t="n">
        <v>6567.31</v>
      </c>
      <c r="F6" s="33" t="n">
        <v>7662.24</v>
      </c>
      <c r="G6" s="33" t="n">
        <v>6567.31</v>
      </c>
      <c r="H6" s="33" t="n">
        <v>5473.14</v>
      </c>
      <c r="I6" s="33" t="n">
        <v>6567.31</v>
      </c>
      <c r="J6" s="33" t="n">
        <v>5473.14</v>
      </c>
      <c r="K6" s="33" t="n">
        <v>6567.31</v>
      </c>
      <c r="L6" s="33" t="n">
        <v>4378.2</v>
      </c>
      <c r="M6" s="33" t="n">
        <v>5473.14</v>
      </c>
      <c r="N6" s="33" t="n">
        <v>4378.2</v>
      </c>
      <c r="O6" s="33" t="n">
        <v>3230.71</v>
      </c>
      <c r="P6" s="59" t="n"/>
      <c r="Q6" s="59" t="n"/>
      <c r="R6" s="59" t="n"/>
      <c r="S6" s="59" t="n"/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</row>
    <row r="7">
      <c r="A7" s="11" t="n"/>
      <c r="B7" s="11" t="n"/>
      <c r="C7" s="18" t="n"/>
      <c r="D7" s="57" t="inlineStr">
        <is>
          <t>Qtd Plan. Acumulada</t>
        </is>
      </c>
      <c r="E7" s="33" t="n">
        <v>6567.31</v>
      </c>
      <c r="F7" s="33" t="n">
        <v>14229.55</v>
      </c>
      <c r="G7" s="33" t="n">
        <v>20796.85</v>
      </c>
      <c r="H7" s="33" t="n">
        <v>26269.99</v>
      </c>
      <c r="I7" s="33" t="n">
        <v>32837.3</v>
      </c>
      <c r="J7" s="33" t="n">
        <v>38310.43</v>
      </c>
      <c r="K7" s="33" t="n">
        <v>44877.74</v>
      </c>
      <c r="L7" s="33" t="n">
        <v>49255.94</v>
      </c>
      <c r="M7" s="33" t="n">
        <v>54729.08</v>
      </c>
      <c r="N7" s="33" t="n">
        <v>59107.29</v>
      </c>
      <c r="O7" s="33" t="n">
        <v>62338</v>
      </c>
      <c r="P7" s="33" t="n">
        <v>62338</v>
      </c>
      <c r="Q7" s="33" t="n">
        <v>62338</v>
      </c>
      <c r="R7" s="33" t="n">
        <v>62338</v>
      </c>
      <c r="S7" s="33" t="n">
        <v>62338</v>
      </c>
      <c r="T7" s="33" t="n">
        <v>62338</v>
      </c>
      <c r="U7" s="33" t="n">
        <v>62338</v>
      </c>
      <c r="V7" s="33" t="n">
        <v>62338</v>
      </c>
      <c r="W7" s="33" t="n">
        <v>62338</v>
      </c>
      <c r="X7" s="33" t="n">
        <v>62338</v>
      </c>
      <c r="Y7" s="33" t="n">
        <v>62338</v>
      </c>
      <c r="Z7" s="33" t="n">
        <v>62338</v>
      </c>
      <c r="AA7" s="33" t="n">
        <v>62338</v>
      </c>
      <c r="AB7" s="33" t="n">
        <v>62338</v>
      </c>
      <c r="AC7" s="33" t="n">
        <v>62338</v>
      </c>
      <c r="AD7" s="33" t="n">
        <v>62338</v>
      </c>
      <c r="AE7" s="33" t="n">
        <v>62338</v>
      </c>
    </row>
    <row r="8">
      <c r="A8" s="11" t="n"/>
      <c r="B8" s="11" t="n"/>
      <c r="C8" s="18" t="n"/>
      <c r="D8" s="57" t="inlineStr">
        <is>
          <t>Eficiência</t>
        </is>
      </c>
      <c r="E8" s="60" t="n">
        <v>0.8571</v>
      </c>
      <c r="F8" s="60" t="n">
        <v>1</v>
      </c>
      <c r="G8" s="60" t="n">
        <v>0.8571</v>
      </c>
      <c r="H8" s="60" t="n">
        <v>0.7143</v>
      </c>
      <c r="I8" s="60" t="n">
        <v>0.8571</v>
      </c>
      <c r="J8" s="60" t="n">
        <v>0.7143</v>
      </c>
      <c r="K8" s="60" t="n">
        <v>0.8571</v>
      </c>
      <c r="L8" s="60" t="n">
        <v>0.5714</v>
      </c>
      <c r="M8" s="60" t="n">
        <v>0.7143</v>
      </c>
      <c r="N8" s="60" t="n">
        <v>0.5714</v>
      </c>
      <c r="O8" s="60" t="n">
        <v>0.8571</v>
      </c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</row>
    <row r="9">
      <c r="A9" s="61" t="inlineStr">
        <is>
          <t>eap-02</t>
        </is>
      </c>
      <c r="B9" s="61" t="inlineStr">
        <is>
          <t>Compactação de aterro</t>
        </is>
      </c>
      <c r="C9" s="62" t="inlineStr">
        <is>
          <t>m3</t>
        </is>
      </c>
      <c r="D9" s="63" t="inlineStr">
        <is>
          <t>Dias Trabalhados</t>
        </is>
      </c>
      <c r="E9" s="64" t="n">
        <v>6</v>
      </c>
      <c r="F9" s="64" t="n">
        <v>6</v>
      </c>
      <c r="G9" s="64" t="n">
        <v>6</v>
      </c>
      <c r="H9" s="64" t="n">
        <v>6</v>
      </c>
      <c r="I9" s="64" t="n">
        <v>6</v>
      </c>
      <c r="J9" s="64" t="n">
        <v>6</v>
      </c>
      <c r="K9" s="64" t="n">
        <v>6</v>
      </c>
      <c r="L9" s="64" t="n">
        <v>6</v>
      </c>
      <c r="M9" s="64" t="n">
        <v>6</v>
      </c>
      <c r="N9" s="64" t="n">
        <v>6</v>
      </c>
      <c r="O9" s="65" t="n"/>
      <c r="P9" s="65" t="n"/>
      <c r="Q9" s="65" t="n"/>
      <c r="R9" s="65" t="n"/>
      <c r="S9" s="65" t="n"/>
      <c r="T9" s="65" t="n"/>
      <c r="U9" s="65" t="n"/>
      <c r="V9" s="65" t="n"/>
      <c r="W9" s="65" t="n"/>
      <c r="X9" s="65" t="n"/>
      <c r="Y9" s="65" t="n"/>
      <c r="Z9" s="65" t="n"/>
      <c r="AA9" s="65" t="n"/>
      <c r="AB9" s="65" t="n"/>
      <c r="AC9" s="65" t="n"/>
      <c r="AD9" s="65" t="n"/>
      <c r="AE9" s="65" t="n"/>
    </row>
    <row r="10">
      <c r="A10" s="13" t="n"/>
      <c r="B10" s="13" t="n"/>
      <c r="C10" s="27" t="n"/>
      <c r="D10" s="66" t="inlineStr">
        <is>
          <t>Nº De Equipes</t>
        </is>
      </c>
      <c r="E10" s="67" t="n">
        <v>1</v>
      </c>
      <c r="F10" s="67" t="n">
        <v>1</v>
      </c>
      <c r="G10" s="67" t="n">
        <v>1</v>
      </c>
      <c r="H10" s="67" t="n">
        <v>1</v>
      </c>
      <c r="I10" s="67" t="n">
        <v>1</v>
      </c>
      <c r="J10" s="67" t="n">
        <v>1</v>
      </c>
      <c r="K10" s="67" t="n">
        <v>1</v>
      </c>
      <c r="L10" s="67" t="n">
        <v>1</v>
      </c>
      <c r="M10" s="67" t="n">
        <v>1</v>
      </c>
      <c r="N10" s="67" t="n">
        <v>1</v>
      </c>
      <c r="O10" s="68" t="n"/>
      <c r="P10" s="68" t="n"/>
      <c r="Q10" s="68" t="n"/>
      <c r="R10" s="68" t="n"/>
      <c r="S10" s="68" t="n"/>
      <c r="T10" s="68" t="n"/>
      <c r="U10" s="68" t="n"/>
      <c r="V10" s="68" t="n"/>
      <c r="W10" s="68" t="n"/>
      <c r="X10" s="68" t="n"/>
      <c r="Y10" s="68" t="n"/>
      <c r="Z10" s="68" t="n"/>
      <c r="AA10" s="68" t="n"/>
      <c r="AB10" s="68" t="n"/>
      <c r="AC10" s="68" t="n"/>
      <c r="AD10" s="68" t="n"/>
      <c r="AE10" s="68" t="n"/>
    </row>
    <row r="11">
      <c r="A11" s="13" t="n"/>
      <c r="B11" s="13" t="n"/>
      <c r="C11" s="27" t="n"/>
      <c r="D11" s="66" t="inlineStr">
        <is>
          <t>Qtd. Planejada</t>
        </is>
      </c>
      <c r="E11" s="36" t="n">
        <v>6669.75</v>
      </c>
      <c r="F11" s="36" t="n">
        <v>7781.76</v>
      </c>
      <c r="G11" s="36" t="n">
        <v>6669.75</v>
      </c>
      <c r="H11" s="36" t="n">
        <v>5558.51</v>
      </c>
      <c r="I11" s="36" t="n">
        <v>6669.75</v>
      </c>
      <c r="J11" s="36" t="n">
        <v>5558.51</v>
      </c>
      <c r="K11" s="36" t="n">
        <v>6669.75</v>
      </c>
      <c r="L11" s="36" t="n">
        <v>4446.5</v>
      </c>
      <c r="M11" s="36" t="n">
        <v>5558.51</v>
      </c>
      <c r="N11" s="36" t="n">
        <v>4140.22</v>
      </c>
      <c r="O11" s="68" t="n"/>
      <c r="P11" s="68" t="n"/>
      <c r="Q11" s="68" t="n"/>
      <c r="R11" s="68" t="n"/>
      <c r="S11" s="68" t="n"/>
      <c r="T11" s="68" t="n"/>
      <c r="U11" s="68" t="n"/>
      <c r="V11" s="68" t="n"/>
      <c r="W11" s="68" t="n"/>
      <c r="X11" s="68" t="n"/>
      <c r="Y11" s="68" t="n"/>
      <c r="Z11" s="68" t="n"/>
      <c r="AA11" s="68" t="n"/>
      <c r="AB11" s="68" t="n"/>
      <c r="AC11" s="68" t="n"/>
      <c r="AD11" s="68" t="n"/>
      <c r="AE11" s="68" t="n"/>
    </row>
    <row r="12">
      <c r="A12" s="13" t="n"/>
      <c r="B12" s="13" t="n"/>
      <c r="C12" s="27" t="n"/>
      <c r="D12" s="66" t="inlineStr">
        <is>
          <t>Qtd Plan. Acumulada</t>
        </is>
      </c>
      <c r="E12" s="36" t="n">
        <v>6669.75</v>
      </c>
      <c r="F12" s="36" t="n">
        <v>14451.51</v>
      </c>
      <c r="G12" s="36" t="n">
        <v>21121.25</v>
      </c>
      <c r="H12" s="36" t="n">
        <v>26679.76</v>
      </c>
      <c r="I12" s="36" t="n">
        <v>33349.51</v>
      </c>
      <c r="J12" s="36" t="n">
        <v>38908.02</v>
      </c>
      <c r="K12" s="36" t="n">
        <v>45577.77</v>
      </c>
      <c r="L12" s="36" t="n">
        <v>50024.27</v>
      </c>
      <c r="M12" s="36" t="n">
        <v>55582.78</v>
      </c>
      <c r="N12" s="36" t="n">
        <v>59723</v>
      </c>
      <c r="O12" s="36" t="n">
        <v>59723</v>
      </c>
      <c r="P12" s="36" t="n">
        <v>59723</v>
      </c>
      <c r="Q12" s="36" t="n">
        <v>59723</v>
      </c>
      <c r="R12" s="36" t="n">
        <v>59723</v>
      </c>
      <c r="S12" s="36" t="n">
        <v>59723</v>
      </c>
      <c r="T12" s="36" t="n">
        <v>59723</v>
      </c>
      <c r="U12" s="36" t="n">
        <v>59723</v>
      </c>
      <c r="V12" s="36" t="n">
        <v>59723</v>
      </c>
      <c r="W12" s="36" t="n">
        <v>59723</v>
      </c>
      <c r="X12" s="36" t="n">
        <v>59723</v>
      </c>
      <c r="Y12" s="36" t="n">
        <v>59723</v>
      </c>
      <c r="Z12" s="36" t="n">
        <v>59723</v>
      </c>
      <c r="AA12" s="36" t="n">
        <v>59723</v>
      </c>
      <c r="AB12" s="36" t="n">
        <v>59723</v>
      </c>
      <c r="AC12" s="36" t="n">
        <v>59723</v>
      </c>
      <c r="AD12" s="36" t="n">
        <v>59723</v>
      </c>
      <c r="AE12" s="36" t="n">
        <v>59723</v>
      </c>
    </row>
    <row r="13">
      <c r="A13" s="13" t="n"/>
      <c r="B13" s="13" t="n"/>
      <c r="C13" s="27" t="n"/>
      <c r="D13" s="66" t="inlineStr">
        <is>
          <t>Eficiência</t>
        </is>
      </c>
      <c r="E13" s="69" t="n">
        <v>0.8571</v>
      </c>
      <c r="F13" s="69" t="n">
        <v>1</v>
      </c>
      <c r="G13" s="69" t="n">
        <v>0.8571</v>
      </c>
      <c r="H13" s="69" t="n">
        <v>0.7143</v>
      </c>
      <c r="I13" s="69" t="n">
        <v>0.8571</v>
      </c>
      <c r="J13" s="69" t="n">
        <v>0.7143</v>
      </c>
      <c r="K13" s="69" t="n">
        <v>0.8571</v>
      </c>
      <c r="L13" s="69" t="n">
        <v>0.5714</v>
      </c>
      <c r="M13" s="69" t="n">
        <v>0.7143</v>
      </c>
      <c r="N13" s="69" t="n">
        <v>0.5714</v>
      </c>
      <c r="O13" s="68" t="n"/>
      <c r="P13" s="68" t="n"/>
      <c r="Q13" s="68" t="n"/>
      <c r="R13" s="68" t="n"/>
      <c r="S13" s="68" t="n"/>
      <c r="T13" s="68" t="n"/>
      <c r="U13" s="68" t="n"/>
      <c r="V13" s="68" t="n"/>
      <c r="W13" s="68" t="n"/>
      <c r="X13" s="68" t="n"/>
      <c r="Y13" s="68" t="n"/>
      <c r="Z13" s="68" t="n"/>
      <c r="AA13" s="68" t="n"/>
      <c r="AB13" s="68" t="n"/>
      <c r="AC13" s="68" t="n"/>
      <c r="AD13" s="68" t="n"/>
      <c r="AE13" s="68" t="n"/>
    </row>
    <row r="14">
      <c r="A14" s="20" t="inlineStr">
        <is>
          <t>eap-03</t>
        </is>
      </c>
      <c r="B14" s="20" t="inlineStr">
        <is>
          <t>Regularização de Subleito</t>
        </is>
      </c>
      <c r="C14" s="53" t="inlineStr">
        <is>
          <t>m2</t>
        </is>
      </c>
      <c r="D14" s="54" t="inlineStr">
        <is>
          <t>Dias Trabalhados</t>
        </is>
      </c>
      <c r="E14" s="55" t="n">
        <v>6</v>
      </c>
      <c r="F14" s="55" t="n">
        <v>6</v>
      </c>
      <c r="G14" s="55" t="n">
        <v>6</v>
      </c>
      <c r="H14" s="55" t="n">
        <v>6</v>
      </c>
      <c r="I14" s="55" t="n">
        <v>6</v>
      </c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  <c r="AA14" s="56" t="n"/>
      <c r="AB14" s="56" t="n"/>
      <c r="AC14" s="56" t="n"/>
      <c r="AD14" s="56" t="n"/>
      <c r="AE14" s="56" t="n"/>
    </row>
    <row r="15">
      <c r="A15" s="11" t="n"/>
      <c r="B15" s="11" t="n"/>
      <c r="C15" s="18" t="n"/>
      <c r="D15" s="57" t="inlineStr">
        <is>
          <t>Nº De Equipes</t>
        </is>
      </c>
      <c r="E15" s="58" t="n">
        <v>1</v>
      </c>
      <c r="F15" s="58" t="n">
        <v>1</v>
      </c>
      <c r="G15" s="58" t="n">
        <v>1</v>
      </c>
      <c r="H15" s="58" t="n">
        <v>1</v>
      </c>
      <c r="I15" s="58" t="n">
        <v>1</v>
      </c>
      <c r="J15" s="59" t="n"/>
      <c r="K15" s="59" t="n"/>
      <c r="L15" s="59" t="n"/>
      <c r="M15" s="59" t="n"/>
      <c r="N15" s="59" t="n"/>
      <c r="O15" s="59" t="n"/>
      <c r="P15" s="59" t="n"/>
      <c r="Q15" s="59" t="n"/>
      <c r="R15" s="59" t="n"/>
      <c r="S15" s="59" t="n"/>
      <c r="T15" s="59" t="n"/>
      <c r="U15" s="59" t="n"/>
      <c r="V15" s="59" t="n"/>
      <c r="W15" s="59" t="n"/>
      <c r="X15" s="59" t="n"/>
      <c r="Y15" s="59" t="n"/>
      <c r="Z15" s="59" t="n"/>
      <c r="AA15" s="59" t="n"/>
      <c r="AB15" s="59" t="n"/>
      <c r="AC15" s="59" t="n"/>
      <c r="AD15" s="59" t="n"/>
      <c r="AE15" s="59" t="n"/>
    </row>
    <row r="16">
      <c r="A16" s="11" t="n"/>
      <c r="B16" s="11" t="n"/>
      <c r="C16" s="18" t="n"/>
      <c r="D16" s="57" t="inlineStr">
        <is>
          <t>Qtd. Planejada</t>
        </is>
      </c>
      <c r="E16" s="33" t="n">
        <v>16456.32</v>
      </c>
      <c r="F16" s="33" t="n">
        <v>19200</v>
      </c>
      <c r="G16" s="33" t="n">
        <v>16456.32</v>
      </c>
      <c r="H16" s="33" t="n">
        <v>13714.56</v>
      </c>
      <c r="I16" s="33" t="n">
        <v>7009.8</v>
      </c>
      <c r="J16" s="59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  <c r="AD16" s="59" t="n"/>
      <c r="AE16" s="59" t="n"/>
    </row>
    <row r="17">
      <c r="A17" s="11" t="n"/>
      <c r="B17" s="11" t="n"/>
      <c r="C17" s="18" t="n"/>
      <c r="D17" s="57" t="inlineStr">
        <is>
          <t>Qtd Plan. Acumulada</t>
        </is>
      </c>
      <c r="E17" s="33" t="n">
        <v>16456.32</v>
      </c>
      <c r="F17" s="33" t="n">
        <v>35656.32</v>
      </c>
      <c r="G17" s="33" t="n">
        <v>52112.64</v>
      </c>
      <c r="H17" s="33" t="n">
        <v>65827.2</v>
      </c>
      <c r="I17" s="33" t="n">
        <v>72837</v>
      </c>
      <c r="J17" s="33" t="n">
        <v>72837</v>
      </c>
      <c r="K17" s="33" t="n">
        <v>72837</v>
      </c>
      <c r="L17" s="33" t="n">
        <v>72837</v>
      </c>
      <c r="M17" s="33" t="n">
        <v>72837</v>
      </c>
      <c r="N17" s="33" t="n">
        <v>72837</v>
      </c>
      <c r="O17" s="33" t="n">
        <v>72837</v>
      </c>
      <c r="P17" s="33" t="n">
        <v>72837</v>
      </c>
      <c r="Q17" s="33" t="n">
        <v>72837</v>
      </c>
      <c r="R17" s="33" t="n">
        <v>72837</v>
      </c>
      <c r="S17" s="33" t="n">
        <v>72837</v>
      </c>
      <c r="T17" s="33" t="n">
        <v>72837</v>
      </c>
      <c r="U17" s="33" t="n">
        <v>72837</v>
      </c>
      <c r="V17" s="33" t="n">
        <v>72837</v>
      </c>
      <c r="W17" s="33" t="n">
        <v>72837</v>
      </c>
      <c r="X17" s="33" t="n">
        <v>72837</v>
      </c>
      <c r="Y17" s="33" t="n">
        <v>72837</v>
      </c>
      <c r="Z17" s="33" t="n">
        <v>72837</v>
      </c>
      <c r="AA17" s="33" t="n">
        <v>72837</v>
      </c>
      <c r="AB17" s="33" t="n">
        <v>72837</v>
      </c>
      <c r="AC17" s="33" t="n">
        <v>72837</v>
      </c>
      <c r="AD17" s="33" t="n">
        <v>72837</v>
      </c>
      <c r="AE17" s="33" t="n">
        <v>72837</v>
      </c>
    </row>
    <row r="18">
      <c r="A18" s="11" t="n"/>
      <c r="B18" s="11" t="n"/>
      <c r="C18" s="18" t="n"/>
      <c r="D18" s="57" t="inlineStr">
        <is>
          <t>Eficiência</t>
        </is>
      </c>
      <c r="E18" s="60" t="n">
        <v>0.8571</v>
      </c>
      <c r="F18" s="60" t="n">
        <v>1</v>
      </c>
      <c r="G18" s="60" t="n">
        <v>0.8571</v>
      </c>
      <c r="H18" s="60" t="n">
        <v>0.7143</v>
      </c>
      <c r="I18" s="60" t="n">
        <v>0.8571</v>
      </c>
      <c r="J18" s="59" t="n"/>
      <c r="K18" s="59" t="n"/>
      <c r="L18" s="59" t="n"/>
      <c r="M18" s="59" t="n"/>
      <c r="N18" s="59" t="n"/>
      <c r="O18" s="59" t="n"/>
      <c r="P18" s="59" t="n"/>
      <c r="Q18" s="59" t="n"/>
      <c r="R18" s="59" t="n"/>
      <c r="S18" s="59" t="n"/>
      <c r="T18" s="59" t="n"/>
      <c r="U18" s="59" t="n"/>
      <c r="V18" s="59" t="n"/>
      <c r="W18" s="59" t="n"/>
      <c r="X18" s="59" t="n"/>
      <c r="Y18" s="59" t="n"/>
      <c r="Z18" s="59" t="n"/>
      <c r="AA18" s="59" t="n"/>
      <c r="AB18" s="59" t="n"/>
      <c r="AC18" s="59" t="n"/>
      <c r="AD18" s="59" t="n"/>
      <c r="AE18" s="59" t="n"/>
    </row>
    <row r="19">
      <c r="A19" s="61" t="inlineStr">
        <is>
          <t>eap-04</t>
        </is>
      </c>
      <c r="B19" s="61" t="inlineStr">
        <is>
          <t>Canaleta/Drenagem</t>
        </is>
      </c>
      <c r="C19" s="62" t="inlineStr">
        <is>
          <t>m</t>
        </is>
      </c>
      <c r="D19" s="63" t="inlineStr">
        <is>
          <t>Dias Trabalhados</t>
        </is>
      </c>
      <c r="E19" s="64" t="n">
        <v>6</v>
      </c>
      <c r="F19" s="64" t="n">
        <v>6</v>
      </c>
      <c r="G19" s="64" t="n">
        <v>6</v>
      </c>
      <c r="H19" s="64" t="n">
        <v>6</v>
      </c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</row>
    <row r="20">
      <c r="A20" s="13" t="n"/>
      <c r="B20" s="13" t="n"/>
      <c r="C20" s="27" t="n"/>
      <c r="D20" s="66" t="inlineStr">
        <is>
          <t>Nº De Equipes</t>
        </is>
      </c>
      <c r="E20" s="67" t="n">
        <v>1</v>
      </c>
      <c r="F20" s="67" t="n">
        <v>1</v>
      </c>
      <c r="G20" s="67" t="n">
        <v>1</v>
      </c>
      <c r="H20" s="67" t="n">
        <v>1</v>
      </c>
      <c r="I20" s="68" t="n"/>
      <c r="J20" s="68" t="n"/>
      <c r="K20" s="68" t="n"/>
      <c r="L20" s="68" t="n"/>
      <c r="M20" s="68" t="n"/>
      <c r="N20" s="68" t="n"/>
      <c r="O20" s="68" t="n"/>
      <c r="P20" s="68" t="n"/>
      <c r="Q20" s="68" t="n"/>
      <c r="R20" s="68" t="n"/>
      <c r="S20" s="68" t="n"/>
      <c r="T20" s="68" t="n"/>
      <c r="U20" s="68" t="n"/>
      <c r="V20" s="68" t="n"/>
      <c r="W20" s="68" t="n"/>
      <c r="X20" s="68" t="n"/>
      <c r="Y20" s="68" t="n"/>
      <c r="Z20" s="68" t="n"/>
      <c r="AA20" s="68" t="n"/>
      <c r="AB20" s="68" t="n"/>
      <c r="AC20" s="68" t="n"/>
      <c r="AD20" s="68" t="n"/>
      <c r="AE20" s="68" t="n"/>
    </row>
    <row r="21">
      <c r="A21" s="13" t="n"/>
      <c r="B21" s="13" t="n"/>
      <c r="C21" s="27" t="n"/>
      <c r="D21" s="66" t="inlineStr">
        <is>
          <t>Qtd. Planejada</t>
        </is>
      </c>
      <c r="E21" s="36" t="n">
        <v>123.42</v>
      </c>
      <c r="F21" s="36" t="n">
        <v>144</v>
      </c>
      <c r="G21" s="36" t="n">
        <v>123.42</v>
      </c>
      <c r="H21" s="36" t="n">
        <v>15.16</v>
      </c>
      <c r="I21" s="68" t="n"/>
      <c r="J21" s="68" t="n"/>
      <c r="K21" s="68" t="n"/>
      <c r="L21" s="68" t="n"/>
      <c r="M21" s="68" t="n"/>
      <c r="N21" s="68" t="n"/>
      <c r="O21" s="68" t="n"/>
      <c r="P21" s="68" t="n"/>
      <c r="Q21" s="68" t="n"/>
      <c r="R21" s="68" t="n"/>
      <c r="S21" s="68" t="n"/>
      <c r="T21" s="68" t="n"/>
      <c r="U21" s="68" t="n"/>
      <c r="V21" s="68" t="n"/>
      <c r="W21" s="68" t="n"/>
      <c r="X21" s="68" t="n"/>
      <c r="Y21" s="68" t="n"/>
      <c r="Z21" s="68" t="n"/>
      <c r="AA21" s="68" t="n"/>
      <c r="AB21" s="68" t="n"/>
      <c r="AC21" s="68" t="n"/>
      <c r="AD21" s="68" t="n"/>
      <c r="AE21" s="68" t="n"/>
    </row>
    <row r="22">
      <c r="A22" s="13" t="n"/>
      <c r="B22" s="13" t="n"/>
      <c r="C22" s="27" t="n"/>
      <c r="D22" s="66" t="inlineStr">
        <is>
          <t>Qtd Plan. Acumulada</t>
        </is>
      </c>
      <c r="E22" s="36" t="n">
        <v>123.42</v>
      </c>
      <c r="F22" s="36" t="n">
        <v>267.42</v>
      </c>
      <c r="G22" s="36" t="n">
        <v>390.84</v>
      </c>
      <c r="H22" s="36" t="n">
        <v>406</v>
      </c>
      <c r="I22" s="36" t="n">
        <v>406</v>
      </c>
      <c r="J22" s="36" t="n">
        <v>406</v>
      </c>
      <c r="K22" s="36" t="n">
        <v>406</v>
      </c>
      <c r="L22" s="36" t="n">
        <v>406</v>
      </c>
      <c r="M22" s="36" t="n">
        <v>406</v>
      </c>
      <c r="N22" s="36" t="n">
        <v>406</v>
      </c>
      <c r="O22" s="36" t="n">
        <v>406</v>
      </c>
      <c r="P22" s="36" t="n">
        <v>406</v>
      </c>
      <c r="Q22" s="36" t="n">
        <v>406</v>
      </c>
      <c r="R22" s="36" t="n">
        <v>406</v>
      </c>
      <c r="S22" s="36" t="n">
        <v>406</v>
      </c>
      <c r="T22" s="36" t="n">
        <v>406</v>
      </c>
      <c r="U22" s="36" t="n">
        <v>406</v>
      </c>
      <c r="V22" s="36" t="n">
        <v>406</v>
      </c>
      <c r="W22" s="36" t="n">
        <v>406</v>
      </c>
      <c r="X22" s="36" t="n">
        <v>406</v>
      </c>
      <c r="Y22" s="36" t="n">
        <v>406</v>
      </c>
      <c r="Z22" s="36" t="n">
        <v>406</v>
      </c>
      <c r="AA22" s="36" t="n">
        <v>406</v>
      </c>
      <c r="AB22" s="36" t="n">
        <v>406</v>
      </c>
      <c r="AC22" s="36" t="n">
        <v>406</v>
      </c>
      <c r="AD22" s="36" t="n">
        <v>406</v>
      </c>
      <c r="AE22" s="36" t="n">
        <v>406</v>
      </c>
    </row>
    <row r="23">
      <c r="A23" s="13" t="n"/>
      <c r="B23" s="13" t="n"/>
      <c r="C23" s="27" t="n"/>
      <c r="D23" s="66" t="inlineStr">
        <is>
          <t>Eficiência</t>
        </is>
      </c>
      <c r="E23" s="69" t="n">
        <v>0.8571</v>
      </c>
      <c r="F23" s="69" t="n">
        <v>1</v>
      </c>
      <c r="G23" s="69" t="n">
        <v>0.8571</v>
      </c>
      <c r="H23" s="69" t="n">
        <v>0.7143</v>
      </c>
      <c r="I23" s="68" t="n"/>
      <c r="J23" s="68" t="n"/>
      <c r="K23" s="68" t="n"/>
      <c r="L23" s="68" t="n"/>
      <c r="M23" s="68" t="n"/>
      <c r="N23" s="68" t="n"/>
      <c r="O23" s="68" t="n"/>
      <c r="P23" s="68" t="n"/>
      <c r="Q23" s="68" t="n"/>
      <c r="R23" s="68" t="n"/>
      <c r="S23" s="68" t="n"/>
      <c r="T23" s="68" t="n"/>
      <c r="U23" s="68" t="n"/>
      <c r="V23" s="68" t="n"/>
      <c r="W23" s="68" t="n"/>
      <c r="X23" s="68" t="n"/>
      <c r="Y23" s="68" t="n"/>
      <c r="Z23" s="68" t="n"/>
      <c r="AA23" s="68" t="n"/>
      <c r="AB23" s="68" t="n"/>
      <c r="AC23" s="68" t="n"/>
      <c r="AD23" s="68" t="n"/>
      <c r="AE23" s="68" t="n"/>
    </row>
  </sheetData>
  <mergeCells count="1">
    <mergeCell ref="A1:A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Dez/24</t>
        </is>
      </c>
      <c r="F2" s="2" t="inlineStr">
        <is>
          <t>Jan/25</t>
        </is>
      </c>
      <c r="G2" s="2" t="inlineStr">
        <is>
          <t>Fev/25</t>
        </is>
      </c>
      <c r="H2" s="2" t="inlineStr">
        <is>
          <t>Mar/25</t>
        </is>
      </c>
      <c r="I2" s="2" t="inlineStr">
        <is>
          <t>Abr/25</t>
        </is>
      </c>
      <c r="J2" s="2" t="inlineStr">
        <is>
          <t>Mai/25</t>
        </is>
      </c>
      <c r="K2" s="2" t="inlineStr">
        <is>
          <t>Jun/25</t>
        </is>
      </c>
    </row>
    <row r="3">
      <c r="A3" s="11" t="inlineStr">
        <is>
          <t>eap-01</t>
        </is>
      </c>
      <c r="B3" s="70" t="inlineStr">
        <is>
          <t>Escavação, carga e transporte 1ª cat</t>
        </is>
      </c>
      <c r="C3" s="18" t="inlineStr">
        <is>
          <t>m3</t>
        </is>
      </c>
      <c r="D3" s="32" t="n">
        <v>62338</v>
      </c>
      <c r="E3" s="32" t="n">
        <v>6567.31</v>
      </c>
      <c r="F3" s="32" t="n">
        <v>26270</v>
      </c>
      <c r="G3" s="32" t="n">
        <v>21891.79</v>
      </c>
      <c r="H3" s="32" t="n">
        <v>7608.91</v>
      </c>
      <c r="I3" s="12" t="n"/>
      <c r="J3" s="12" t="n"/>
      <c r="K3" s="12" t="n"/>
    </row>
    <row r="4">
      <c r="A4" s="13" t="inlineStr">
        <is>
          <t>eap-02</t>
        </is>
      </c>
      <c r="B4" s="71" t="inlineStr">
        <is>
          <t>Compactação de aterro</t>
        </is>
      </c>
      <c r="C4" s="27" t="inlineStr">
        <is>
          <t>m3</t>
        </is>
      </c>
      <c r="D4" s="35" t="n">
        <v>59723</v>
      </c>
      <c r="E4" s="35" t="n">
        <v>6669.75</v>
      </c>
      <c r="F4" s="35" t="n">
        <v>26679.77</v>
      </c>
      <c r="G4" s="35" t="n">
        <v>22233.27</v>
      </c>
      <c r="H4" s="35" t="n">
        <v>4140.22</v>
      </c>
      <c r="I4" s="14" t="n"/>
      <c r="J4" s="14" t="n"/>
      <c r="K4" s="14" t="n"/>
    </row>
    <row r="5">
      <c r="A5" s="11" t="inlineStr">
        <is>
          <t>eap-03</t>
        </is>
      </c>
      <c r="B5" s="70" t="inlineStr">
        <is>
          <t>Regularização de Subleito</t>
        </is>
      </c>
      <c r="C5" s="18" t="inlineStr">
        <is>
          <t>m2</t>
        </is>
      </c>
      <c r="D5" s="32" t="n">
        <v>72837</v>
      </c>
      <c r="E5" s="32" t="n">
        <v>16456.32</v>
      </c>
      <c r="F5" s="32" t="n">
        <v>56380.68</v>
      </c>
      <c r="G5" s="12" t="n"/>
      <c r="H5" s="12" t="n"/>
      <c r="I5" s="12" t="n"/>
      <c r="J5" s="12" t="n"/>
      <c r="K5" s="12" t="n"/>
    </row>
    <row r="6">
      <c r="A6" s="13" t="inlineStr">
        <is>
          <t>eap-04</t>
        </is>
      </c>
      <c r="B6" s="71" t="inlineStr">
        <is>
          <t>Canaleta/Drenagem</t>
        </is>
      </c>
      <c r="C6" s="27" t="inlineStr">
        <is>
          <t>m</t>
        </is>
      </c>
      <c r="D6" s="35" t="n">
        <v>406</v>
      </c>
      <c r="E6" s="35" t="n">
        <v>123.42</v>
      </c>
      <c r="F6" s="35" t="n">
        <v>282.58</v>
      </c>
      <c r="G6" s="14" t="n"/>
      <c r="H6" s="14" t="n"/>
      <c r="I6" s="14" t="n"/>
      <c r="J6" s="14" t="n"/>
      <c r="K6" s="14" t="n"/>
    </row>
  </sheetData>
  <mergeCells count="1"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eap-01 — Escavação, carga e transporte 1ª cat</t>
        </is>
      </c>
    </row>
    <row r="4">
      <c r="A4" s="11" t="inlineStr">
        <is>
          <t>eap-01</t>
        </is>
      </c>
      <c r="B4" s="11" t="inlineStr">
        <is>
          <t>CPU-TERRA-ATI-011</t>
        </is>
      </c>
      <c r="C4" s="11" t="inlineStr">
        <is>
          <t>Operador de Escavadeira</t>
        </is>
      </c>
      <c r="D4" s="15" t="inlineStr">
        <is>
          <t>DIRETO</t>
        </is>
      </c>
      <c r="E4" s="16" t="n">
        <v>1</v>
      </c>
      <c r="F4" s="17" t="n">
        <v>12875</v>
      </c>
      <c r="G4" s="16" t="n">
        <v>2.53</v>
      </c>
      <c r="H4" s="16" t="n">
        <v>1</v>
      </c>
      <c r="I4" s="17" t="n">
        <v>32573.75</v>
      </c>
    </row>
    <row r="5">
      <c r="A5" s="11" t="inlineStr">
        <is>
          <t>eap-01</t>
        </is>
      </c>
      <c r="B5" s="11" t="inlineStr">
        <is>
          <t>CPU-TERRA-ATI-011</t>
        </is>
      </c>
      <c r="C5" s="11" t="inlineStr">
        <is>
          <t>Motorista de Caminhão Basculante</t>
        </is>
      </c>
      <c r="D5" s="15" t="inlineStr">
        <is>
          <t>DIRETO</t>
        </is>
      </c>
      <c r="E5" s="16" t="n">
        <v>3</v>
      </c>
      <c r="F5" s="17" t="n">
        <v>32056.02</v>
      </c>
      <c r="G5" s="16" t="n">
        <v>2.53</v>
      </c>
      <c r="H5" s="16" t="n">
        <v>1</v>
      </c>
      <c r="I5" s="17" t="n">
        <v>81101.73</v>
      </c>
    </row>
    <row r="6">
      <c r="A6" s="11" t="inlineStr">
        <is>
          <t>eap-01</t>
        </is>
      </c>
      <c r="B6" s="11" t="inlineStr">
        <is>
          <t>CPU-TERRA-ATI-011</t>
        </is>
      </c>
      <c r="C6" s="11" t="inlineStr">
        <is>
          <t>Motorista de Caminhão Basculante</t>
        </is>
      </c>
      <c r="D6" s="15" t="inlineStr">
        <is>
          <t>DIRETO</t>
        </is>
      </c>
      <c r="E6" s="16" t="n">
        <v>1</v>
      </c>
      <c r="F6" s="17" t="n">
        <v>10685.34</v>
      </c>
      <c r="G6" s="16" t="n">
        <v>2.53</v>
      </c>
      <c r="H6" s="16" t="n">
        <v>1</v>
      </c>
      <c r="I6" s="17" t="n">
        <v>27033.91</v>
      </c>
    </row>
    <row r="7">
      <c r="A7" s="11" t="inlineStr">
        <is>
          <t>eap-01</t>
        </is>
      </c>
      <c r="B7" s="11" t="inlineStr">
        <is>
          <t>CPU-TERRA-ATI-011</t>
        </is>
      </c>
      <c r="C7" s="11" t="inlineStr">
        <is>
          <t>Encarregado de Terraplenagem</t>
        </is>
      </c>
      <c r="D7" s="15" t="inlineStr">
        <is>
          <t>DIRETO</t>
        </is>
      </c>
      <c r="E7" s="16" t="n">
        <v>1</v>
      </c>
      <c r="F7" s="17" t="n">
        <v>11549.8</v>
      </c>
      <c r="G7" s="16" t="n">
        <v>2.53</v>
      </c>
      <c r="H7" s="16" t="n">
        <v>1</v>
      </c>
      <c r="I7" s="17" t="n">
        <v>29220.99</v>
      </c>
    </row>
    <row r="8">
      <c r="A8" s="11" t="inlineStr">
        <is>
          <t>eap-01</t>
        </is>
      </c>
      <c r="B8" s="11" t="inlineStr">
        <is>
          <t>EQ-E0016</t>
        </is>
      </c>
      <c r="C8" s="11" t="inlineStr">
        <is>
          <t>Escavadeira Hidráulica 22t [EQ]</t>
        </is>
      </c>
      <c r="D8" s="72" t="inlineStr">
        <is>
          <t>EQ</t>
        </is>
      </c>
      <c r="E8" s="16" t="n">
        <v>1</v>
      </c>
      <c r="F8" s="17" t="n">
        <v>35639.3</v>
      </c>
      <c r="G8" s="16" t="n">
        <v>2.53</v>
      </c>
      <c r="H8" s="16" t="n">
        <v>1</v>
      </c>
      <c r="I8" s="17" t="n">
        <v>90167.42999999999</v>
      </c>
    </row>
    <row r="9">
      <c r="A9" s="11" t="inlineStr">
        <is>
          <t>eap-01</t>
        </is>
      </c>
      <c r="B9" s="11" t="inlineStr">
        <is>
          <t>EQ-E0007</t>
        </is>
      </c>
      <c r="C9" s="11" t="inlineStr">
        <is>
          <t>Caminhão Basculante 14m³ [EQ]</t>
        </is>
      </c>
      <c r="D9" s="72" t="inlineStr">
        <is>
          <t>EQ</t>
        </is>
      </c>
      <c r="E9" s="16" t="n">
        <v>3</v>
      </c>
      <c r="F9" s="17" t="n">
        <v>25132.8</v>
      </c>
      <c r="G9" s="16" t="n">
        <v>2.53</v>
      </c>
      <c r="H9" s="16" t="n">
        <v>1</v>
      </c>
      <c r="I9" s="17" t="n">
        <v>63585.98</v>
      </c>
    </row>
    <row r="10">
      <c r="A10" s="11" t="inlineStr">
        <is>
          <t>eap-01</t>
        </is>
      </c>
      <c r="B10" s="11" t="inlineStr">
        <is>
          <t>EQ-E0007</t>
        </is>
      </c>
      <c r="C10" s="19" t="inlineStr">
        <is>
          <t>Diesel — Caminhão Basculante 14m³</t>
        </is>
      </c>
      <c r="D10" s="73" t="inlineStr">
        <is>
          <t>COMB</t>
        </is>
      </c>
      <c r="E10" s="16" t="n">
        <v>3</v>
      </c>
      <c r="F10" s="17" t="n">
        <v>9259.610000000001</v>
      </c>
      <c r="G10" s="16" t="n">
        <v>2.53</v>
      </c>
      <c r="H10" s="16" t="n">
        <v>1</v>
      </c>
      <c r="I10" s="17" t="n">
        <v>23426.81</v>
      </c>
    </row>
    <row r="11">
      <c r="A11" s="20" t="inlineStr">
        <is>
          <t>Subtotal eap-01</t>
        </is>
      </c>
      <c r="B11" s="21" t="n"/>
      <c r="C11" s="21" t="n"/>
      <c r="D11" s="21" t="n"/>
      <c r="E11" s="21" t="n"/>
      <c r="F11" s="21" t="n"/>
      <c r="G11" s="21" t="n"/>
      <c r="H11" s="21" t="n"/>
      <c r="I11" s="22" t="n">
        <v>505598.06</v>
      </c>
    </row>
    <row r="12">
      <c r="A12" s="9" t="inlineStr">
        <is>
          <t>eap-02 — Compactação de aterro</t>
        </is>
      </c>
    </row>
    <row r="13">
      <c r="A13" s="13" t="inlineStr">
        <is>
          <t>eap-02</t>
        </is>
      </c>
      <c r="B13" s="13" t="inlineStr">
        <is>
          <t>CPU-TERRA-ATI-017</t>
        </is>
      </c>
      <c r="C13" s="13" t="inlineStr">
        <is>
          <t>Operador de Motoniveladora</t>
        </is>
      </c>
      <c r="D13" s="24" t="inlineStr">
        <is>
          <t>DIRETO</t>
        </is>
      </c>
      <c r="E13" s="25" t="n">
        <v>1</v>
      </c>
      <c r="F13" s="26" t="n">
        <v>17356.25</v>
      </c>
      <c r="G13" s="25" t="n">
        <v>2.3</v>
      </c>
      <c r="H13" s="25" t="n">
        <v>1</v>
      </c>
      <c r="I13" s="26" t="n">
        <v>39919.38</v>
      </c>
    </row>
    <row r="14">
      <c r="A14" s="13" t="inlineStr">
        <is>
          <t>eap-02</t>
        </is>
      </c>
      <c r="B14" s="13" t="inlineStr">
        <is>
          <t>CPU-TERRA-ATI-017</t>
        </is>
      </c>
      <c r="C14" s="13" t="inlineStr">
        <is>
          <t>Operador de Rolo Compactador</t>
        </is>
      </c>
      <c r="D14" s="24" t="inlineStr">
        <is>
          <t>DIRETO</t>
        </is>
      </c>
      <c r="E14" s="25" t="n">
        <v>1</v>
      </c>
      <c r="F14" s="26" t="n">
        <v>10685.34</v>
      </c>
      <c r="G14" s="25" t="n">
        <v>2.3</v>
      </c>
      <c r="H14" s="25" t="n">
        <v>1</v>
      </c>
      <c r="I14" s="26" t="n">
        <v>24576.28</v>
      </c>
    </row>
    <row r="15">
      <c r="A15" s="13" t="inlineStr">
        <is>
          <t>eap-02</t>
        </is>
      </c>
      <c r="B15" s="13" t="inlineStr">
        <is>
          <t>CPU-TERRA-ATI-017</t>
        </is>
      </c>
      <c r="C15" s="13" t="inlineStr">
        <is>
          <t>Motorista de Caminhão Pipa</t>
        </is>
      </c>
      <c r="D15" s="24" t="inlineStr">
        <is>
          <t>DIRETO</t>
        </is>
      </c>
      <c r="E15" s="25" t="n">
        <v>1</v>
      </c>
      <c r="F15" s="26" t="n">
        <v>10685.34</v>
      </c>
      <c r="G15" s="25" t="n">
        <v>2.3</v>
      </c>
      <c r="H15" s="25" t="n">
        <v>1</v>
      </c>
      <c r="I15" s="26" t="n">
        <v>24576.28</v>
      </c>
    </row>
    <row r="16">
      <c r="A16" s="13" t="inlineStr">
        <is>
          <t>eap-02</t>
        </is>
      </c>
      <c r="B16" s="13" t="inlineStr">
        <is>
          <t>CPU-TERRA-ATI-017</t>
        </is>
      </c>
      <c r="C16" s="13" t="inlineStr">
        <is>
          <t>Operador de Rolo Compactador</t>
        </is>
      </c>
      <c r="D16" s="24" t="inlineStr">
        <is>
          <t>DIRETO</t>
        </is>
      </c>
      <c r="E16" s="25" t="n">
        <v>1</v>
      </c>
      <c r="F16" s="26" t="n">
        <v>10685.34</v>
      </c>
      <c r="G16" s="25" t="n">
        <v>2.3</v>
      </c>
      <c r="H16" s="25" t="n">
        <v>1</v>
      </c>
      <c r="I16" s="26" t="n">
        <v>24576.28</v>
      </c>
    </row>
    <row r="17">
      <c r="A17" s="13" t="inlineStr">
        <is>
          <t>eap-02</t>
        </is>
      </c>
      <c r="B17" s="13" t="inlineStr">
        <is>
          <t>CPU-TERRA-ATI-017</t>
        </is>
      </c>
      <c r="C17" s="13" t="inlineStr">
        <is>
          <t>Encarregado de Terraplenagem</t>
        </is>
      </c>
      <c r="D17" s="24" t="inlineStr">
        <is>
          <t>DIRETO</t>
        </is>
      </c>
      <c r="E17" s="25" t="n">
        <v>1</v>
      </c>
      <c r="F17" s="26" t="n">
        <v>11549.8</v>
      </c>
      <c r="G17" s="25" t="n">
        <v>2.3</v>
      </c>
      <c r="H17" s="25" t="n">
        <v>1</v>
      </c>
      <c r="I17" s="26" t="n">
        <v>26564.54</v>
      </c>
    </row>
    <row r="18">
      <c r="A18" s="13" t="inlineStr">
        <is>
          <t>eap-02</t>
        </is>
      </c>
      <c r="B18" s="13" t="inlineStr">
        <is>
          <t>EQ-E0029</t>
        </is>
      </c>
      <c r="C18" s="13" t="inlineStr">
        <is>
          <t>Motoniveladora 140HP [EQ]</t>
        </is>
      </c>
      <c r="D18" s="74" t="inlineStr">
        <is>
          <t>EQ</t>
        </is>
      </c>
      <c r="E18" s="25" t="n">
        <v>1</v>
      </c>
      <c r="F18" s="26" t="n">
        <v>43326.98</v>
      </c>
      <c r="G18" s="25" t="n">
        <v>2.3</v>
      </c>
      <c r="H18" s="25" t="n">
        <v>1</v>
      </c>
      <c r="I18" s="26" t="n">
        <v>99652.05</v>
      </c>
    </row>
    <row r="19">
      <c r="A19" s="13" t="inlineStr">
        <is>
          <t>eap-02</t>
        </is>
      </c>
      <c r="B19" s="13" t="inlineStr">
        <is>
          <t>EQ-E0029</t>
        </is>
      </c>
      <c r="C19" s="28" t="inlineStr">
        <is>
          <t>Diesel — Motoniveladora 140HP</t>
        </is>
      </c>
      <c r="D19" s="75" t="inlineStr">
        <is>
          <t>COMB</t>
        </is>
      </c>
      <c r="E19" s="25" t="n">
        <v>1</v>
      </c>
      <c r="F19" s="26" t="n">
        <v>14029.71</v>
      </c>
      <c r="G19" s="25" t="n">
        <v>2.3</v>
      </c>
      <c r="H19" s="25" t="n">
        <v>1</v>
      </c>
      <c r="I19" s="26" t="n">
        <v>32268.33</v>
      </c>
    </row>
    <row r="20">
      <c r="A20" s="13" t="inlineStr">
        <is>
          <t>eap-02</t>
        </is>
      </c>
      <c r="B20" s="13" t="inlineStr">
        <is>
          <t>EQ-E0035</t>
        </is>
      </c>
      <c r="C20" s="13" t="inlineStr">
        <is>
          <t>Trator de esteiras 20T [EQ]</t>
        </is>
      </c>
      <c r="D20" s="74" t="inlineStr">
        <is>
          <t>EQ</t>
        </is>
      </c>
      <c r="E20" s="25" t="n">
        <v>1</v>
      </c>
      <c r="F20" s="26" t="n">
        <v>21683.2</v>
      </c>
      <c r="G20" s="25" t="n">
        <v>2.3</v>
      </c>
      <c r="H20" s="25" t="n">
        <v>1</v>
      </c>
      <c r="I20" s="26" t="n">
        <v>49871.36</v>
      </c>
    </row>
    <row r="21">
      <c r="A21" s="13" t="inlineStr">
        <is>
          <t>eap-02</t>
        </is>
      </c>
      <c r="B21" s="13" t="inlineStr">
        <is>
          <t>EQ-E0035</t>
        </is>
      </c>
      <c r="C21" s="28" t="inlineStr">
        <is>
          <t>Diesel — Trator de esteiras 20T</t>
        </is>
      </c>
      <c r="D21" s="75" t="inlineStr">
        <is>
          <t>COMB</t>
        </is>
      </c>
      <c r="E21" s="25" t="n">
        <v>1</v>
      </c>
      <c r="F21" s="26" t="n">
        <v>22957.71</v>
      </c>
      <c r="G21" s="25" t="n">
        <v>2.3</v>
      </c>
      <c r="H21" s="25" t="n">
        <v>1</v>
      </c>
      <c r="I21" s="26" t="n">
        <v>52802.73</v>
      </c>
    </row>
    <row r="22">
      <c r="A22" s="13" t="inlineStr">
        <is>
          <t>eap-02</t>
        </is>
      </c>
      <c r="B22" s="13" t="inlineStr">
        <is>
          <t>EQ-E0010</t>
        </is>
      </c>
      <c r="C22" s="13" t="inlineStr">
        <is>
          <t>Caminhão Pipa 10.000L [EQ]</t>
        </is>
      </c>
      <c r="D22" s="74" t="inlineStr">
        <is>
          <t>EQ</t>
        </is>
      </c>
      <c r="E22" s="25" t="n">
        <v>1</v>
      </c>
      <c r="F22" s="26" t="n">
        <v>19360</v>
      </c>
      <c r="G22" s="25" t="n">
        <v>2.3</v>
      </c>
      <c r="H22" s="25" t="n">
        <v>1</v>
      </c>
      <c r="I22" s="26" t="n">
        <v>44528</v>
      </c>
    </row>
    <row r="23">
      <c r="A23" s="13" t="inlineStr">
        <is>
          <t>eap-02</t>
        </is>
      </c>
      <c r="B23" s="13" t="inlineStr">
        <is>
          <t>EQ-E0010</t>
        </is>
      </c>
      <c r="C23" s="28" t="inlineStr">
        <is>
          <t>Diesel — Caminhão Pipa 10.000L</t>
        </is>
      </c>
      <c r="D23" s="75" t="inlineStr">
        <is>
          <t>COMB</t>
        </is>
      </c>
      <c r="E23" s="25" t="n">
        <v>1</v>
      </c>
      <c r="F23" s="26" t="n">
        <v>2550.86</v>
      </c>
      <c r="G23" s="25" t="n">
        <v>2.3</v>
      </c>
      <c r="H23" s="25" t="n">
        <v>1</v>
      </c>
      <c r="I23" s="26" t="n">
        <v>5866.98</v>
      </c>
    </row>
    <row r="24">
      <c r="A24" s="20" t="inlineStr">
        <is>
          <t>Subtotal eap-02</t>
        </is>
      </c>
      <c r="B24" s="21" t="n"/>
      <c r="C24" s="21" t="n"/>
      <c r="D24" s="21" t="n"/>
      <c r="E24" s="21" t="n"/>
      <c r="F24" s="21" t="n"/>
      <c r="G24" s="21" t="n"/>
      <c r="H24" s="21" t="n"/>
      <c r="I24" s="22" t="n">
        <v>404398.52</v>
      </c>
    </row>
    <row r="25">
      <c r="A25" s="9" t="inlineStr">
        <is>
          <t>eap-03 — Regularização de Subleito</t>
        </is>
      </c>
    </row>
    <row r="26">
      <c r="A26" s="11" t="inlineStr">
        <is>
          <t>eap-03</t>
        </is>
      </c>
      <c r="B26" s="11" t="inlineStr">
        <is>
          <t>CPU-TERRA-REGULARIZACAO-SUBLEITO</t>
        </is>
      </c>
      <c r="C26" s="11" t="inlineStr">
        <is>
          <t>Operador de Motoniveladora</t>
        </is>
      </c>
      <c r="D26" s="15" t="inlineStr">
        <is>
          <t>DIRETO</t>
        </is>
      </c>
      <c r="E26" s="16" t="n">
        <v>1</v>
      </c>
      <c r="F26" s="17" t="n">
        <v>17356.25</v>
      </c>
      <c r="G26" s="16" t="n">
        <v>1.15</v>
      </c>
      <c r="H26" s="16" t="n">
        <v>1</v>
      </c>
      <c r="I26" s="17" t="n">
        <v>19959.69</v>
      </c>
    </row>
    <row r="27">
      <c r="A27" s="11" t="inlineStr">
        <is>
          <t>eap-03</t>
        </is>
      </c>
      <c r="B27" s="11" t="inlineStr">
        <is>
          <t>CPU-TERRA-REGULARIZACAO-SUBLEITO</t>
        </is>
      </c>
      <c r="C27" s="11" t="inlineStr">
        <is>
          <t>Operador de Rolo Compactador</t>
        </is>
      </c>
      <c r="D27" s="15" t="inlineStr">
        <is>
          <t>DIRETO</t>
        </is>
      </c>
      <c r="E27" s="16" t="n">
        <v>1</v>
      </c>
      <c r="F27" s="17" t="n">
        <v>10685.34</v>
      </c>
      <c r="G27" s="16" t="n">
        <v>1.15</v>
      </c>
      <c r="H27" s="16" t="n">
        <v>1</v>
      </c>
      <c r="I27" s="17" t="n">
        <v>12288.14</v>
      </c>
    </row>
    <row r="28">
      <c r="A28" s="11" t="inlineStr">
        <is>
          <t>eap-03</t>
        </is>
      </c>
      <c r="B28" s="11" t="inlineStr">
        <is>
          <t>EQ-MOTONIVEL-140K</t>
        </is>
      </c>
      <c r="C28" s="11" t="inlineStr">
        <is>
          <t>Motoniveladora 140K [EQ]</t>
        </is>
      </c>
      <c r="D28" s="72" t="inlineStr">
        <is>
          <t>EQ</t>
        </is>
      </c>
      <c r="E28" s="16" t="n">
        <v>1</v>
      </c>
      <c r="F28" s="17" t="n">
        <v>44816.64</v>
      </c>
      <c r="G28" s="16" t="n">
        <v>1.15</v>
      </c>
      <c r="H28" s="16" t="n">
        <v>1</v>
      </c>
      <c r="I28" s="17" t="n">
        <v>51539.14</v>
      </c>
    </row>
    <row r="29">
      <c r="A29" s="11" t="inlineStr">
        <is>
          <t>eap-03</t>
        </is>
      </c>
      <c r="B29" s="11" t="inlineStr">
        <is>
          <t>EQ-MOTONIVEL-140K</t>
        </is>
      </c>
      <c r="C29" s="19" t="inlineStr">
        <is>
          <t>Diesel — Motoniveladora 140K</t>
        </is>
      </c>
      <c r="D29" s="73" t="inlineStr">
        <is>
          <t>COMB</t>
        </is>
      </c>
      <c r="E29" s="16" t="n">
        <v>1</v>
      </c>
      <c r="F29" s="17" t="n">
        <v>14029.71</v>
      </c>
      <c r="G29" s="16" t="n">
        <v>1.15</v>
      </c>
      <c r="H29" s="16" t="n">
        <v>1</v>
      </c>
      <c r="I29" s="17" t="n">
        <v>16134.17</v>
      </c>
    </row>
    <row r="30">
      <c r="A30" s="11" t="inlineStr">
        <is>
          <t>eap-03</t>
        </is>
      </c>
      <c r="B30" s="11" t="inlineStr">
        <is>
          <t>EQ-ROLO-LISO</t>
        </is>
      </c>
      <c r="C30" s="11" t="inlineStr">
        <is>
          <t>Rolo compactador liso [EQ]</t>
        </is>
      </c>
      <c r="D30" s="72" t="inlineStr">
        <is>
          <t>EQ</t>
        </is>
      </c>
      <c r="E30" s="16" t="n">
        <v>1</v>
      </c>
      <c r="F30" s="17" t="n">
        <v>15840</v>
      </c>
      <c r="G30" s="16" t="n">
        <v>1.15</v>
      </c>
      <c r="H30" s="16" t="n">
        <v>1</v>
      </c>
      <c r="I30" s="17" t="n">
        <v>18216</v>
      </c>
    </row>
    <row r="31">
      <c r="A31" s="11" t="inlineStr">
        <is>
          <t>eap-03</t>
        </is>
      </c>
      <c r="B31" s="11" t="inlineStr">
        <is>
          <t>EQ-ROLO-LISO</t>
        </is>
      </c>
      <c r="C31" s="19" t="inlineStr">
        <is>
          <t>Diesel — Rolo compactador liso</t>
        </is>
      </c>
      <c r="D31" s="73" t="inlineStr">
        <is>
          <t>COMB</t>
        </is>
      </c>
      <c r="E31" s="16" t="n">
        <v>1</v>
      </c>
      <c r="F31" s="17" t="n">
        <v>8928</v>
      </c>
      <c r="G31" s="16" t="n">
        <v>1.15</v>
      </c>
      <c r="H31" s="16" t="n">
        <v>1</v>
      </c>
      <c r="I31" s="17" t="n">
        <v>10267.2</v>
      </c>
    </row>
    <row r="32">
      <c r="A32" s="20" t="inlineStr">
        <is>
          <t>Subtotal eap-03</t>
        </is>
      </c>
      <c r="B32" s="21" t="n"/>
      <c r="C32" s="21" t="n"/>
      <c r="D32" s="21" t="n"/>
      <c r="E32" s="21" t="n"/>
      <c r="F32" s="21" t="n"/>
      <c r="G32" s="21" t="n"/>
      <c r="H32" s="21" t="n"/>
      <c r="I32" s="22" t="n">
        <v>124627.12</v>
      </c>
    </row>
    <row r="33">
      <c r="A33" s="9" t="inlineStr">
        <is>
          <t>eap-04 — Canaleta/Drenagem</t>
        </is>
      </c>
    </row>
    <row r="34">
      <c r="A34" s="13" t="inlineStr">
        <is>
          <t>eap-04</t>
        </is>
      </c>
      <c r="B34" s="13" t="inlineStr">
        <is>
          <t>CPU-SANEA-DREN-MAN-DN300</t>
        </is>
      </c>
      <c r="C34" s="13" t="inlineStr">
        <is>
          <t>Operador de Retro Escavadeira</t>
        </is>
      </c>
      <c r="D34" s="24" t="inlineStr">
        <is>
          <t>DIRETO</t>
        </is>
      </c>
      <c r="E34" s="25" t="n">
        <v>1</v>
      </c>
      <c r="F34" s="26" t="n">
        <v>13892.78</v>
      </c>
      <c r="G34" s="25" t="n">
        <v>0.92</v>
      </c>
      <c r="H34" s="25" t="n">
        <v>1</v>
      </c>
      <c r="I34" s="26" t="n">
        <v>12781.36</v>
      </c>
    </row>
    <row r="35">
      <c r="A35" s="13" t="inlineStr">
        <is>
          <t>eap-04</t>
        </is>
      </c>
      <c r="B35" s="13" t="inlineStr">
        <is>
          <t>CPU-SANEA-DREN-MAN-DN300</t>
        </is>
      </c>
      <c r="C35" s="13" t="inlineStr">
        <is>
          <t>Encanador</t>
        </is>
      </c>
      <c r="D35" s="24" t="inlineStr">
        <is>
          <t>DIRETO</t>
        </is>
      </c>
      <c r="E35" s="25" t="n">
        <v>1</v>
      </c>
      <c r="F35" s="26" t="n">
        <v>10685.34</v>
      </c>
      <c r="G35" s="25" t="n">
        <v>0.92</v>
      </c>
      <c r="H35" s="25" t="n">
        <v>1</v>
      </c>
      <c r="I35" s="26" t="n">
        <v>9830.51</v>
      </c>
    </row>
    <row r="36">
      <c r="A36" s="13" t="inlineStr">
        <is>
          <t>eap-04</t>
        </is>
      </c>
      <c r="B36" s="13" t="inlineStr">
        <is>
          <t>CPU-SANEA-DREN-MAN-DN300</t>
        </is>
      </c>
      <c r="C36" s="13" t="inlineStr">
        <is>
          <t>Montador de Água/Esgoto</t>
        </is>
      </c>
      <c r="D36" s="24" t="inlineStr">
        <is>
          <t>DIRETO</t>
        </is>
      </c>
      <c r="E36" s="25" t="n">
        <v>1</v>
      </c>
      <c r="F36" s="26" t="n">
        <v>10685.34</v>
      </c>
      <c r="G36" s="25" t="n">
        <v>0.92</v>
      </c>
      <c r="H36" s="25" t="n">
        <v>1</v>
      </c>
      <c r="I36" s="26" t="n">
        <v>9830.51</v>
      </c>
    </row>
    <row r="37">
      <c r="A37" s="13" t="inlineStr">
        <is>
          <t>eap-04</t>
        </is>
      </c>
      <c r="B37" s="13" t="inlineStr">
        <is>
          <t>CPU-SANEA-DREN-MAN-DN300</t>
        </is>
      </c>
      <c r="C37" s="13" t="inlineStr">
        <is>
          <t>Servente</t>
        </is>
      </c>
      <c r="D37" s="24" t="inlineStr">
        <is>
          <t>DIRETO</t>
        </is>
      </c>
      <c r="E37" s="25" t="n">
        <v>2</v>
      </c>
      <c r="F37" s="26" t="n">
        <v>14186.02</v>
      </c>
      <c r="G37" s="25" t="n">
        <v>0.92</v>
      </c>
      <c r="H37" s="25" t="n">
        <v>1</v>
      </c>
      <c r="I37" s="26" t="n">
        <v>13051.14</v>
      </c>
    </row>
    <row r="38">
      <c r="A38" s="13" t="inlineStr">
        <is>
          <t>eap-04</t>
        </is>
      </c>
      <c r="B38" s="13" t="inlineStr">
        <is>
          <t>EQ-RETRO-ESCAV</t>
        </is>
      </c>
      <c r="C38" s="13" t="inlineStr">
        <is>
          <t>Retroescavadeira [EQ]</t>
        </is>
      </c>
      <c r="D38" s="74" t="inlineStr">
        <is>
          <t>EQ</t>
        </is>
      </c>
      <c r="E38" s="25" t="n">
        <v>1</v>
      </c>
      <c r="F38" s="26" t="n">
        <v>13112</v>
      </c>
      <c r="G38" s="25" t="n">
        <v>0.92</v>
      </c>
      <c r="H38" s="25" t="n">
        <v>1</v>
      </c>
      <c r="I38" s="26" t="n">
        <v>12063.04</v>
      </c>
    </row>
    <row r="39">
      <c r="A39" s="13" t="inlineStr">
        <is>
          <t>eap-04</t>
        </is>
      </c>
      <c r="B39" s="13" t="inlineStr">
        <is>
          <t>EQ-RETRO-ESCAV</t>
        </is>
      </c>
      <c r="C39" s="28" t="inlineStr">
        <is>
          <t>Diesel — Retroescavadeira</t>
        </is>
      </c>
      <c r="D39" s="75" t="inlineStr">
        <is>
          <t>COMB</t>
        </is>
      </c>
      <c r="E39" s="25" t="n">
        <v>1</v>
      </c>
      <c r="F39" s="26" t="n">
        <v>10203.43</v>
      </c>
      <c r="G39" s="25" t="n">
        <v>0.92</v>
      </c>
      <c r="H39" s="25" t="n">
        <v>1</v>
      </c>
      <c r="I39" s="26" t="n">
        <v>9387.16</v>
      </c>
    </row>
    <row r="40">
      <c r="A40" s="20" t="inlineStr">
        <is>
          <t>Subtotal eap-04</t>
        </is>
      </c>
      <c r="B40" s="21" t="n"/>
      <c r="C40" s="21" t="n"/>
      <c r="D40" s="21" t="n"/>
      <c r="E40" s="21" t="n"/>
      <c r="F40" s="21" t="n"/>
      <c r="G40" s="21" t="n"/>
      <c r="H40" s="21" t="n"/>
      <c r="I40" s="22" t="n">
        <v>65599.89999999999</v>
      </c>
    </row>
    <row r="42">
      <c r="A42" s="29" t="inlineStr">
        <is>
          <t>TOTAL EQUIPES DIRETAS</t>
        </is>
      </c>
      <c r="I42" s="30">
        <f>I11+I24+I32+I40</f>
        <v/>
      </c>
    </row>
  </sheetData>
  <mergeCells count="6">
    <mergeCell ref="A25:I25"/>
    <mergeCell ref="A33:I33"/>
    <mergeCell ref="A1:I1"/>
    <mergeCell ref="A42:H42"/>
    <mergeCell ref="A3:I3"/>
    <mergeCell ref="A12:I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11" t="inlineStr">
        <is>
          <t>eap-01</t>
        </is>
      </c>
      <c r="B3" s="11" t="inlineStr">
        <is>
          <t>CPU-TERRA-ATI-011</t>
        </is>
      </c>
      <c r="C3" s="17" t="n">
        <v>505618.27</v>
      </c>
      <c r="D3" s="17" t="n">
        <v>744467.04</v>
      </c>
      <c r="E3" s="76" t="n">
        <v>238848.77</v>
      </c>
      <c r="F3" s="15" t="inlineStr">
        <is>
          <t>OK</t>
        </is>
      </c>
    </row>
    <row r="4">
      <c r="A4" s="13" t="inlineStr">
        <is>
          <t>eap-02</t>
        </is>
      </c>
      <c r="B4" s="13" t="inlineStr">
        <is>
          <t>CPU-TERRA-ATI-017</t>
        </is>
      </c>
      <c r="C4" s="26" t="n">
        <v>404414.68</v>
      </c>
      <c r="D4" s="26" t="n">
        <v>543919.55</v>
      </c>
      <c r="E4" s="77" t="n">
        <v>139504.87</v>
      </c>
      <c r="F4" s="24" t="inlineStr">
        <is>
          <t>OK</t>
        </is>
      </c>
    </row>
    <row r="5">
      <c r="A5" s="11" t="inlineStr">
        <is>
          <t>eap-03</t>
        </is>
      </c>
      <c r="B5" s="11" t="inlineStr">
        <is>
          <t>CPU-TERRA-REGULARIZACAO-SUBLEITO</t>
        </is>
      </c>
      <c r="C5" s="17" t="n">
        <v>124632.1</v>
      </c>
      <c r="D5" s="17" t="n">
        <v>167624.57</v>
      </c>
      <c r="E5" s="76" t="n">
        <v>42992.47</v>
      </c>
      <c r="F5" s="15" t="inlineStr">
        <is>
          <t>OK</t>
        </is>
      </c>
    </row>
    <row r="6">
      <c r="A6" s="13" t="inlineStr">
        <is>
          <t>eap-04</t>
        </is>
      </c>
      <c r="B6" s="13" t="inlineStr">
        <is>
          <t>CPU-SANEA-DREN-MAN-DN300</t>
        </is>
      </c>
      <c r="C6" s="26" t="n">
        <v>65602.52</v>
      </c>
      <c r="D6" s="26" t="n">
        <v>142048.55</v>
      </c>
      <c r="E6" s="77" t="n">
        <v>76446.03</v>
      </c>
      <c r="F6" s="24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0" customWidth="1" min="3" max="3"/>
  </cols>
  <sheetData>
    <row r="1">
      <c r="A1" s="1" t="inlineStr">
        <is>
          <t>RESULTADO FINANCEIRO — MENDESLOBO CONSTRUTORA</t>
        </is>
      </c>
    </row>
    <row r="3">
      <c r="A3" s="9" t="inlineStr">
        <is>
          <t>PROJETO</t>
        </is>
      </c>
    </row>
    <row r="4">
      <c r="A4" s="11" t="inlineStr">
        <is>
          <t>Nome</t>
        </is>
      </c>
      <c r="B4" s="11" t="inlineStr">
        <is>
          <t>ODFJELL</t>
        </is>
      </c>
      <c r="C4" s="12" t="n"/>
    </row>
    <row r="5">
      <c r="A5" s="13" t="inlineStr">
        <is>
          <t>Tipo de obra</t>
        </is>
      </c>
      <c r="B5" s="13" t="inlineStr">
        <is>
          <t>terraplenagem</t>
        </is>
      </c>
      <c r="C5" s="14" t="n"/>
    </row>
    <row r="6">
      <c r="A6" s="11" t="inlineStr">
        <is>
          <t>Localização</t>
        </is>
      </c>
      <c r="B6" s="11" t="inlineStr">
        <is>
          <t>Brasil</t>
        </is>
      </c>
      <c r="C6" s="12" t="n"/>
    </row>
    <row r="7">
      <c r="A7" s="13" t="inlineStr">
        <is>
          <t>Período</t>
        </is>
      </c>
      <c r="B7" s="13" t="inlineStr">
        <is>
          <t>2024-12-30 -&gt; 2025-07-06</t>
        </is>
      </c>
      <c r="C7" s="14" t="n"/>
    </row>
    <row r="8">
      <c r="A8" s="11" t="inlineStr">
        <is>
          <t>Regime</t>
        </is>
      </c>
      <c r="B8" s="11" t="inlineStr">
        <is>
          <t>6 dias/sem · 8 h/dia</t>
        </is>
      </c>
      <c r="C8" s="12" t="n"/>
    </row>
    <row r="10">
      <c r="A10" s="9" t="inlineStr">
        <is>
          <t>RECEITA CONTRATUAL (COM BDI)</t>
        </is>
      </c>
    </row>
    <row r="11">
      <c r="A11" s="13" t="inlineStr">
        <is>
          <t>Preço de venda s/ BDI</t>
        </is>
      </c>
      <c r="B11" s="26">
        <f>PLANEJAMENTO!$I$8</f>
        <v/>
      </c>
      <c r="C11" s="14" t="n"/>
    </row>
    <row r="12">
      <c r="A12" s="78" t="inlineStr">
        <is>
          <t>Preço de venda c/ BDI</t>
        </is>
      </c>
      <c r="B12" s="79">
        <f>PLANEJAMENTO!$N$8</f>
        <v/>
      </c>
      <c r="C12" s="12" t="n"/>
    </row>
    <row r="14">
      <c r="A14" s="9" t="inlineStr">
        <is>
          <t>CUSTOS</t>
        </is>
      </c>
    </row>
    <row r="15">
      <c r="A15" s="13" t="inlineStr">
        <is>
          <t>Custo direto (equipes)</t>
        </is>
      </c>
      <c r="B15" s="26">
        <f>'DIRETOS.DET'!$I$42</f>
        <v/>
      </c>
      <c r="C15" s="14" t="n"/>
    </row>
    <row r="16">
      <c r="A16" s="11" t="inlineStr">
        <is>
          <t xml:space="preserve">  ADM</t>
        </is>
      </c>
      <c r="B16" s="17">
        <f>'INDIRETOS.DET'!$H$5</f>
        <v/>
      </c>
      <c r="C16" s="12" t="n"/>
    </row>
    <row r="17">
      <c r="A17" s="13" t="inlineStr">
        <is>
          <t xml:space="preserve">  TOP</t>
        </is>
      </c>
      <c r="B17" s="26">
        <f>'INDIRETOS.DET'!$H$8</f>
        <v/>
      </c>
      <c r="C17" s="14" t="n"/>
    </row>
    <row r="18">
      <c r="A18" s="11" t="inlineStr">
        <is>
          <t xml:space="preserve">  LAB</t>
        </is>
      </c>
      <c r="B18" s="17">
        <f>'INDIRETOS.DET'!$H$11</f>
        <v/>
      </c>
      <c r="C18" s="12" t="n"/>
    </row>
    <row r="19">
      <c r="A19" s="13" t="inlineStr">
        <is>
          <t xml:space="preserve">  QSMS</t>
        </is>
      </c>
      <c r="B19" s="26">
        <f>'INDIRETOS.DET'!$H$14</f>
        <v/>
      </c>
      <c r="C19" s="14" t="n"/>
    </row>
    <row r="20">
      <c r="A20" s="11" t="inlineStr">
        <is>
          <t xml:space="preserve">  MOB</t>
        </is>
      </c>
      <c r="B20" s="17">
        <f>'INDIRETOS.DET'!$H$17</f>
        <v/>
      </c>
      <c r="C20" s="12" t="n"/>
    </row>
    <row r="21">
      <c r="A21" s="13" t="inlineStr">
        <is>
          <t>Custo indireto (subtotal)</t>
        </is>
      </c>
      <c r="B21" s="26">
        <f>'INDIRETOS.DET'!$H$19</f>
        <v/>
      </c>
      <c r="C21" s="14" t="n"/>
    </row>
    <row r="22">
      <c r="A22" s="78" t="inlineStr">
        <is>
          <t>CUSTO TOTAL</t>
        </is>
      </c>
      <c r="B22" s="79">
        <f>B15+B21</f>
        <v/>
      </c>
      <c r="C22" s="12" t="n"/>
    </row>
    <row r="24">
      <c r="A24" s="9" t="inlineStr">
        <is>
          <t>RESULTADO</t>
        </is>
      </c>
    </row>
    <row r="25">
      <c r="A25" s="80" t="inlineStr">
        <is>
          <t>Resultado bruto (R$)</t>
        </is>
      </c>
      <c r="B25" s="77">
        <f>B12-B22</f>
        <v/>
      </c>
      <c r="C25" s="14" t="n"/>
    </row>
    <row r="26">
      <c r="A26" s="78" t="inlineStr">
        <is>
          <t>Margem bruta (%)</t>
        </is>
      </c>
      <c r="B26" s="81">
        <f>IF(B12&gt;0, B25/B12, 0)</f>
        <v/>
      </c>
      <c r="C26" s="12" t="n"/>
    </row>
    <row r="28">
      <c r="A28" s="82" t="inlineStr">
        <is>
          <t>STATUS: VERMELHO</t>
        </is>
      </c>
    </row>
    <row r="30">
      <c r="A30" s="9" t="inlineStr">
        <is>
          <t>COMPOSIÇÃO DE CUSTO</t>
        </is>
      </c>
    </row>
    <row r="31">
      <c r="A31" s="13" t="inlineStr">
        <is>
          <t>Total Direto (catálogo s/BDI)</t>
        </is>
      </c>
      <c r="B31" s="26">
        <f>PLANEJAMENTO!$I$8</f>
        <v/>
      </c>
      <c r="C31" s="14" t="n"/>
    </row>
    <row r="32">
      <c r="A32" s="11" t="inlineStr">
        <is>
          <t>Total Direto (c/BDI)</t>
        </is>
      </c>
      <c r="B32" s="17">
        <f>PLANEJAMENTO!$N$8</f>
        <v/>
      </c>
      <c r="C32" s="12" t="n"/>
    </row>
    <row r="33">
      <c r="A33" s="13" t="inlineStr">
        <is>
          <t>RAZÃO CI / CD (%)</t>
        </is>
      </c>
      <c r="B33" s="83" t="n">
        <v>157.58</v>
      </c>
      <c r="C33" s="14" t="n"/>
    </row>
    <row r="34">
      <c r="A34" s="11" t="inlineStr">
        <is>
          <t>CI / PVT (%)</t>
        </is>
      </c>
      <c r="B34" s="84" t="n">
        <v>48.32</v>
      </c>
      <c r="C34" s="12" t="n"/>
    </row>
    <row r="36">
      <c r="A36" s="9" t="inlineStr">
        <is>
          <t>CAPITAL DE GIRO</t>
        </is>
      </c>
    </row>
    <row r="37">
      <c r="A37" s="13" t="inlineStr">
        <is>
          <t>Exposição máxima</t>
        </is>
      </c>
      <c r="B37" s="85" t="n">
        <v>795257.8635728953</v>
      </c>
      <c r="C37" s="14" t="n"/>
    </row>
    <row r="38">
      <c r="A38" s="11" t="inlineStr">
        <is>
          <t>Parcela mensal (meses 2 a n)</t>
        </is>
      </c>
      <c r="B38" s="17" t="n">
        <v>558531</v>
      </c>
      <c r="C38" s="12" t="n"/>
    </row>
    <row r="39">
      <c r="A39" s="13" t="inlineStr">
        <is>
          <t>Resíduo (mês n+1)</t>
        </is>
      </c>
      <c r="B39" s="26" t="n">
        <v>558537.3500000001</v>
      </c>
      <c r="C39" s="14" t="n"/>
    </row>
    <row r="40">
      <c r="A40" s="11" t="inlineStr">
        <is>
          <t>Duração da execução (meses)</t>
        </is>
      </c>
      <c r="B40" s="11" t="n">
        <v>7</v>
      </c>
      <c r="C40" s="12" t="n"/>
    </row>
  </sheetData>
  <mergeCells count="8">
    <mergeCell ref="A10:C10"/>
    <mergeCell ref="A28:C28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8" t="inlineStr">
        <is>
          <t>Dez/24</t>
        </is>
      </c>
      <c r="B3" s="17" t="n">
        <v>442559.33</v>
      </c>
      <c r="C3" s="17" t="n">
        <v>0</v>
      </c>
      <c r="D3" s="17" t="n">
        <v>0</v>
      </c>
      <c r="E3" s="86" t="n">
        <v>-442559.33</v>
      </c>
      <c r="F3" s="86" t="n">
        <v>-442559.33</v>
      </c>
      <c r="G3" s="86" t="n">
        <v>442559.33</v>
      </c>
    </row>
    <row r="4">
      <c r="A4" s="27" t="inlineStr">
        <is>
          <t>Jan/25</t>
        </is>
      </c>
      <c r="B4" s="26" t="n">
        <v>809327.4</v>
      </c>
      <c r="C4" s="26" t="n">
        <v>558531</v>
      </c>
      <c r="D4" s="26" t="n">
        <v>558531</v>
      </c>
      <c r="E4" s="86" t="n">
        <v>-250796.4</v>
      </c>
      <c r="F4" s="86" t="n">
        <v>-693355.74</v>
      </c>
      <c r="G4" s="86" t="n">
        <v>693355.74</v>
      </c>
    </row>
    <row r="5">
      <c r="A5" s="18" t="inlineStr">
        <is>
          <t>Fev/25</t>
        </is>
      </c>
      <c r="B5" s="17" t="n">
        <v>660433.13</v>
      </c>
      <c r="C5" s="17" t="n">
        <v>558531</v>
      </c>
      <c r="D5" s="17" t="n">
        <v>1117062</v>
      </c>
      <c r="E5" s="86" t="n">
        <v>-101902.13</v>
      </c>
      <c r="F5" s="86" t="n">
        <v>-795257.86</v>
      </c>
      <c r="G5" s="86" t="n">
        <v>795257.86</v>
      </c>
    </row>
    <row r="6">
      <c r="A6" s="27" t="inlineStr">
        <is>
          <t>Mar/25</t>
        </is>
      </c>
      <c r="B6" s="26" t="n">
        <v>447197.17</v>
      </c>
      <c r="C6" s="26" t="n">
        <v>558531</v>
      </c>
      <c r="D6" s="26" t="n">
        <v>1675593</v>
      </c>
      <c r="E6" s="87" t="n">
        <v>111333.83</v>
      </c>
      <c r="F6" s="86" t="n">
        <v>-683924.03</v>
      </c>
      <c r="G6" s="86" t="n">
        <v>683924.03</v>
      </c>
    </row>
    <row r="7">
      <c r="A7" s="18" t="inlineStr">
        <is>
          <t>Abr/25</t>
        </is>
      </c>
      <c r="B7" s="17" t="n">
        <v>314836.92</v>
      </c>
      <c r="C7" s="17" t="n">
        <v>558531</v>
      </c>
      <c r="D7" s="17" t="n">
        <v>2234124</v>
      </c>
      <c r="E7" s="87" t="n">
        <v>243694.08</v>
      </c>
      <c r="F7" s="86" t="n">
        <v>-440229.95</v>
      </c>
      <c r="G7" s="86" t="n">
        <v>440229.95</v>
      </c>
    </row>
    <row r="8">
      <c r="A8" s="27" t="inlineStr">
        <is>
          <t>Mai/25</t>
        </is>
      </c>
      <c r="B8" s="26" t="n">
        <v>314836.92</v>
      </c>
      <c r="C8" s="26" t="n">
        <v>558531</v>
      </c>
      <c r="D8" s="26" t="n">
        <v>2792655</v>
      </c>
      <c r="E8" s="87" t="n">
        <v>243694.08</v>
      </c>
      <c r="F8" s="86" t="n">
        <v>-196535.87</v>
      </c>
      <c r="G8" s="86" t="n">
        <v>196535.87</v>
      </c>
    </row>
    <row r="9">
      <c r="A9" s="18" t="inlineStr">
        <is>
          <t>Jun/25</t>
        </is>
      </c>
      <c r="B9" s="17" t="n">
        <v>0</v>
      </c>
      <c r="C9" s="17" t="n">
        <v>558531</v>
      </c>
      <c r="D9" s="17" t="n">
        <v>3351186</v>
      </c>
      <c r="E9" s="87" t="n">
        <v>558531</v>
      </c>
      <c r="F9" s="87" t="n">
        <v>361995.13</v>
      </c>
      <c r="G9" s="87" t="n">
        <v>-361995.13</v>
      </c>
    </row>
    <row r="10">
      <c r="A10" s="27" t="inlineStr">
        <is>
          <t>Jul/25</t>
        </is>
      </c>
      <c r="B10" s="26" t="n">
        <v>0</v>
      </c>
      <c r="C10" s="26" t="n">
        <v>558537.35</v>
      </c>
      <c r="D10" s="26" t="n">
        <v>3909723.35</v>
      </c>
      <c r="E10" s="87" t="n">
        <v>558537.35</v>
      </c>
      <c r="F10" s="87" t="n">
        <v>920532.48</v>
      </c>
      <c r="G10" s="87" t="n">
        <v>-920532.48</v>
      </c>
    </row>
    <row r="12">
      <c r="A12" s="88" t="inlineStr">
        <is>
          <t>TOTAL</t>
        </is>
      </c>
      <c r="B12" s="30" t="n">
        <v>2989190.87</v>
      </c>
      <c r="C12" s="30" t="n">
        <v>3909723.35</v>
      </c>
      <c r="D12" s="30" t="n">
        <v>3909723.35</v>
      </c>
      <c r="E12" s="89" t="n">
        <v>920532.48</v>
      </c>
      <c r="F12" s="89" t="n">
        <v>920532.48</v>
      </c>
      <c r="G12" s="37" t="n"/>
    </row>
    <row r="15">
      <c r="A15" s="9" t="inlineStr">
        <is>
          <t>MÉTRICAS DO FLUXO DE CAIXA</t>
        </is>
      </c>
    </row>
    <row r="16">
      <c r="A16" s="38" t="inlineStr">
        <is>
          <t>Duração da execução (meses)</t>
        </is>
      </c>
      <c r="B16" s="39" t="n"/>
      <c r="C16" s="90" t="n">
        <v>7</v>
      </c>
      <c r="D16" s="41" t="n"/>
      <c r="E16" s="41" t="n"/>
      <c r="F16" s="41" t="n"/>
      <c r="G16" s="39" t="n"/>
    </row>
    <row r="17">
      <c r="A17" s="38" t="inlineStr">
        <is>
          <t>Parcela mensal (meses 2 a n)</t>
        </is>
      </c>
      <c r="B17" s="39" t="n"/>
      <c r="C17" s="90" t="n">
        <v>558531</v>
      </c>
      <c r="D17" s="41" t="n"/>
      <c r="E17" s="41" t="n"/>
      <c r="F17" s="41" t="n"/>
      <c r="G17" s="39" t="n"/>
    </row>
    <row r="18">
      <c r="A18" s="38" t="inlineStr">
        <is>
          <t>Resíduo (mês n+1)</t>
        </is>
      </c>
      <c r="B18" s="39" t="n"/>
      <c r="C18" s="91" t="n">
        <v>558537.3500000001</v>
      </c>
      <c r="D18" s="41" t="n"/>
      <c r="E18" s="41" t="n"/>
      <c r="F18" s="41" t="n"/>
      <c r="G18" s="39" t="n"/>
    </row>
    <row r="19">
      <c r="A19" s="38" t="inlineStr">
        <is>
          <t>Exposição máxima</t>
        </is>
      </c>
      <c r="B19" s="39" t="n"/>
      <c r="C19" s="92" t="n">
        <v>795257.8635728953</v>
      </c>
      <c r="D19" s="41" t="n"/>
      <c r="E19" s="41" t="n"/>
      <c r="F19" s="41" t="n"/>
      <c r="G19" s="39" t="n"/>
    </row>
    <row r="20">
      <c r="A20" s="38" t="inlineStr">
        <is>
          <t>Mês da exposição máxima</t>
        </is>
      </c>
      <c r="B20" s="39" t="n"/>
      <c r="C20" s="90" t="inlineStr">
        <is>
          <t>Fev/25</t>
        </is>
      </c>
      <c r="D20" s="41" t="n"/>
      <c r="E20" s="41" t="n"/>
      <c r="F20" s="41" t="n"/>
      <c r="G20" s="39" t="n"/>
    </row>
    <row r="21">
      <c r="A21" s="38" t="inlineStr">
        <is>
          <t>Saldo final do projeto</t>
        </is>
      </c>
      <c r="B21" s="39" t="n"/>
      <c r="C21" s="91" t="n">
        <v>920532.4810061604</v>
      </c>
      <c r="D21" s="41" t="n"/>
      <c r="E21" s="41" t="n"/>
      <c r="F21" s="41" t="n"/>
      <c r="G21" s="39" t="n"/>
    </row>
    <row r="23" ht="36" customHeight="1">
      <c r="A23" s="93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0:B20"/>
    <mergeCell ref="A21:B21"/>
    <mergeCell ref="A16:B16"/>
    <mergeCell ref="A1:G1"/>
    <mergeCell ref="C20:G20"/>
    <mergeCell ref="C21:G21"/>
    <mergeCell ref="C16:G16"/>
    <mergeCell ref="A19:B19"/>
    <mergeCell ref="C19:G19"/>
    <mergeCell ref="A15:G15"/>
    <mergeCell ref="A17:B17"/>
    <mergeCell ref="A18:B18"/>
    <mergeCell ref="C18:G18"/>
    <mergeCell ref="C17:G17"/>
    <mergeCell ref="A23:G2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EQ-E0007</t>
        </is>
      </c>
      <c r="B3" s="11" t="inlineStr">
        <is>
          <t>Caminhão Basculante 14m³</t>
        </is>
      </c>
      <c r="C3" s="18" t="inlineStr">
        <is>
          <t>un</t>
        </is>
      </c>
      <c r="D3" s="58" t="n">
        <v>3</v>
      </c>
      <c r="E3" s="58" t="n">
        <v>3</v>
      </c>
      <c r="F3" s="58" t="n">
        <v>3</v>
      </c>
      <c r="G3" s="58" t="n">
        <v>3</v>
      </c>
      <c r="H3" s="58" t="n">
        <v>3</v>
      </c>
      <c r="I3" s="58" t="n">
        <v>3</v>
      </c>
      <c r="J3" s="58" t="n">
        <v>3</v>
      </c>
      <c r="K3" s="58" t="n">
        <v>3</v>
      </c>
      <c r="L3" s="58" t="n">
        <v>3</v>
      </c>
      <c r="M3" s="58" t="n">
        <v>3</v>
      </c>
      <c r="N3" s="58" t="n">
        <v>3</v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EQ-E0010</t>
        </is>
      </c>
      <c r="B4" s="13" t="inlineStr">
        <is>
          <t>Caminhão Pipa 10.000L</t>
        </is>
      </c>
      <c r="C4" s="27" t="inlineStr">
        <is>
          <t>un</t>
        </is>
      </c>
      <c r="D4" s="67" t="n">
        <v>1</v>
      </c>
      <c r="E4" s="67" t="n">
        <v>1</v>
      </c>
      <c r="F4" s="67" t="n">
        <v>1</v>
      </c>
      <c r="G4" s="67" t="n">
        <v>1</v>
      </c>
      <c r="H4" s="67" t="n">
        <v>1</v>
      </c>
      <c r="I4" s="67" t="n">
        <v>1</v>
      </c>
      <c r="J4" s="67" t="n">
        <v>1</v>
      </c>
      <c r="K4" s="67" t="n">
        <v>1</v>
      </c>
      <c r="L4" s="67" t="n">
        <v>1</v>
      </c>
      <c r="M4" s="67" t="n">
        <v>1</v>
      </c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EQ-E0016</t>
        </is>
      </c>
      <c r="B5" s="11" t="inlineStr">
        <is>
          <t>Escavadeira Hidráulica 22t</t>
        </is>
      </c>
      <c r="C5" s="18" t="inlineStr">
        <is>
          <t>un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58" t="n">
        <v>1</v>
      </c>
      <c r="I5" s="58" t="n">
        <v>1</v>
      </c>
      <c r="J5" s="58" t="n">
        <v>1</v>
      </c>
      <c r="K5" s="58" t="n">
        <v>1</v>
      </c>
      <c r="L5" s="58" t="n">
        <v>1</v>
      </c>
      <c r="M5" s="58" t="n">
        <v>1</v>
      </c>
      <c r="N5" s="58" t="n">
        <v>1</v>
      </c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3" t="inlineStr">
        <is>
          <t>EQ-E0029</t>
        </is>
      </c>
      <c r="B6" s="13" t="inlineStr">
        <is>
          <t>Motoniveladora 140HP</t>
        </is>
      </c>
      <c r="C6" s="27" t="inlineStr">
        <is>
          <t>un</t>
        </is>
      </c>
      <c r="D6" s="67" t="n">
        <v>1</v>
      </c>
      <c r="E6" s="67" t="n">
        <v>1</v>
      </c>
      <c r="F6" s="67" t="n">
        <v>1</v>
      </c>
      <c r="G6" s="67" t="n">
        <v>1</v>
      </c>
      <c r="H6" s="67" t="n">
        <v>1</v>
      </c>
      <c r="I6" s="67" t="n">
        <v>1</v>
      </c>
      <c r="J6" s="67" t="n">
        <v>1</v>
      </c>
      <c r="K6" s="67" t="n">
        <v>1</v>
      </c>
      <c r="L6" s="67" t="n">
        <v>1</v>
      </c>
      <c r="M6" s="67" t="n">
        <v>1</v>
      </c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1" t="inlineStr">
        <is>
          <t>EQ-E0035</t>
        </is>
      </c>
      <c r="B7" s="11" t="inlineStr">
        <is>
          <t>Trator de esteiras 20T</t>
        </is>
      </c>
      <c r="C7" s="18" t="inlineStr">
        <is>
          <t>un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3" t="inlineStr">
        <is>
          <t>EQ-MOTONIVEL-140K</t>
        </is>
      </c>
      <c r="B8" s="13" t="inlineStr">
        <is>
          <t>Motoniveladora 140K</t>
        </is>
      </c>
      <c r="C8" s="27" t="inlineStr">
        <is>
          <t>un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11" t="inlineStr">
        <is>
          <t>EQ-RETRO-ESCAV</t>
        </is>
      </c>
      <c r="B9" s="11" t="inlineStr">
        <is>
          <t>Retroescavadeira</t>
        </is>
      </c>
      <c r="C9" s="18" t="inlineStr">
        <is>
          <t>un</t>
        </is>
      </c>
      <c r="D9" s="58" t="n">
        <v>1</v>
      </c>
      <c r="E9" s="58" t="n">
        <v>1</v>
      </c>
      <c r="F9" s="58" t="n">
        <v>1</v>
      </c>
      <c r="G9" s="58" t="n">
        <v>1</v>
      </c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3" t="inlineStr">
        <is>
          <t>EQ-ROLO-LISO</t>
        </is>
      </c>
      <c r="B10" s="13" t="inlineStr">
        <is>
          <t>Rolo compactador liso</t>
        </is>
      </c>
      <c r="C10" s="27" t="inlineStr">
        <is>
          <t>un</t>
        </is>
      </c>
      <c r="D10" s="67" t="n">
        <v>1</v>
      </c>
      <c r="E10" s="67" t="n">
        <v>1</v>
      </c>
      <c r="F10" s="67" t="n">
        <v>1</v>
      </c>
      <c r="G10" s="67" t="n">
        <v>1</v>
      </c>
      <c r="H10" s="67" t="n">
        <v>1</v>
      </c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2">
      <c r="A12" s="94" t="inlineStr">
        <is>
          <t>TOTAL SEMANAL</t>
        </is>
      </c>
      <c r="D12" s="95" t="n">
        <v>10</v>
      </c>
      <c r="E12" s="95" t="n">
        <v>10</v>
      </c>
      <c r="F12" s="95" t="n">
        <v>10</v>
      </c>
      <c r="G12" s="95" t="n">
        <v>10</v>
      </c>
      <c r="H12" s="95" t="n">
        <v>9</v>
      </c>
      <c r="I12" s="95" t="n">
        <v>7</v>
      </c>
      <c r="J12" s="95" t="n">
        <v>7</v>
      </c>
      <c r="K12" s="95" t="n">
        <v>7</v>
      </c>
      <c r="L12" s="95" t="n">
        <v>7</v>
      </c>
      <c r="M12" s="95" t="n">
        <v>7</v>
      </c>
      <c r="N12" s="95" t="n">
        <v>4</v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n"/>
    </row>
  </sheetData>
  <mergeCells count="2">
    <mergeCell ref="A12:C12"/>
    <mergeCell ref="A1:A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30/Dez</t>
        </is>
      </c>
      <c r="E2" s="2" t="inlineStr">
        <is>
          <t>06/Jan</t>
        </is>
      </c>
      <c r="F2" s="2" t="inlineStr">
        <is>
          <t>13/Jan</t>
        </is>
      </c>
      <c r="G2" s="2" t="inlineStr">
        <is>
          <t>20/Jan</t>
        </is>
      </c>
      <c r="H2" s="2" t="inlineStr">
        <is>
          <t>27/Jan</t>
        </is>
      </c>
      <c r="I2" s="2" t="inlineStr">
        <is>
          <t>03/Fev</t>
        </is>
      </c>
      <c r="J2" s="2" t="inlineStr">
        <is>
          <t>10/Fev</t>
        </is>
      </c>
      <c r="K2" s="2" t="inlineStr">
        <is>
          <t>17/Fev</t>
        </is>
      </c>
      <c r="L2" s="2" t="inlineStr">
        <is>
          <t>24/Fev</t>
        </is>
      </c>
      <c r="M2" s="2" t="inlineStr">
        <is>
          <t>03/Mar</t>
        </is>
      </c>
      <c r="N2" s="2" t="inlineStr">
        <is>
          <t>10/Mar</t>
        </is>
      </c>
      <c r="O2" s="2" t="inlineStr">
        <is>
          <t>17/Mar</t>
        </is>
      </c>
      <c r="P2" s="2" t="inlineStr">
        <is>
          <t>24/Mar</t>
        </is>
      </c>
      <c r="Q2" s="2" t="inlineStr">
        <is>
          <t>31/Mar</t>
        </is>
      </c>
      <c r="R2" s="2" t="inlineStr">
        <is>
          <t>07/Abr</t>
        </is>
      </c>
      <c r="S2" s="2" t="inlineStr">
        <is>
          <t>14/Abr</t>
        </is>
      </c>
      <c r="T2" s="2" t="inlineStr">
        <is>
          <t>21/Abr</t>
        </is>
      </c>
      <c r="U2" s="2" t="inlineStr">
        <is>
          <t>28/Abr</t>
        </is>
      </c>
      <c r="V2" s="2" t="inlineStr">
        <is>
          <t>05/Mai</t>
        </is>
      </c>
      <c r="W2" s="2" t="inlineStr">
        <is>
          <t>12/Mai</t>
        </is>
      </c>
      <c r="X2" s="2" t="inlineStr">
        <is>
          <t>19/Mai</t>
        </is>
      </c>
      <c r="Y2" s="2" t="inlineStr">
        <is>
          <t>26/Mai</t>
        </is>
      </c>
      <c r="Z2" s="2" t="inlineStr">
        <is>
          <t>02/Jun</t>
        </is>
      </c>
      <c r="AA2" s="2" t="inlineStr">
        <is>
          <t>09/Jun</t>
        </is>
      </c>
      <c r="AB2" s="2" t="inlineStr">
        <is>
          <t>16/Jun</t>
        </is>
      </c>
      <c r="AC2" s="2" t="inlineStr">
        <is>
          <t>23/Jun</t>
        </is>
      </c>
      <c r="AD2" s="2" t="inlineStr">
        <is>
          <t>30/Jun</t>
        </is>
      </c>
    </row>
    <row r="3">
      <c r="A3" s="11" t="inlineStr">
        <is>
          <t>MO-ENCANADOR</t>
        </is>
      </c>
      <c r="B3" s="11" t="inlineStr">
        <is>
          <t>Encanador</t>
        </is>
      </c>
      <c r="C3" s="18" t="inlineStr">
        <is>
          <t>pax</t>
        </is>
      </c>
      <c r="D3" s="58" t="n">
        <v>1</v>
      </c>
      <c r="E3" s="58" t="n">
        <v>1</v>
      </c>
      <c r="F3" s="58" t="n">
        <v>1</v>
      </c>
      <c r="G3" s="58" t="n">
        <v>1</v>
      </c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</row>
    <row r="4">
      <c r="A4" s="13" t="inlineStr">
        <is>
          <t>MO-ENCARREG-TERRA</t>
        </is>
      </c>
      <c r="B4" s="13" t="inlineStr">
        <is>
          <t>Encarregado de Terraplenagem</t>
        </is>
      </c>
      <c r="C4" s="27" t="inlineStr">
        <is>
          <t>pax</t>
        </is>
      </c>
      <c r="D4" s="67" t="n">
        <v>2</v>
      </c>
      <c r="E4" s="67" t="n">
        <v>2</v>
      </c>
      <c r="F4" s="67" t="n">
        <v>2</v>
      </c>
      <c r="G4" s="67" t="n">
        <v>2</v>
      </c>
      <c r="H4" s="67" t="n">
        <v>2</v>
      </c>
      <c r="I4" s="67" t="n">
        <v>2</v>
      </c>
      <c r="J4" s="67" t="n">
        <v>2</v>
      </c>
      <c r="K4" s="67" t="n">
        <v>2</v>
      </c>
      <c r="L4" s="67" t="n">
        <v>2</v>
      </c>
      <c r="M4" s="67" t="n">
        <v>2</v>
      </c>
      <c r="N4" s="67" t="n">
        <v>1</v>
      </c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</row>
    <row r="5">
      <c r="A5" s="11" t="inlineStr">
        <is>
          <t>MO-MONTADOR-AGUA</t>
        </is>
      </c>
      <c r="B5" s="11" t="inlineStr">
        <is>
          <t>Montador de Água/Esgoto</t>
        </is>
      </c>
      <c r="C5" s="18" t="inlineStr">
        <is>
          <t>pax</t>
        </is>
      </c>
      <c r="D5" s="58" t="n">
        <v>1</v>
      </c>
      <c r="E5" s="58" t="n">
        <v>1</v>
      </c>
      <c r="F5" s="58" t="n">
        <v>1</v>
      </c>
      <c r="G5" s="58" t="n">
        <v>1</v>
      </c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</row>
    <row r="6">
      <c r="A6" s="13" t="inlineStr">
        <is>
          <t>MO-MOTOR-CAM-BASC</t>
        </is>
      </c>
      <c r="B6" s="13" t="inlineStr">
        <is>
          <t>Motorista de Caminhão Basculante</t>
        </is>
      </c>
      <c r="C6" s="27" t="inlineStr">
        <is>
          <t>pax</t>
        </is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</row>
    <row r="7">
      <c r="A7" s="11" t="inlineStr">
        <is>
          <t>MO-MOTOR-CAM-PIPA</t>
        </is>
      </c>
      <c r="B7" s="11" t="inlineStr">
        <is>
          <t>Motorista de Caminhão Pipa</t>
        </is>
      </c>
      <c r="C7" s="18" t="inlineStr">
        <is>
          <t>pax</t>
        </is>
      </c>
      <c r="D7" s="58" t="n">
        <v>1</v>
      </c>
      <c r="E7" s="58" t="n">
        <v>1</v>
      </c>
      <c r="F7" s="58" t="n">
        <v>1</v>
      </c>
      <c r="G7" s="58" t="n">
        <v>1</v>
      </c>
      <c r="H7" s="58" t="n">
        <v>1</v>
      </c>
      <c r="I7" s="58" t="n">
        <v>1</v>
      </c>
      <c r="J7" s="58" t="n">
        <v>1</v>
      </c>
      <c r="K7" s="58" t="n">
        <v>1</v>
      </c>
      <c r="L7" s="58" t="n">
        <v>1</v>
      </c>
      <c r="M7" s="58" t="n">
        <v>1</v>
      </c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</row>
    <row r="8">
      <c r="A8" s="13" t="inlineStr">
        <is>
          <t>MO-OPER-ESCAV</t>
        </is>
      </c>
      <c r="B8" s="13" t="inlineStr">
        <is>
          <t>Operador de Escavadeira</t>
        </is>
      </c>
      <c r="C8" s="27" t="inlineStr">
        <is>
          <t>pax</t>
        </is>
      </c>
      <c r="D8" s="67" t="n">
        <v>1</v>
      </c>
      <c r="E8" s="67" t="n">
        <v>1</v>
      </c>
      <c r="F8" s="67" t="n">
        <v>1</v>
      </c>
      <c r="G8" s="67" t="n">
        <v>1</v>
      </c>
      <c r="H8" s="67" t="n">
        <v>1</v>
      </c>
      <c r="I8" s="67" t="n">
        <v>1</v>
      </c>
      <c r="J8" s="67" t="n">
        <v>1</v>
      </c>
      <c r="K8" s="67" t="n">
        <v>1</v>
      </c>
      <c r="L8" s="67" t="n">
        <v>1</v>
      </c>
      <c r="M8" s="67" t="n">
        <v>1</v>
      </c>
      <c r="N8" s="67" t="n">
        <v>1</v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</row>
    <row r="9">
      <c r="A9" s="11" t="inlineStr">
        <is>
          <t>MO-OPER-MOTO</t>
        </is>
      </c>
      <c r="B9" s="11" t="inlineStr">
        <is>
          <t>Operador de Motoniveladora</t>
        </is>
      </c>
      <c r="C9" s="18" t="inlineStr">
        <is>
          <t>pax</t>
        </is>
      </c>
      <c r="D9" s="58" t="n">
        <v>2</v>
      </c>
      <c r="E9" s="58" t="n">
        <v>2</v>
      </c>
      <c r="F9" s="58" t="n">
        <v>2</v>
      </c>
      <c r="G9" s="58" t="n">
        <v>2</v>
      </c>
      <c r="H9" s="58" t="n">
        <v>2</v>
      </c>
      <c r="I9" s="58" t="n">
        <v>1</v>
      </c>
      <c r="J9" s="58" t="n">
        <v>1</v>
      </c>
      <c r="K9" s="58" t="n">
        <v>1</v>
      </c>
      <c r="L9" s="58" t="n">
        <v>1</v>
      </c>
      <c r="M9" s="58" t="n">
        <v>1</v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</row>
    <row r="10">
      <c r="A10" s="13" t="inlineStr">
        <is>
          <t>MO-OPER-RETRO</t>
        </is>
      </c>
      <c r="B10" s="13" t="inlineStr">
        <is>
          <t>Operador de Retro Escavadeira</t>
        </is>
      </c>
      <c r="C10" s="27" t="inlineStr">
        <is>
          <t>pax</t>
        </is>
      </c>
      <c r="D10" s="67" t="n">
        <v>1</v>
      </c>
      <c r="E10" s="67" t="n">
        <v>1</v>
      </c>
      <c r="F10" s="67" t="n">
        <v>1</v>
      </c>
      <c r="G10" s="67" t="n">
        <v>1</v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</row>
    <row r="11">
      <c r="A11" s="11" t="inlineStr">
        <is>
          <t>MO-OPER-ROLO-COMP</t>
        </is>
      </c>
      <c r="B11" s="11" t="inlineStr">
        <is>
          <t>Operador de Rolo Compactador</t>
        </is>
      </c>
      <c r="C11" s="18" t="inlineStr">
        <is>
          <t>pax</t>
        </is>
      </c>
      <c r="D11" s="58" t="n">
        <v>3</v>
      </c>
      <c r="E11" s="58" t="n">
        <v>3</v>
      </c>
      <c r="F11" s="58" t="n">
        <v>3</v>
      </c>
      <c r="G11" s="58" t="n">
        <v>3</v>
      </c>
      <c r="H11" s="58" t="n">
        <v>3</v>
      </c>
      <c r="I11" s="58" t="n">
        <v>2</v>
      </c>
      <c r="J11" s="58" t="n">
        <v>2</v>
      </c>
      <c r="K11" s="58" t="n">
        <v>2</v>
      </c>
      <c r="L11" s="58" t="n">
        <v>2</v>
      </c>
      <c r="M11" s="58" t="n">
        <v>2</v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</row>
    <row r="12">
      <c r="A12" s="13" t="inlineStr">
        <is>
          <t>MO-SERV-GERAL</t>
        </is>
      </c>
      <c r="B12" s="13" t="inlineStr">
        <is>
          <t>Servente</t>
        </is>
      </c>
      <c r="C12" s="27" t="inlineStr">
        <is>
          <t>pax</t>
        </is>
      </c>
      <c r="D12" s="67" t="n">
        <v>2</v>
      </c>
      <c r="E12" s="67" t="n">
        <v>2</v>
      </c>
      <c r="F12" s="67" t="n">
        <v>2</v>
      </c>
      <c r="G12" s="67" t="n">
        <v>2</v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</row>
    <row r="14">
      <c r="A14" s="94" t="inlineStr">
        <is>
          <t>TOTAL SEMANAL</t>
        </is>
      </c>
      <c r="D14" s="95" t="n">
        <v>18</v>
      </c>
      <c r="E14" s="95" t="n">
        <v>18</v>
      </c>
      <c r="F14" s="95" t="n">
        <v>18</v>
      </c>
      <c r="G14" s="95" t="n">
        <v>18</v>
      </c>
      <c r="H14" s="95" t="n">
        <v>13</v>
      </c>
      <c r="I14" s="95" t="n">
        <v>11</v>
      </c>
      <c r="J14" s="95" t="n">
        <v>11</v>
      </c>
      <c r="K14" s="95" t="n">
        <v>11</v>
      </c>
      <c r="L14" s="95" t="n">
        <v>11</v>
      </c>
      <c r="M14" s="95" t="n">
        <v>11</v>
      </c>
      <c r="N14" s="95" t="n">
        <v>6</v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n"/>
    </row>
  </sheetData>
  <mergeCells count="2">
    <mergeCell ref="A14:C14"/>
    <mergeCell ref="A1:A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8" customWidth="1" min="2" max="2"/>
    <col width="6" customWidth="1" min="3" max="3"/>
    <col width="14" customWidth="1" min="4" max="4"/>
    <col width="20" customWidth="1" min="5" max="5"/>
    <col width="10" customWidth="1" min="6" max="6"/>
    <col width="13" customWidth="1" min="7" max="7"/>
    <col width="13" customWidth="1" min="8" max="8"/>
    <col width="14" customWidth="1" min="9" max="9"/>
  </cols>
  <sheetData>
    <row r="1">
      <c r="A1" s="1" t="inlineStr">
        <is>
          <t>CURVA ABC — ANÁLISE PARETO POR ITEM EAP (S/ 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Subtotal s/ BDI (R$)</t>
        </is>
      </c>
      <c r="F2" s="2" t="inlineStr">
        <is>
          <t>% do Total</t>
        </is>
      </c>
      <c r="G2" s="2" t="inlineStr">
        <is>
          <t>% Acumulado</t>
        </is>
      </c>
      <c r="H2" s="2" t="inlineStr">
        <is>
          <t>Criticidade</t>
        </is>
      </c>
      <c r="I2" s="2" t="inlineStr">
        <is>
          <t>Destaque</t>
        </is>
      </c>
    </row>
    <row r="3">
      <c r="A3" s="43" t="inlineStr">
        <is>
          <t>eap-01</t>
        </is>
      </c>
      <c r="B3" s="43" t="inlineStr">
        <is>
          <t>Escavação, carga e transporte 1ª cat</t>
        </is>
      </c>
      <c r="C3" s="43" t="inlineStr">
        <is>
          <t>m3</t>
        </is>
      </c>
      <c r="D3" s="44" t="n">
        <v>62338</v>
      </c>
      <c r="E3" s="45" t="n">
        <v>559312.62</v>
      </c>
      <c r="F3" s="96" t="n">
        <v>46.6557</v>
      </c>
      <c r="G3" s="96" t="n">
        <v>46.6557</v>
      </c>
      <c r="H3" s="43" t="inlineStr">
        <is>
          <t>A</t>
        </is>
      </c>
      <c r="I3" s="43" t="inlineStr"/>
    </row>
    <row r="4">
      <c r="A4" s="46" t="inlineStr">
        <is>
          <t>eap-02</t>
        </is>
      </c>
      <c r="B4" s="46" t="inlineStr">
        <is>
          <t>Compactação de aterro</t>
        </is>
      </c>
      <c r="C4" s="46" t="inlineStr">
        <is>
          <t>m3</t>
        </is>
      </c>
      <c r="D4" s="47" t="n">
        <v>59723</v>
      </c>
      <c r="E4" s="48" t="n">
        <v>404414.68</v>
      </c>
      <c r="F4" s="97" t="n">
        <v>33.7347</v>
      </c>
      <c r="G4" s="97" t="n">
        <v>80.3904</v>
      </c>
      <c r="H4" s="46" t="inlineStr">
        <is>
          <t>B</t>
        </is>
      </c>
      <c r="I4" s="46" t="inlineStr"/>
    </row>
    <row r="5">
      <c r="A5" s="31" t="inlineStr">
        <is>
          <t>eap-03</t>
        </is>
      </c>
      <c r="B5" s="31" t="inlineStr">
        <is>
          <t>Regularização de Subleito</t>
        </is>
      </c>
      <c r="C5" s="31" t="inlineStr">
        <is>
          <t>m2</t>
        </is>
      </c>
      <c r="D5" s="32" t="n">
        <v>72837</v>
      </c>
      <c r="E5" s="33" t="n">
        <v>124632.1</v>
      </c>
      <c r="F5" s="4" t="n">
        <v>10.3963</v>
      </c>
      <c r="G5" s="4" t="n">
        <v>90.7867</v>
      </c>
      <c r="H5" s="31" t="inlineStr">
        <is>
          <t>C</t>
        </is>
      </c>
      <c r="I5" s="31" t="inlineStr"/>
    </row>
    <row r="6">
      <c r="A6" s="34" t="inlineStr">
        <is>
          <t>eap-04</t>
        </is>
      </c>
      <c r="B6" s="34" t="inlineStr">
        <is>
          <t>Canaleta/Drenagem</t>
        </is>
      </c>
      <c r="C6" s="34" t="inlineStr">
        <is>
          <t>m</t>
        </is>
      </c>
      <c r="D6" s="35" t="n">
        <v>406</v>
      </c>
      <c r="E6" s="36" t="n">
        <v>110449.28</v>
      </c>
      <c r="F6" s="7" t="n">
        <v>9.2133</v>
      </c>
      <c r="G6" s="7" t="n">
        <v>100</v>
      </c>
      <c r="H6" s="34" t="inlineStr">
        <is>
          <t>C</t>
        </is>
      </c>
      <c r="I6" s="34" t="inlineStr"/>
    </row>
    <row r="8">
      <c r="A8" s="29" t="inlineStr">
        <is>
          <t>TOTAL</t>
        </is>
      </c>
      <c r="E8" s="30">
        <f>SUM(E3:E7)</f>
        <v/>
      </c>
      <c r="F8" s="37" t="n"/>
      <c r="G8" s="37" t="n"/>
      <c r="H8" s="37" t="n"/>
      <c r="I8" s="37" t="n"/>
    </row>
  </sheetData>
  <mergeCells count="2">
    <mergeCell ref="A1:I1"/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2026-05-12T18:13:01Z</dcterms:created>
  <dcterms:modified xsi:type="dcterms:W3CDTF">2026-05-12T18:13:03Z</dcterms:modified>
</cp:coreProperties>
</file>