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I" sheetId="1" state="visible" r:id="rId1"/>
    <sheet name="DIRETOS.DET" sheetId="2" state="visible" r:id="rId2"/>
    <sheet name="DIRETOS.RES" sheetId="3" state="visible" r:id="rId3"/>
    <sheet name="INDIRETOS.DET" sheetId="4" state="visible" r:id="rId4"/>
    <sheet name="INDIRETOS.RES" sheetId="5" state="visible" r:id="rId5"/>
    <sheet name="PLANEJAMENTO" sheetId="6" state="visible" r:id="rId6"/>
    <sheet name="CRONOGRAMA.DET" sheetId="7" state="visible" r:id="rId7"/>
    <sheet name="CRONOGRAMA.RES" sheetId="8" state="visible" r:id="rId8"/>
    <sheet name="EQUIPE" sheetId="9" state="visible" r:id="rId9"/>
    <sheet name="EQUILIBRIO" sheetId="10" state="visible" r:id="rId10"/>
    <sheet name="RESULTADO" sheetId="11" state="visible" r:id="rId11"/>
    <sheet name="ANALISE.FC_CAIXA" sheetId="12" state="visible" r:id="rId12"/>
    <sheet name="HIST.EQUIPAMENTOS" sheetId="13" state="visible" r:id="rId13"/>
    <sheet name="HIST.MAO_OBRA" sheetId="14" state="visible" r:id="rId14"/>
    <sheet name="ANALISE.CURVA_ABC" sheetId="15" state="visible" r:id="rId15"/>
  </sheets>
  <definedNames>
    <definedName name="TOTAL_DIRETO">'DIRETOS.DET'!$I$20</definedName>
    <definedName name="DIRETOS_RES_SEM_BDI">'DIRETOS.RES'!$I$6</definedName>
    <definedName name="DIRETOS_RES_COM_BDI">'DIRETOS.RES'!$N$6</definedName>
    <definedName name="TOTAL_ADM">'INDIRETOS.DET'!$H$5</definedName>
    <definedName name="TOTAL_TOP">'INDIRETOS.DET'!$H$8</definedName>
    <definedName name="TOTAL_LAB">'INDIRETOS.DET'!$H$11</definedName>
    <definedName name="TOTAL_QSMS">'INDIRETOS.DET'!$H$14</definedName>
    <definedName name="TOTAL_MOB">'INDIRETOS.DET'!$H$17</definedName>
    <definedName name="TOTAL_INDIRETO">'INDIRETOS.DET'!$H$19</definedName>
    <definedName name="TOTAL_SEM_BDI">PLANEJAMENTO!$I$6</definedName>
    <definedName name="TOTAL_COM_BDI">PLANEJAMENTO!$N$6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R$ #,##0.00"/>
    <numFmt numFmtId="166" formatCode="#,##0.##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A3A5C"/>
      <sz val="10"/>
    </font>
    <font>
      <name val="Calibri"/>
      <b val="1"/>
      <color rgb="00C05C18"/>
      <sz val="10"/>
    </font>
    <font>
      <name val="Calibri"/>
      <color rgb="001A202C"/>
      <sz val="10"/>
    </font>
    <font>
      <name val="Calibri"/>
      <b val="1"/>
      <color rgb="00276749"/>
      <sz val="10"/>
    </font>
    <font>
      <name val="Calibri"/>
      <color rgb="00C05C18"/>
      <sz val="10"/>
    </font>
    <font>
      <name val="Calibri"/>
      <b val="1"/>
      <color rgb="001A202C"/>
      <sz val="10"/>
    </font>
    <font>
      <name val="Calibri"/>
      <b val="1"/>
      <color rgb="00FFFFFF"/>
      <sz val="11"/>
    </font>
    <font>
      <name val="Calibri"/>
      <b val="1"/>
      <color rgb="0092400E"/>
      <sz val="10"/>
    </font>
    <font>
      <name val="Calibri"/>
      <color rgb="001A3A5C"/>
      <sz val="10"/>
    </font>
    <font>
      <name val="Calibri"/>
      <b val="1"/>
      <color rgb="009B1C1C"/>
      <sz val="10"/>
    </font>
    <font>
      <name val="Calibri"/>
      <b val="1"/>
      <color rgb="009B1C1C"/>
      <sz val="14"/>
    </font>
    <font>
      <name val="Calibri"/>
      <color rgb="009B1C1C"/>
      <sz val="10"/>
    </font>
    <font>
      <name val="Calibri"/>
      <color rgb="00276749"/>
      <sz val="10"/>
    </font>
    <font>
      <name val="Calibri"/>
      <i val="1"/>
      <color rgb="00555555"/>
      <sz val="9"/>
    </font>
  </fonts>
  <fills count="13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FFFFF"/>
        <bgColor rgb="00FFFFFF"/>
      </patternFill>
    </fill>
    <fill>
      <patternFill patternType="solid">
        <fgColor rgb="00F0F5FA"/>
        <bgColor rgb="00F0F5FA"/>
      </patternFill>
    </fill>
    <fill>
      <patternFill patternType="solid">
        <fgColor rgb="00F7FAFC"/>
        <bgColor rgb="00F7FAFC"/>
      </patternFill>
    </fill>
    <fill>
      <patternFill patternType="solid">
        <fgColor rgb="002B6CB0"/>
        <bgColor rgb="002B6CB0"/>
      </patternFill>
    </fill>
    <fill>
      <patternFill patternType="solid">
        <fgColor rgb="00F5E6D8"/>
        <bgColor rgb="00F5E6D8"/>
      </patternFill>
    </fill>
    <fill>
      <patternFill patternType="solid">
        <fgColor rgb="00FFA500"/>
        <bgColor rgb="00FFA500"/>
      </patternFill>
    </fill>
    <fill>
      <patternFill patternType="solid">
        <fgColor rgb="00FEF3C7"/>
        <bgColor rgb="00FEF3C7"/>
      </patternFill>
    </fill>
    <fill>
      <patternFill patternType="solid">
        <fgColor rgb="00EAD9C3"/>
        <bgColor rgb="00EAD9C3"/>
      </patternFill>
    </fill>
    <fill>
      <patternFill patternType="solid">
        <fgColor rgb="00FADDDD"/>
        <bgColor rgb="00FADDDD"/>
      </patternFill>
    </fill>
    <fill>
      <patternFill patternType="solid">
        <fgColor rgb="00DCEEE5"/>
        <bgColor rgb="00DCEEE5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  <border>
      <left/>
      <right/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0" fillId="7" borderId="1" pivotButton="0" quotePrefix="0" xfId="0"/>
    <xf numFmtId="165" fontId="4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right" vertical="center"/>
    </xf>
    <xf numFmtId="165" fontId="2" fillId="2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166" fontId="0" fillId="3" borderId="1" applyAlignment="1" pivotButton="0" quotePrefix="0" xfId="0">
      <alignment horizontal="right" vertical="center"/>
    </xf>
    <xf numFmtId="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166" fontId="0" fillId="4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0" fillId="2" borderId="1" pivotButton="0" quotePrefix="0" xfId="0"/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165" fontId="8" fillId="5" borderId="1" applyAlignment="1" pivotButton="0" quotePrefix="0" xfId="0">
      <alignment horizontal="right" vertical="center"/>
    </xf>
    <xf numFmtId="0" fontId="0" fillId="0" borderId="5" pivotButton="0" quotePrefix="0" xfId="0"/>
    <xf numFmtId="164" fontId="0" fillId="5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left" vertical="center"/>
    </xf>
    <xf numFmtId="166" fontId="0" fillId="8" borderId="1" applyAlignment="1" pivotButton="0" quotePrefix="0" xfId="0">
      <alignment horizontal="right" vertical="center"/>
    </xf>
    <xf numFmtId="4" fontId="0" fillId="8" borderId="1" applyAlignment="1" pivotButton="0" quotePrefix="0" xfId="0">
      <alignment horizontal="right" vertical="center"/>
    </xf>
    <xf numFmtId="0" fontId="0" fillId="9" borderId="1" pivotButton="0" quotePrefix="0" xfId="0"/>
    <xf numFmtId="0" fontId="10" fillId="9" borderId="1" applyAlignment="1" pivotButton="0" quotePrefix="0" xfId="0">
      <alignment horizontal="left" vertical="center"/>
    </xf>
    <xf numFmtId="9" fontId="4" fillId="9" borderId="1" applyAlignment="1" pivotButton="0" quotePrefix="0" xfId="0">
      <alignment horizontal="center" vertical="center"/>
    </xf>
    <xf numFmtId="9" fontId="5" fillId="9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1" fontId="0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/>
    </xf>
    <xf numFmtId="1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9" fontId="0" fillId="3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1" fontId="0" fillId="10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/>
    </xf>
    <xf numFmtId="1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9" fontId="0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165" fontId="5" fillId="11" borderId="1" applyAlignment="1" pivotButton="0" quotePrefix="0" xfId="0">
      <alignment horizontal="right" vertical="center"/>
    </xf>
    <xf numFmtId="165" fontId="12" fillId="11" borderId="1" applyAlignment="1" pivotButton="0" quotePrefix="0" xfId="0">
      <alignment horizontal="right" vertical="center"/>
    </xf>
    <xf numFmtId="0" fontId="12" fillId="11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165" fontId="8" fillId="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right" vertical="center"/>
    </xf>
    <xf numFmtId="165" fontId="12" fillId="3" borderId="1" applyAlignment="1" pivotButton="0" quotePrefix="0" xfId="0">
      <alignment horizontal="right" vertical="center"/>
    </xf>
    <xf numFmtId="0" fontId="13" fillId="11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14" fillId="4" borderId="1" applyAlignment="1" pivotButton="0" quotePrefix="0" xfId="0">
      <alignment horizontal="right" vertical="center"/>
    </xf>
    <xf numFmtId="165" fontId="14" fillId="11" borderId="1" applyAlignment="1" pivotButton="0" quotePrefix="0" xfId="0">
      <alignment horizontal="right" vertical="center"/>
    </xf>
    <xf numFmtId="165" fontId="15" fillId="12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165" fontId="6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165" fontId="6" fillId="12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/>
    </xf>
    <xf numFmtId="1" fontId="2" fillId="2" borderId="1" applyAlignment="1" pivotButton="0" quotePrefix="0" xfId="0">
      <alignment horizontal="right" vertical="center"/>
    </xf>
    <xf numFmtId="164" fontId="0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</cols>
  <sheetData>
    <row r="1">
      <c r="A1" s="1" t="inlineStr">
        <is>
          <t>BDI — BONIFICAÇÕES E DESPESAS INDIRETAS (FÓRMULA TCU AC.2622/2013)</t>
        </is>
      </c>
    </row>
    <row r="2">
      <c r="A2" s="2" t="inlineStr">
        <is>
          <t>Categoria</t>
        </is>
      </c>
      <c r="B2" s="2" t="inlineStr">
        <is>
          <t>AC (%)</t>
        </is>
      </c>
      <c r="C2" s="2" t="inlineStr">
        <is>
          <t>DF (%)</t>
        </is>
      </c>
      <c r="D2" s="2" t="inlineStr">
        <is>
          <t>R (%)</t>
        </is>
      </c>
      <c r="E2" s="2" t="inlineStr">
        <is>
          <t>CR (%)</t>
        </is>
      </c>
      <c r="F2" s="2" t="inlineStr">
        <is>
          <t>Lucro L (%)</t>
        </is>
      </c>
      <c r="G2" s="2" t="inlineStr">
        <is>
          <t>COFINS (%)</t>
        </is>
      </c>
      <c r="H2" s="2" t="inlineStr">
        <is>
          <t>ISS (%)</t>
        </is>
      </c>
      <c r="I2" s="2" t="inlineStr">
        <is>
          <t>PIS (%)</t>
        </is>
      </c>
      <c r="J2" s="2" t="inlineStr">
        <is>
          <t>CSSL (%)</t>
        </is>
      </c>
      <c r="K2" s="2" t="inlineStr">
        <is>
          <t>IR (%)</t>
        </is>
      </c>
      <c r="L2" s="2" t="inlineStr">
        <is>
          <t>T=Tributos (%)</t>
        </is>
      </c>
      <c r="M2" s="2" t="inlineStr">
        <is>
          <t>BDI Total (%)</t>
        </is>
      </c>
    </row>
    <row r="3">
      <c r="A3" s="3" t="inlineStr">
        <is>
          <t>MÃO DE OBRA</t>
        </is>
      </c>
      <c r="B3" s="4" t="n">
        <v>5</v>
      </c>
      <c r="C3" s="4" t="n">
        <v>1.5</v>
      </c>
      <c r="D3" s="4" t="n">
        <v>1</v>
      </c>
      <c r="E3" s="4" t="n">
        <v>0</v>
      </c>
      <c r="F3" s="4" t="n">
        <v>9</v>
      </c>
      <c r="G3" s="4" t="n">
        <v>3</v>
      </c>
      <c r="H3" s="4" t="n">
        <v>5</v>
      </c>
      <c r="I3" s="4" t="n">
        <v>0.65</v>
      </c>
      <c r="J3" s="4" t="n">
        <v>1.99</v>
      </c>
      <c r="K3" s="4" t="n">
        <v>2.74</v>
      </c>
      <c r="L3" s="4" t="n">
        <v>13.38</v>
      </c>
      <c r="M3" s="5" t="n">
        <v>34.5</v>
      </c>
    </row>
    <row r="4">
      <c r="A4" s="6" t="inlineStr">
        <is>
          <t>MATERIAL</t>
        </is>
      </c>
      <c r="B4" s="7" t="n">
        <v>5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8" t="n">
        <v>5</v>
      </c>
    </row>
    <row r="5">
      <c r="A5" s="3" t="inlineStr">
        <is>
          <t>SERVIÇOS</t>
        </is>
      </c>
      <c r="B5" s="4" t="n">
        <v>5</v>
      </c>
      <c r="C5" s="4" t="n">
        <v>1.5</v>
      </c>
      <c r="D5" s="4" t="n">
        <v>1</v>
      </c>
      <c r="E5" s="4" t="n">
        <v>0</v>
      </c>
      <c r="F5" s="4" t="n">
        <v>9</v>
      </c>
      <c r="G5" s="4" t="n">
        <v>3</v>
      </c>
      <c r="H5" s="4" t="n">
        <v>5</v>
      </c>
      <c r="I5" s="4" t="n">
        <v>0.65</v>
      </c>
      <c r="J5" s="4" t="n">
        <v>1.99</v>
      </c>
      <c r="K5" s="4" t="n">
        <v>2.74</v>
      </c>
      <c r="L5" s="4" t="n">
        <v>13.38</v>
      </c>
      <c r="M5" s="5" t="n">
        <v>34.5</v>
      </c>
    </row>
    <row r="6">
      <c r="A6" s="6" t="inlineStr">
        <is>
          <t>INDIRETO</t>
        </is>
      </c>
      <c r="B6" s="7" t="n">
        <v>4</v>
      </c>
      <c r="C6" s="7" t="n">
        <v>0</v>
      </c>
      <c r="D6" s="7" t="n">
        <v>0</v>
      </c>
      <c r="E6" s="7" t="n">
        <v>0</v>
      </c>
      <c r="F6" s="7" t="n">
        <v>2</v>
      </c>
      <c r="G6" s="7" t="n">
        <v>3</v>
      </c>
      <c r="H6" s="7" t="n">
        <v>5</v>
      </c>
      <c r="I6" s="7" t="n">
        <v>0.65</v>
      </c>
      <c r="J6" s="7" t="n">
        <v>1.99</v>
      </c>
      <c r="K6" s="7" t="n">
        <v>2.74</v>
      </c>
      <c r="L6" s="7" t="n">
        <v>13.38</v>
      </c>
      <c r="M6" s="8" t="n">
        <v>22.37</v>
      </c>
    </row>
    <row r="7">
      <c r="A7" s="3" t="inlineStr">
        <is>
          <t>DIESEL</t>
        </is>
      </c>
      <c r="B7" s="4" t="n">
        <v>4</v>
      </c>
      <c r="C7" s="4" t="n">
        <v>0</v>
      </c>
      <c r="D7" s="4" t="n">
        <v>0</v>
      </c>
      <c r="E7" s="4" t="n">
        <v>0</v>
      </c>
      <c r="F7" s="4" t="n">
        <v>5</v>
      </c>
      <c r="G7" s="4" t="n">
        <v>3</v>
      </c>
      <c r="H7" s="4" t="n">
        <v>5</v>
      </c>
      <c r="I7" s="4" t="n">
        <v>0.65</v>
      </c>
      <c r="J7" s="4" t="n">
        <v>1.99</v>
      </c>
      <c r="K7" s="4" t="n">
        <v>2.74</v>
      </c>
      <c r="L7" s="4" t="n">
        <v>13.38</v>
      </c>
      <c r="M7" s="5" t="n">
        <v>25.84</v>
      </c>
    </row>
    <row r="9">
      <c r="A9" s="9" t="inlineStr">
        <is>
          <t>Fórmula: BDI = (1 + AC + DF + R + CR + L) / (1 - T) - 1  |  T = COFINS+ISS+PIS+CSSL+IR</t>
        </is>
      </c>
    </row>
    <row r="11">
      <c r="A11" s="9" t="inlineStr">
        <is>
          <t>BDI Efetivo Aplicado por Item do Planejamento</t>
        </is>
      </c>
    </row>
    <row r="12">
      <c r="A12" s="10" t="inlineStr">
        <is>
          <t>Item ID</t>
        </is>
      </c>
      <c r="B12" s="10" t="inlineStr">
        <is>
          <t>MO BDI (%)</t>
        </is>
      </c>
      <c r="C12" s="10" t="inlineStr">
        <is>
          <t>EQ BDI (%)</t>
        </is>
      </c>
      <c r="D12" s="10" t="inlineStr">
        <is>
          <t>MAT BDI (%)</t>
        </is>
      </c>
      <c r="E12" s="10" t="inlineStr">
        <is>
          <t>DIESEL BDI (%)</t>
        </is>
      </c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</row>
    <row r="13">
      <c r="A13" s="11" t="inlineStr">
        <is>
          <t>eap-01</t>
        </is>
      </c>
      <c r="B13" s="4" t="n">
        <v>34.5</v>
      </c>
      <c r="C13" s="4" t="n">
        <v>34.5</v>
      </c>
      <c r="D13" s="4" t="n">
        <v>20</v>
      </c>
      <c r="E13" s="4" t="n">
        <v>34.5</v>
      </c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3" t="inlineStr">
        <is>
          <t>eap-02</t>
        </is>
      </c>
      <c r="B14" s="7" t="n">
        <v>34.5</v>
      </c>
      <c r="C14" s="7" t="n">
        <v>34.5</v>
      </c>
      <c r="D14" s="7" t="n">
        <v>20</v>
      </c>
      <c r="E14" s="7" t="n">
        <v>34.5</v>
      </c>
      <c r="F14" s="14" t="n"/>
      <c r="G14" s="14" t="n"/>
      <c r="H14" s="14" t="n"/>
      <c r="I14" s="14" t="n"/>
      <c r="J14" s="14" t="n"/>
      <c r="K14" s="14" t="n"/>
      <c r="L14" s="14" t="n"/>
      <c r="M14" s="14" t="n"/>
    </row>
  </sheetData>
  <mergeCells count="3">
    <mergeCell ref="A11:M11"/>
    <mergeCell ref="A1:M1"/>
    <mergeCell ref="A9:M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10" customWidth="1" min="4" max="4"/>
    <col width="6" customWidth="1" min="5" max="5"/>
    <col width="16" customWidth="1" min="6" max="6"/>
    <col width="16" customWidth="1" min="7" max="7"/>
    <col width="10" customWidth="1" min="8" max="8"/>
    <col width="16" customWidth="1" min="9" max="9"/>
  </cols>
  <sheetData>
    <row r="1">
      <c r="A1" s="1" t="inlineStr">
        <is>
          <t>DIRETOS — EQUIPES E RECURSOS</t>
        </is>
      </c>
    </row>
    <row r="2">
      <c r="A2" s="2" t="inlineStr">
        <is>
          <t>Tipo</t>
        </is>
      </c>
      <c r="B2" s="2" t="inlineStr">
        <is>
          <t>Código</t>
        </is>
      </c>
      <c r="C2" s="2" t="inlineStr">
        <is>
          <t>Descrição</t>
        </is>
      </c>
      <c r="D2" s="2" t="inlineStr">
        <is>
          <t>Papel</t>
        </is>
      </c>
      <c r="E2" s="2" t="inlineStr">
        <is>
          <t>Qtd</t>
        </is>
      </c>
      <c r="F2" s="2" t="inlineStr">
        <is>
          <t>Custo Unit/Mês (R$)</t>
        </is>
      </c>
      <c r="G2" s="2" t="inlineStr">
        <is>
          <t>Custo Total/Mês (R$)</t>
        </is>
      </c>
      <c r="H2" s="2" t="inlineStr">
        <is>
          <t>Perm. (meses)</t>
        </is>
      </c>
      <c r="I2" s="2" t="inlineStr">
        <is>
          <t>Custo Total (R$)</t>
        </is>
      </c>
    </row>
    <row r="3">
      <c r="A3" s="9" t="inlineStr">
        <is>
          <t>eap-01 — Supressão vegetal</t>
        </is>
      </c>
    </row>
    <row r="4">
      <c r="A4" s="11" t="inlineStr">
        <is>
          <t>MÃO DE OBRA</t>
        </is>
      </c>
      <c r="B4" s="11" t="inlineStr">
        <is>
          <t>MO-OPER-ESCAV</t>
        </is>
      </c>
      <c r="C4" s="11" t="inlineStr">
        <is>
          <t>Operador de Escavadeira</t>
        </is>
      </c>
      <c r="D4" s="15" t="inlineStr">
        <is>
          <t>DIRETO</t>
        </is>
      </c>
      <c r="E4" s="16" t="n">
        <v>1</v>
      </c>
      <c r="F4" s="17" t="n">
        <v>12875</v>
      </c>
      <c r="G4" s="17">
        <f>E4*F4</f>
        <v/>
      </c>
      <c r="H4" s="16" t="n">
        <v>2.07</v>
      </c>
      <c r="I4" s="17">
        <f>G4*H4</f>
        <v/>
      </c>
    </row>
    <row r="5">
      <c r="A5" s="11" t="inlineStr">
        <is>
          <t>MÃO DE OBRA</t>
        </is>
      </c>
      <c r="B5" s="11" t="inlineStr">
        <is>
          <t>MO-OPER-TRATOR-EST</t>
        </is>
      </c>
      <c r="C5" s="11" t="inlineStr">
        <is>
          <t>Operador de Trator de Esteiras</t>
        </is>
      </c>
      <c r="D5" s="15" t="inlineStr">
        <is>
          <t>DIRETO</t>
        </is>
      </c>
      <c r="E5" s="16" t="n">
        <v>1</v>
      </c>
      <c r="F5" s="17" t="n">
        <v>12875</v>
      </c>
      <c r="G5" s="17">
        <f>E5*F5</f>
        <v/>
      </c>
      <c r="H5" s="16" t="n">
        <v>2.07</v>
      </c>
      <c r="I5" s="17">
        <f>G5*H5</f>
        <v/>
      </c>
    </row>
    <row r="6">
      <c r="A6" s="11" t="inlineStr">
        <is>
          <t>MÃO DE OBRA</t>
        </is>
      </c>
      <c r="B6" s="11" t="inlineStr">
        <is>
          <t>MO-AJUDANTE</t>
        </is>
      </c>
      <c r="C6" s="11" t="inlineStr">
        <is>
          <t>Ajudante</t>
        </is>
      </c>
      <c r="D6" s="15" t="inlineStr">
        <is>
          <t>DIRETO</t>
        </is>
      </c>
      <c r="E6" s="16" t="n">
        <v>3</v>
      </c>
      <c r="F6" s="17" t="n">
        <v>5261.65</v>
      </c>
      <c r="G6" s="17">
        <f>E6*F6</f>
        <v/>
      </c>
      <c r="H6" s="16" t="n">
        <v>2.07</v>
      </c>
      <c r="I6" s="17">
        <f>G6*H6</f>
        <v/>
      </c>
    </row>
    <row r="7">
      <c r="A7" s="11" t="inlineStr">
        <is>
          <t>EQUIPAMENTO</t>
        </is>
      </c>
      <c r="B7" s="11" t="inlineStr">
        <is>
          <t>EQ-E0016</t>
        </is>
      </c>
      <c r="C7" s="11" t="inlineStr">
        <is>
          <t>Escavadeira Hidráulica 22t</t>
        </is>
      </c>
      <c r="D7" s="18" t="inlineStr">
        <is>
          <t>—</t>
        </is>
      </c>
      <c r="E7" s="16" t="n">
        <v>1</v>
      </c>
      <c r="F7" s="17" t="n">
        <v>35639.3</v>
      </c>
      <c r="G7" s="17">
        <f>E7*F7</f>
        <v/>
      </c>
      <c r="H7" s="16" t="n">
        <v>2.07</v>
      </c>
      <c r="I7" s="17">
        <f>G7*H7</f>
        <v/>
      </c>
    </row>
    <row r="8">
      <c r="A8" s="11" t="inlineStr">
        <is>
          <t>EQUIPAMENTO</t>
        </is>
      </c>
      <c r="B8" s="11" t="inlineStr">
        <is>
          <t>EQ-E0024</t>
        </is>
      </c>
      <c r="C8" s="11" t="inlineStr">
        <is>
          <t>Trator de Esteiras 20t (300HP)</t>
        </is>
      </c>
      <c r="D8" s="18" t="inlineStr">
        <is>
          <t>—</t>
        </is>
      </c>
      <c r="E8" s="16" t="n">
        <v>1</v>
      </c>
      <c r="F8" s="17" t="n">
        <v>49477.12</v>
      </c>
      <c r="G8" s="17">
        <f>E8*F8</f>
        <v/>
      </c>
      <c r="H8" s="16" t="n">
        <v>2.07</v>
      </c>
      <c r="I8" s="17">
        <f>G8*H8</f>
        <v/>
      </c>
    </row>
    <row r="9">
      <c r="A9" s="19" t="inlineStr">
        <is>
          <t>COMBUSTÍVEL</t>
        </is>
      </c>
      <c r="B9" s="11" t="inlineStr">
        <is>
          <t>EQ-E0024</t>
        </is>
      </c>
      <c r="C9" s="11" t="inlineStr">
        <is>
          <t>Diesel S-10 (18.0 L/h)</t>
        </is>
      </c>
      <c r="D9" s="18" t="inlineStr">
        <is>
          <t>—</t>
        </is>
      </c>
      <c r="E9" s="16" t="n">
        <v>1</v>
      </c>
      <c r="F9" s="17" t="n">
        <v>22957.71</v>
      </c>
      <c r="G9" s="17">
        <f>E9*F9</f>
        <v/>
      </c>
      <c r="H9" s="16" t="n">
        <v>2.07</v>
      </c>
      <c r="I9" s="17">
        <f>G9*H9</f>
        <v/>
      </c>
    </row>
    <row r="10">
      <c r="A10" s="20" t="inlineStr">
        <is>
          <t>Subtotal eap-01</t>
        </is>
      </c>
      <c r="B10" s="21" t="n"/>
      <c r="C10" s="21" t="n"/>
      <c r="D10" s="21" t="n"/>
      <c r="E10" s="21" t="n"/>
      <c r="F10" s="21" t="n"/>
      <c r="G10" s="22">
        <f>SUM(G4:G9)</f>
        <v/>
      </c>
      <c r="H10" s="23" t="n">
        <v>2.07</v>
      </c>
      <c r="I10" s="22">
        <f>SUM(I4:I9)</f>
        <v/>
      </c>
    </row>
    <row r="11">
      <c r="A11" s="9" t="inlineStr">
        <is>
          <t>eap-02 — Desmatamento e limpeza</t>
        </is>
      </c>
    </row>
    <row r="12">
      <c r="A12" s="13" t="inlineStr">
        <is>
          <t>MÃO DE OBRA</t>
        </is>
      </c>
      <c r="B12" s="13" t="inlineStr">
        <is>
          <t>MO-OPER-ESCAV</t>
        </is>
      </c>
      <c r="C12" s="13" t="inlineStr">
        <is>
          <t>Operador de Escavadeira</t>
        </is>
      </c>
      <c r="D12" s="24" t="inlineStr">
        <is>
          <t>DIRETO</t>
        </is>
      </c>
      <c r="E12" s="25" t="n">
        <v>1</v>
      </c>
      <c r="F12" s="26" t="n">
        <v>12875</v>
      </c>
      <c r="G12" s="26">
        <f>E12*F12</f>
        <v/>
      </c>
      <c r="H12" s="25" t="n">
        <v>0.92</v>
      </c>
      <c r="I12" s="26">
        <f>G12*H12</f>
        <v/>
      </c>
    </row>
    <row r="13">
      <c r="A13" s="13" t="inlineStr">
        <is>
          <t>MÃO DE OBRA</t>
        </is>
      </c>
      <c r="B13" s="13" t="inlineStr">
        <is>
          <t>MO-OPER-TRATOR-EST</t>
        </is>
      </c>
      <c r="C13" s="13" t="inlineStr">
        <is>
          <t>Operador de Trator de Esteiras</t>
        </is>
      </c>
      <c r="D13" s="24" t="inlineStr">
        <is>
          <t>DIRETO</t>
        </is>
      </c>
      <c r="E13" s="25" t="n">
        <v>1</v>
      </c>
      <c r="F13" s="26" t="n">
        <v>12875</v>
      </c>
      <c r="G13" s="26">
        <f>E13*F13</f>
        <v/>
      </c>
      <c r="H13" s="25" t="n">
        <v>0.92</v>
      </c>
      <c r="I13" s="26">
        <f>G13*H13</f>
        <v/>
      </c>
    </row>
    <row r="14">
      <c r="A14" s="13" t="inlineStr">
        <is>
          <t>MÃO DE OBRA</t>
        </is>
      </c>
      <c r="B14" s="13" t="inlineStr">
        <is>
          <t>MO-AJUDANTE</t>
        </is>
      </c>
      <c r="C14" s="13" t="inlineStr">
        <is>
          <t>Ajudante</t>
        </is>
      </c>
      <c r="D14" s="24" t="inlineStr">
        <is>
          <t>DIRETO</t>
        </is>
      </c>
      <c r="E14" s="25" t="n">
        <v>3</v>
      </c>
      <c r="F14" s="26" t="n">
        <v>5261.65</v>
      </c>
      <c r="G14" s="26">
        <f>E14*F14</f>
        <v/>
      </c>
      <c r="H14" s="25" t="n">
        <v>0.92</v>
      </c>
      <c r="I14" s="26">
        <f>G14*H14</f>
        <v/>
      </c>
    </row>
    <row r="15">
      <c r="A15" s="13" t="inlineStr">
        <is>
          <t>EQUIPAMENTO</t>
        </is>
      </c>
      <c r="B15" s="13" t="inlineStr">
        <is>
          <t>EQ-E0016</t>
        </is>
      </c>
      <c r="C15" s="13" t="inlineStr">
        <is>
          <t>Escavadeira Hidráulica 22t</t>
        </is>
      </c>
      <c r="D15" s="27" t="inlineStr">
        <is>
          <t>—</t>
        </is>
      </c>
      <c r="E15" s="25" t="n">
        <v>1</v>
      </c>
      <c r="F15" s="26" t="n">
        <v>35639.3</v>
      </c>
      <c r="G15" s="26">
        <f>E15*F15</f>
        <v/>
      </c>
      <c r="H15" s="25" t="n">
        <v>0.92</v>
      </c>
      <c r="I15" s="26">
        <f>G15*H15</f>
        <v/>
      </c>
    </row>
    <row r="16">
      <c r="A16" s="13" t="inlineStr">
        <is>
          <t>EQUIPAMENTO</t>
        </is>
      </c>
      <c r="B16" s="13" t="inlineStr">
        <is>
          <t>EQ-E0024</t>
        </is>
      </c>
      <c r="C16" s="13" t="inlineStr">
        <is>
          <t>Trator de Esteiras 20t (300HP)</t>
        </is>
      </c>
      <c r="D16" s="27" t="inlineStr">
        <is>
          <t>—</t>
        </is>
      </c>
      <c r="E16" s="25" t="n">
        <v>1</v>
      </c>
      <c r="F16" s="26" t="n">
        <v>49477.12</v>
      </c>
      <c r="G16" s="26">
        <f>E16*F16</f>
        <v/>
      </c>
      <c r="H16" s="25" t="n">
        <v>0.92</v>
      </c>
      <c r="I16" s="26">
        <f>G16*H16</f>
        <v/>
      </c>
    </row>
    <row r="17">
      <c r="A17" s="28" t="inlineStr">
        <is>
          <t>COMBUSTÍVEL</t>
        </is>
      </c>
      <c r="B17" s="13" t="inlineStr">
        <is>
          <t>EQ-E0024</t>
        </is>
      </c>
      <c r="C17" s="13" t="inlineStr">
        <is>
          <t>Diesel S-10 (18.0 L/h)</t>
        </is>
      </c>
      <c r="D17" s="27" t="inlineStr">
        <is>
          <t>—</t>
        </is>
      </c>
      <c r="E17" s="25" t="n">
        <v>1</v>
      </c>
      <c r="F17" s="26" t="n">
        <v>22957.71</v>
      </c>
      <c r="G17" s="26">
        <f>E17*F17</f>
        <v/>
      </c>
      <c r="H17" s="25" t="n">
        <v>0.92</v>
      </c>
      <c r="I17" s="26">
        <f>G17*H17</f>
        <v/>
      </c>
    </row>
    <row r="18">
      <c r="A18" s="20" t="inlineStr">
        <is>
          <t>Subtotal eap-02</t>
        </is>
      </c>
      <c r="B18" s="21" t="n"/>
      <c r="C18" s="21" t="n"/>
      <c r="D18" s="21" t="n"/>
      <c r="E18" s="21" t="n"/>
      <c r="F18" s="21" t="n"/>
      <c r="G18" s="22">
        <f>SUM(G12:G17)</f>
        <v/>
      </c>
      <c r="H18" s="23" t="n">
        <v>0.92</v>
      </c>
      <c r="I18" s="22">
        <f>SUM(I12:I17)</f>
        <v/>
      </c>
    </row>
    <row r="20">
      <c r="A20" s="29" t="inlineStr">
        <is>
          <t>TOTAL DIRETO</t>
        </is>
      </c>
      <c r="I20" s="30">
        <f>I10+I18</f>
        <v/>
      </c>
    </row>
  </sheetData>
  <mergeCells count="4">
    <mergeCell ref="A1:I1"/>
    <mergeCell ref="A20:H20"/>
    <mergeCell ref="A3:I3"/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</cols>
  <sheetData>
    <row r="1">
      <c r="A1" s="1" t="inlineStr">
        <is>
          <t>DIRETOS RESUMIDO — COMPONENTES MO/EQ/COMB/MAT s/BDI e c/BDI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MO s/BDI</t>
        </is>
      </c>
      <c r="F2" s="2" t="inlineStr">
        <is>
          <t>EQ s/BDI</t>
        </is>
      </c>
      <c r="G2" s="2" t="inlineStr">
        <is>
          <t>Comb. s/BDI</t>
        </is>
      </c>
      <c r="H2" s="2" t="inlineStr">
        <is>
          <t>MAT s/BDI</t>
        </is>
      </c>
      <c r="I2" s="2" t="inlineStr">
        <is>
          <t>Total s/BDI</t>
        </is>
      </c>
      <c r="J2" s="2" t="inlineStr">
        <is>
          <t>MO c/BDI</t>
        </is>
      </c>
      <c r="K2" s="2" t="inlineStr">
        <is>
          <t>EQ c/BDI</t>
        </is>
      </c>
      <c r="L2" s="2" t="inlineStr">
        <is>
          <t>Comb. c/BDI</t>
        </is>
      </c>
      <c r="M2" s="2" t="inlineStr">
        <is>
          <t>MAT c/BDI</t>
        </is>
      </c>
      <c r="N2" s="2" t="inlineStr">
        <is>
          <t>Total c/BDI</t>
        </is>
      </c>
    </row>
    <row r="3">
      <c r="A3" s="31" t="inlineStr">
        <is>
          <t>eap-01</t>
        </is>
      </c>
      <c r="B3" s="31" t="inlineStr">
        <is>
          <t>Supressão vegetal</t>
        </is>
      </c>
      <c r="C3" s="31" t="inlineStr">
        <is>
          <t>m2</t>
        </is>
      </c>
      <c r="D3" s="32" t="n">
        <v>100000</v>
      </c>
      <c r="E3" s="33" t="n">
        <v>57944.8</v>
      </c>
      <c r="F3" s="33" t="n">
        <v>0</v>
      </c>
      <c r="G3" s="33" t="n">
        <v>29418</v>
      </c>
      <c r="H3" s="33" t="n">
        <v>0</v>
      </c>
      <c r="I3" s="33" t="n">
        <v>87362.8</v>
      </c>
      <c r="J3" s="33" t="n">
        <v>77933.14999999999</v>
      </c>
      <c r="K3" s="33" t="n">
        <v>0</v>
      </c>
      <c r="L3" s="33" t="n">
        <v>39565.89</v>
      </c>
      <c r="M3" s="33" t="n">
        <v>0</v>
      </c>
      <c r="N3" s="33" t="n">
        <v>117499.03</v>
      </c>
    </row>
    <row r="4">
      <c r="A4" s="34" t="inlineStr">
        <is>
          <t>eap-02</t>
        </is>
      </c>
      <c r="B4" s="34" t="inlineStr">
        <is>
          <t>Desmatamento e limpeza</t>
        </is>
      </c>
      <c r="C4" s="34" t="inlineStr">
        <is>
          <t>m2</t>
        </is>
      </c>
      <c r="D4" s="35" t="n">
        <v>50000</v>
      </c>
      <c r="E4" s="36" t="n">
        <v>28972.4</v>
      </c>
      <c r="F4" s="36" t="n">
        <v>0</v>
      </c>
      <c r="G4" s="36" t="n">
        <v>14709</v>
      </c>
      <c r="H4" s="36" t="n">
        <v>0</v>
      </c>
      <c r="I4" s="36" t="n">
        <v>43681.4</v>
      </c>
      <c r="J4" s="36" t="n">
        <v>38966.57</v>
      </c>
      <c r="K4" s="36" t="n">
        <v>0</v>
      </c>
      <c r="L4" s="36" t="n">
        <v>19782.94</v>
      </c>
      <c r="M4" s="36" t="n">
        <v>0</v>
      </c>
      <c r="N4" s="36" t="n">
        <v>58749.52</v>
      </c>
    </row>
    <row r="6">
      <c r="A6" s="29" t="inlineStr">
        <is>
          <t>TOTAL DIRETO</t>
        </is>
      </c>
      <c r="E6" s="30">
        <f>SUM(E3:E5)</f>
        <v/>
      </c>
      <c r="F6" s="30">
        <f>SUM(F3:F5)</f>
        <v/>
      </c>
      <c r="G6" s="30">
        <f>SUM(G3:G5)</f>
        <v/>
      </c>
      <c r="H6" s="30">
        <f>SUM(H3:H5)</f>
        <v/>
      </c>
      <c r="I6" s="30">
        <f>SUM(I3:I5)</f>
        <v/>
      </c>
      <c r="J6" s="30">
        <f>SUM(J3:J5)</f>
        <v/>
      </c>
      <c r="K6" s="30">
        <f>SUM(K3:K5)</f>
        <v/>
      </c>
      <c r="L6" s="30">
        <f>SUM(L3:L5)</f>
        <v/>
      </c>
      <c r="M6" s="30">
        <f>SUM(M3:M5)</f>
        <v/>
      </c>
      <c r="N6" s="30">
        <f>SUM(N3:N5)</f>
        <v/>
      </c>
    </row>
  </sheetData>
  <mergeCells count="2">
    <mergeCell ref="A6:D6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6" customWidth="1" min="4" max="4"/>
    <col width="6" customWidth="1" min="5" max="5"/>
    <col width="18" customWidth="1" min="6" max="6"/>
    <col width="10" customWidth="1" min="7" max="7"/>
    <col width="18" customWidth="1" min="8" max="8"/>
  </cols>
  <sheetData>
    <row r="1">
      <c r="A1" s="1" t="inlineStr">
        <is>
          <t>INDIRETOS — CUSTOS INDIRETOS DETALHADOS</t>
        </is>
      </c>
    </row>
    <row r="2">
      <c r="A2" s="2" t="inlineStr">
        <is>
          <t>Categoria</t>
        </is>
      </c>
      <c r="B2" s="2" t="inlineStr">
        <is>
          <t>Tipo</t>
        </is>
      </c>
      <c r="C2" s="2" t="inlineStr">
        <is>
          <t>Código/Função</t>
        </is>
      </c>
      <c r="D2" s="2" t="inlineStr">
        <is>
          <t>Descrição</t>
        </is>
      </c>
      <c r="E2" s="2" t="inlineStr">
        <is>
          <t>Qtd</t>
        </is>
      </c>
      <c r="F2" s="2" t="inlineStr">
        <is>
          <t>Custo Mensal (R$)</t>
        </is>
      </c>
      <c r="G2" s="2" t="inlineStr">
        <is>
          <t>Perm. (m)</t>
        </is>
      </c>
      <c r="H2" s="2" t="inlineStr">
        <is>
          <t>Custo Total (R$)</t>
        </is>
      </c>
    </row>
    <row r="3">
      <c r="A3" s="9" t="inlineStr">
        <is>
          <t>ADM — Administracao de obra</t>
        </is>
      </c>
    </row>
    <row r="4">
      <c r="A4" s="3" t="inlineStr">
        <is>
          <t>ADM</t>
        </is>
      </c>
      <c r="B4" s="11" t="inlineStr">
        <is>
          <t>CUSTO TOTAL</t>
        </is>
      </c>
      <c r="C4" s="11" t="inlineStr">
        <is>
          <t>—</t>
        </is>
      </c>
      <c r="D4" s="11" t="inlineStr">
        <is>
          <t>Administracao de obra</t>
        </is>
      </c>
      <c r="E4" s="16" t="n">
        <v>1</v>
      </c>
      <c r="F4" s="17" t="n">
        <v>0</v>
      </c>
      <c r="G4" s="16" t="n">
        <v>6.24</v>
      </c>
      <c r="H4" s="17" t="n">
        <v>2258160.66</v>
      </c>
    </row>
    <row r="5">
      <c r="A5" s="20" t="inlineStr">
        <is>
          <t>Subtotal ADM</t>
        </is>
      </c>
      <c r="B5" s="21" t="n"/>
      <c r="C5" s="21" t="n"/>
      <c r="D5" s="21" t="n"/>
      <c r="E5" s="21" t="n"/>
      <c r="F5" s="21" t="n"/>
      <c r="G5" s="21" t="n"/>
      <c r="H5" s="22">
        <f>SUM(H4:H4)</f>
        <v/>
      </c>
    </row>
    <row r="6">
      <c r="A6" s="9" t="inlineStr">
        <is>
          <t>TOP — Topografia</t>
        </is>
      </c>
    </row>
    <row r="7">
      <c r="A7" s="6" t="inlineStr">
        <is>
          <t>TOP</t>
        </is>
      </c>
      <c r="B7" s="13" t="inlineStr">
        <is>
          <t>CUSTO TOTAL</t>
        </is>
      </c>
      <c r="C7" s="13" t="inlineStr">
        <is>
          <t>—</t>
        </is>
      </c>
      <c r="D7" s="13" t="inlineStr">
        <is>
          <t>Topografia</t>
        </is>
      </c>
      <c r="E7" s="25" t="n">
        <v>1</v>
      </c>
      <c r="F7" s="26" t="n">
        <v>0</v>
      </c>
      <c r="G7" s="25" t="n">
        <v>6.24</v>
      </c>
      <c r="H7" s="26" t="n">
        <v>543657.15</v>
      </c>
    </row>
    <row r="8">
      <c r="A8" s="20" t="inlineStr">
        <is>
          <t>Subtotal TOP</t>
        </is>
      </c>
      <c r="B8" s="21" t="n"/>
      <c r="C8" s="21" t="n"/>
      <c r="D8" s="21" t="n"/>
      <c r="E8" s="21" t="n"/>
      <c r="F8" s="21" t="n"/>
      <c r="G8" s="21" t="n"/>
      <c r="H8" s="22">
        <f>SUM(H7:H7)</f>
        <v/>
      </c>
    </row>
    <row r="9">
      <c r="A9" s="9" t="inlineStr">
        <is>
          <t>LAB — Laboratorio de solos e materiais</t>
        </is>
      </c>
    </row>
    <row r="10">
      <c r="A10" s="3" t="inlineStr">
        <is>
          <t>LAB</t>
        </is>
      </c>
      <c r="B10" s="11" t="inlineStr">
        <is>
          <t>CUSTO TOTAL</t>
        </is>
      </c>
      <c r="C10" s="11" t="inlineStr">
        <is>
          <t>—</t>
        </is>
      </c>
      <c r="D10" s="11" t="inlineStr">
        <is>
          <t>Laboratorio de solos e materiais</t>
        </is>
      </c>
      <c r="E10" s="16" t="n">
        <v>1</v>
      </c>
      <c r="F10" s="17" t="n">
        <v>0</v>
      </c>
      <c r="G10" s="16" t="n">
        <v>6.24</v>
      </c>
      <c r="H10" s="17" t="n">
        <v>270160.11</v>
      </c>
    </row>
    <row r="11">
      <c r="A11" s="20" t="inlineStr">
        <is>
          <t>Subtotal LAB</t>
        </is>
      </c>
      <c r="B11" s="21" t="n"/>
      <c r="C11" s="21" t="n"/>
      <c r="D11" s="21" t="n"/>
      <c r="E11" s="21" t="n"/>
      <c r="F11" s="21" t="n"/>
      <c r="G11" s="21" t="n"/>
      <c r="H11" s="22">
        <f>SUM(H10:H10)</f>
        <v/>
      </c>
    </row>
    <row r="12">
      <c r="A12" s="9" t="inlineStr">
        <is>
          <t>QSMS — Qualidade, Saude, Seguranca e Meio Ambiente</t>
        </is>
      </c>
    </row>
    <row r="13">
      <c r="A13" s="6" t="inlineStr">
        <is>
          <t>QSMS</t>
        </is>
      </c>
      <c r="B13" s="13" t="inlineStr">
        <is>
          <t>CUSTO TOTAL</t>
        </is>
      </c>
      <c r="C13" s="13" t="inlineStr">
        <is>
          <t>—</t>
        </is>
      </c>
      <c r="D13" s="13" t="inlineStr">
        <is>
          <t>Qualidade, Saude, Seguranca e Meio Ambiente</t>
        </is>
      </c>
      <c r="E13" s="25" t="n">
        <v>1</v>
      </c>
      <c r="F13" s="26" t="n">
        <v>0</v>
      </c>
      <c r="G13" s="25" t="n">
        <v>6.24</v>
      </c>
      <c r="H13" s="26" t="n">
        <v>120827.7</v>
      </c>
    </row>
    <row r="14">
      <c r="A14" s="20" t="inlineStr">
        <is>
          <t>Subtotal QSMS</t>
        </is>
      </c>
      <c r="B14" s="21" t="n"/>
      <c r="C14" s="21" t="n"/>
      <c r="D14" s="21" t="n"/>
      <c r="E14" s="21" t="n"/>
      <c r="F14" s="21" t="n"/>
      <c r="G14" s="21" t="n"/>
      <c r="H14" s="22">
        <f>SUM(H13:H13)</f>
        <v/>
      </c>
    </row>
    <row r="15">
      <c r="A15" s="9" t="inlineStr">
        <is>
          <t>MOB — Mobilizacao e desmobilizacao</t>
        </is>
      </c>
    </row>
    <row r="16">
      <c r="A16" s="3" t="inlineStr">
        <is>
          <t>MOB</t>
        </is>
      </c>
      <c r="B16" s="11" t="inlineStr">
        <is>
          <t>CUSTO TOTAL</t>
        </is>
      </c>
      <c r="C16" s="11" t="inlineStr">
        <is>
          <t>—</t>
        </is>
      </c>
      <c r="D16" s="11" t="inlineStr">
        <is>
          <t>Mobilizacao e desmobilizacao</t>
        </is>
      </c>
      <c r="E16" s="16" t="n">
        <v>1</v>
      </c>
      <c r="F16" s="17" t="n">
        <v>0</v>
      </c>
      <c r="G16" s="16" t="n">
        <v>8</v>
      </c>
      <c r="H16" s="17" t="n">
        <v>0</v>
      </c>
    </row>
    <row r="17">
      <c r="A17" s="20" t="inlineStr">
        <is>
          <t>Subtotal MOB</t>
        </is>
      </c>
      <c r="B17" s="21" t="n"/>
      <c r="C17" s="21" t="n"/>
      <c r="D17" s="21" t="n"/>
      <c r="E17" s="21" t="n"/>
      <c r="F17" s="21" t="n"/>
      <c r="G17" s="21" t="n"/>
      <c r="H17" s="22">
        <f>SUM(H16:H16)</f>
        <v/>
      </c>
    </row>
    <row r="19">
      <c r="A19" s="29" t="inlineStr">
        <is>
          <t>TOTAL INDIRETO</t>
        </is>
      </c>
      <c r="H19" s="30">
        <f>H5+H8+H11+H14+H17</f>
        <v/>
      </c>
    </row>
    <row r="22">
      <c r="A22" s="9" t="inlineStr">
        <is>
          <t>Distribuição Mensal de Indiretos</t>
        </is>
      </c>
    </row>
    <row r="23">
      <c r="A23" s="10" t="inlineStr">
        <is>
          <t>Mês</t>
        </is>
      </c>
      <c r="B23" s="10" t="inlineStr">
        <is>
          <t>Despesa Indireta (R$)</t>
        </is>
      </c>
      <c r="C23" s="10" t="inlineStr"/>
      <c r="D23" s="10" t="inlineStr"/>
      <c r="E23" s="10" t="inlineStr"/>
      <c r="F23" s="10" t="inlineStr"/>
      <c r="G23" s="10" t="inlineStr"/>
      <c r="H23" s="10" t="inlineStr"/>
    </row>
    <row r="24">
      <c r="A24" s="11" t="inlineStr">
        <is>
          <t>Dez/24</t>
        </is>
      </c>
      <c r="B24" s="17" t="n">
        <v>532134.27</v>
      </c>
      <c r="C24" s="12" t="n"/>
      <c r="D24" s="12" t="n"/>
      <c r="E24" s="12" t="n"/>
      <c r="F24" s="12" t="n"/>
      <c r="G24" s="12" t="n"/>
      <c r="H24" s="12" t="n"/>
    </row>
    <row r="25">
      <c r="A25" s="13" t="inlineStr">
        <is>
          <t>Jan/25</t>
        </is>
      </c>
      <c r="B25" s="26" t="n">
        <v>532134.27</v>
      </c>
      <c r="C25" s="14" t="n"/>
      <c r="D25" s="14" t="n"/>
      <c r="E25" s="14" t="n"/>
      <c r="F25" s="14" t="n"/>
      <c r="G25" s="14" t="n"/>
      <c r="H25" s="14" t="n"/>
    </row>
    <row r="26">
      <c r="A26" s="11" t="inlineStr">
        <is>
          <t>Fev/25</t>
        </is>
      </c>
      <c r="B26" s="17" t="n">
        <v>532134.27</v>
      </c>
      <c r="C26" s="12" t="n"/>
      <c r="D26" s="12" t="n"/>
      <c r="E26" s="12" t="n"/>
      <c r="F26" s="12" t="n"/>
      <c r="G26" s="12" t="n"/>
      <c r="H26" s="12" t="n"/>
    </row>
    <row r="27">
      <c r="A27" s="13" t="inlineStr">
        <is>
          <t>Mar/25</t>
        </is>
      </c>
      <c r="B27" s="26" t="n">
        <v>532134.27</v>
      </c>
      <c r="C27" s="14" t="n"/>
      <c r="D27" s="14" t="n"/>
      <c r="E27" s="14" t="n"/>
      <c r="F27" s="14" t="n"/>
      <c r="G27" s="14" t="n"/>
      <c r="H27" s="14" t="n"/>
    </row>
    <row r="28">
      <c r="A28" s="11" t="inlineStr">
        <is>
          <t>Abr/25</t>
        </is>
      </c>
      <c r="B28" s="17" t="n">
        <v>532134.27</v>
      </c>
      <c r="C28" s="12" t="n"/>
      <c r="D28" s="12" t="n"/>
      <c r="E28" s="12" t="n"/>
      <c r="F28" s="12" t="n"/>
      <c r="G28" s="12" t="n"/>
      <c r="H28" s="12" t="n"/>
    </row>
    <row r="29">
      <c r="A29" s="13" t="inlineStr">
        <is>
          <t>Mai/25</t>
        </is>
      </c>
      <c r="B29" s="26" t="n">
        <v>532134.27</v>
      </c>
      <c r="C29" s="14" t="n"/>
      <c r="D29" s="14" t="n"/>
      <c r="E29" s="14" t="n"/>
      <c r="F29" s="14" t="n"/>
      <c r="G29" s="14" t="n"/>
      <c r="H29" s="14" t="n"/>
    </row>
    <row r="30">
      <c r="A30" s="11" t="inlineStr">
        <is>
          <t>Jun/25</t>
        </is>
      </c>
      <c r="B30" s="17" t="n">
        <v>0</v>
      </c>
      <c r="C30" s="12" t="n"/>
      <c r="D30" s="12" t="n"/>
      <c r="E30" s="12" t="n"/>
      <c r="F30" s="12" t="n"/>
      <c r="G30" s="12" t="n"/>
      <c r="H30" s="12" t="n"/>
    </row>
  </sheetData>
  <mergeCells count="8">
    <mergeCell ref="A9:H9"/>
    <mergeCell ref="A12:H12"/>
    <mergeCell ref="A3:H3"/>
    <mergeCell ref="A15:H15"/>
    <mergeCell ref="A1:H1"/>
    <mergeCell ref="A19:G19"/>
    <mergeCell ref="A6:H6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0" customWidth="1" min="4" max="4"/>
    <col width="18" customWidth="1" min="5" max="5"/>
    <col width="14" customWidth="1" min="6" max="6"/>
  </cols>
  <sheetData>
    <row r="1">
      <c r="A1" s="1" t="inlineStr">
        <is>
          <t>INDIRETOS RESUMIDO — CATEGORIAS + INDICADORES</t>
        </is>
      </c>
    </row>
    <row r="2">
      <c r="A2" s="2" t="inlineStr">
        <is>
          <t>Categoria</t>
        </is>
      </c>
      <c r="B2" s="2" t="inlineStr">
        <is>
          <t>Descrição</t>
        </is>
      </c>
      <c r="C2" s="2" t="inlineStr">
        <is>
          <t>Custo s/BDI (R$)</t>
        </is>
      </c>
      <c r="D2" s="2" t="inlineStr">
        <is>
          <t>BDI (%)</t>
        </is>
      </c>
      <c r="E2" s="2" t="inlineStr">
        <is>
          <t>Custo c/BDI (R$)</t>
        </is>
      </c>
      <c r="F2" s="2" t="inlineStr">
        <is>
          <t>% do Total</t>
        </is>
      </c>
    </row>
    <row r="3">
      <c r="A3" s="3" t="inlineStr">
        <is>
          <t>ADM</t>
        </is>
      </c>
      <c r="B3" s="11" t="inlineStr">
        <is>
          <t>Administracao de obra</t>
        </is>
      </c>
      <c r="C3" s="17" t="n">
        <v>2258160.66</v>
      </c>
      <c r="D3" s="4" t="n">
        <v>22.37</v>
      </c>
      <c r="E3" s="17" t="n">
        <v>2763392.49</v>
      </c>
      <c r="F3" s="4" t="n">
        <v>70.73</v>
      </c>
    </row>
    <row r="4">
      <c r="A4" s="6" t="inlineStr">
        <is>
          <t>TOP</t>
        </is>
      </c>
      <c r="B4" s="13" t="inlineStr">
        <is>
          <t>Topografia</t>
        </is>
      </c>
      <c r="C4" s="26" t="n">
        <v>543657.15</v>
      </c>
      <c r="D4" s="7" t="n">
        <v>22.37</v>
      </c>
      <c r="E4" s="26" t="n">
        <v>665292.83</v>
      </c>
      <c r="F4" s="7" t="n">
        <v>17.03</v>
      </c>
    </row>
    <row r="5">
      <c r="A5" s="3" t="inlineStr">
        <is>
          <t>LAB</t>
        </is>
      </c>
      <c r="B5" s="11" t="inlineStr">
        <is>
          <t>Laboratorio de solos e materiais</t>
        </is>
      </c>
      <c r="C5" s="17" t="n">
        <v>270160.11</v>
      </c>
      <c r="D5" s="4" t="n">
        <v>22.37</v>
      </c>
      <c r="E5" s="17" t="n">
        <v>330604.65</v>
      </c>
      <c r="F5" s="4" t="n">
        <v>8.460000000000001</v>
      </c>
    </row>
    <row r="6">
      <c r="A6" s="6" t="inlineStr">
        <is>
          <t>QSMS</t>
        </is>
      </c>
      <c r="B6" s="13" t="inlineStr">
        <is>
          <t>Qualidade, Saude, Seguranca e Meio Ambiente</t>
        </is>
      </c>
      <c r="C6" s="26" t="n">
        <v>120827.7</v>
      </c>
      <c r="D6" s="7" t="n">
        <v>22.37</v>
      </c>
      <c r="E6" s="26" t="n">
        <v>147861.21</v>
      </c>
      <c r="F6" s="7" t="n">
        <v>3.78</v>
      </c>
    </row>
    <row r="7">
      <c r="A7" s="3" t="inlineStr">
        <is>
          <t>MOB</t>
        </is>
      </c>
      <c r="B7" s="11" t="inlineStr">
        <is>
          <t>Mobilizacao e desmobilizacao</t>
        </is>
      </c>
      <c r="C7" s="17" t="n">
        <v>0</v>
      </c>
      <c r="D7" s="4" t="n">
        <v>22.37</v>
      </c>
      <c r="E7" s="17" t="n">
        <v>0</v>
      </c>
      <c r="F7" s="4" t="n">
        <v>0</v>
      </c>
    </row>
    <row r="9">
      <c r="A9" s="29" t="inlineStr">
        <is>
          <t>TOTAL INDIRETO</t>
        </is>
      </c>
      <c r="C9" s="30">
        <f>C3+C4+C5+C6+C7</f>
        <v/>
      </c>
      <c r="D9" s="37" t="n"/>
      <c r="E9" s="30">
        <f>E3+E4+E5+E6+E7</f>
        <v/>
      </c>
      <c r="F9" s="37" t="n"/>
    </row>
    <row r="12">
      <c r="A12" s="9" t="inlineStr">
        <is>
          <t>INDICADORES DE COMPOSIÇÃO DE CUSTO</t>
        </is>
      </c>
    </row>
    <row r="13">
      <c r="A13" s="38" t="inlineStr">
        <is>
          <t>TOTAL DIRETO (catálogo s/BDI)</t>
        </is>
      </c>
      <c r="B13" s="39" t="n"/>
      <c r="C13" s="40" t="n">
        <v>131044.2</v>
      </c>
      <c r="D13" s="41" t="n"/>
      <c r="E13" s="41" t="n"/>
      <c r="F13" s="39" t="n"/>
    </row>
    <row r="14">
      <c r="A14" s="38" t="inlineStr">
        <is>
          <t>TOTAL INDIRETO s/BDI</t>
        </is>
      </c>
      <c r="B14" s="39" t="n"/>
      <c r="C14" s="40" t="n">
        <v>3192805.62</v>
      </c>
      <c r="D14" s="41" t="n"/>
      <c r="E14" s="41" t="n"/>
      <c r="F14" s="39" t="n"/>
    </row>
    <row r="15">
      <c r="A15" s="38" t="inlineStr">
        <is>
          <t>RAZÃO CI / CD</t>
        </is>
      </c>
      <c r="B15" s="39" t="n"/>
      <c r="C15" s="42" t="n">
        <v>2204.87</v>
      </c>
      <c r="D15" s="41" t="n"/>
      <c r="E15" s="41" t="n"/>
      <c r="F15" s="39" t="n"/>
    </row>
    <row r="16">
      <c r="A16" s="38" t="inlineStr">
        <is>
          <t>PREÇO DE VENDA TOTAL</t>
        </is>
      </c>
      <c r="B16" s="39" t="n"/>
      <c r="C16" s="40" t="n">
        <v>4083399.73</v>
      </c>
      <c r="D16" s="41" t="n"/>
      <c r="E16" s="41" t="n"/>
      <c r="F16" s="39" t="n"/>
    </row>
    <row r="17">
      <c r="A17" s="38" t="inlineStr">
        <is>
          <t>CI / PVT</t>
        </is>
      </c>
      <c r="B17" s="39" t="n"/>
      <c r="C17" s="42" t="n">
        <v>70.76000000000001</v>
      </c>
      <c r="D17" s="41" t="n"/>
      <c r="E17" s="41" t="n"/>
      <c r="F17" s="39" t="n"/>
    </row>
  </sheetData>
  <mergeCells count="13">
    <mergeCell ref="C13:F13"/>
    <mergeCell ref="A16:B16"/>
    <mergeCell ref="C17:F17"/>
    <mergeCell ref="A15:B15"/>
    <mergeCell ref="A1:F1"/>
    <mergeCell ref="A13:B13"/>
    <mergeCell ref="A14:B14"/>
    <mergeCell ref="C15:F15"/>
    <mergeCell ref="A12:F12"/>
    <mergeCell ref="C16:F16"/>
    <mergeCell ref="A17:B17"/>
    <mergeCell ref="A9:B9"/>
    <mergeCell ref="C14:F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  <col width="12" customWidth="1" min="15" max="15"/>
  </cols>
  <sheetData>
    <row r="1">
      <c r="A1" s="1" t="inlineStr">
        <is>
          <t>PLANEJAMENTO — ORÇAMENTO POR EAP (COMPONENTES s/BDI e c/BDI)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MO s/BDI (R$)</t>
        </is>
      </c>
      <c r="F2" s="2" t="inlineStr">
        <is>
          <t>EQ s/BDI (R$)</t>
        </is>
      </c>
      <c r="G2" s="2" t="inlineStr">
        <is>
          <t>Comb. s/BDI (R$)</t>
        </is>
      </c>
      <c r="H2" s="2" t="inlineStr">
        <is>
          <t>MAT s/BDI (R$)</t>
        </is>
      </c>
      <c r="I2" s="2" t="inlineStr">
        <is>
          <t>Total s/BDI (R$)</t>
        </is>
      </c>
      <c r="J2" s="2" t="inlineStr">
        <is>
          <t>MO c/BDI (R$)</t>
        </is>
      </c>
      <c r="K2" s="2" t="inlineStr">
        <is>
          <t>EQ c/BDI (R$)</t>
        </is>
      </c>
      <c r="L2" s="2" t="inlineStr">
        <is>
          <t>Comb. c/BDI (R$)</t>
        </is>
      </c>
      <c r="M2" s="2" t="inlineStr">
        <is>
          <t>MAT c/BDI (R$)</t>
        </is>
      </c>
      <c r="N2" s="2" t="inlineStr">
        <is>
          <t>Total c/BDI (R$)</t>
        </is>
      </c>
      <c r="O2" s="2" t="inlineStr">
        <is>
          <t>Criticidade</t>
        </is>
      </c>
    </row>
    <row r="3">
      <c r="A3" s="43" t="inlineStr">
        <is>
          <t>eap-01</t>
        </is>
      </c>
      <c r="B3" s="43" t="inlineStr">
        <is>
          <t>Supressão vegetal</t>
        </is>
      </c>
      <c r="C3" s="43" t="inlineStr">
        <is>
          <t>m2</t>
        </is>
      </c>
      <c r="D3" s="44" t="n">
        <v>100000</v>
      </c>
      <c r="E3" s="45" t="n">
        <v>57944.8</v>
      </c>
      <c r="F3" s="45" t="n">
        <v>0</v>
      </c>
      <c r="G3" s="45" t="n">
        <v>29418</v>
      </c>
      <c r="H3" s="45" t="n">
        <v>0</v>
      </c>
      <c r="I3" s="45" t="n">
        <v>87362.8</v>
      </c>
      <c r="J3" s="45" t="n">
        <v>77933.14999999999</v>
      </c>
      <c r="K3" s="45" t="n">
        <v>0</v>
      </c>
      <c r="L3" s="45" t="n">
        <v>39565.89</v>
      </c>
      <c r="M3" s="45" t="n">
        <v>0</v>
      </c>
      <c r="N3" s="45" t="n">
        <v>117499.03</v>
      </c>
      <c r="O3" s="43" t="inlineStr">
        <is>
          <t>A</t>
        </is>
      </c>
    </row>
    <row r="4">
      <c r="A4" s="34" t="inlineStr">
        <is>
          <t>eap-02</t>
        </is>
      </c>
      <c r="B4" s="34" t="inlineStr">
        <is>
          <t>Desmatamento e limpeza</t>
        </is>
      </c>
      <c r="C4" s="34" t="inlineStr">
        <is>
          <t>m2</t>
        </is>
      </c>
      <c r="D4" s="35" t="n">
        <v>50000</v>
      </c>
      <c r="E4" s="36" t="n">
        <v>28972.4</v>
      </c>
      <c r="F4" s="36" t="n">
        <v>0</v>
      </c>
      <c r="G4" s="36" t="n">
        <v>14709</v>
      </c>
      <c r="H4" s="36" t="n">
        <v>0</v>
      </c>
      <c r="I4" s="36" t="n">
        <v>43681.4</v>
      </c>
      <c r="J4" s="36" t="n">
        <v>38966.57</v>
      </c>
      <c r="K4" s="36" t="n">
        <v>0</v>
      </c>
      <c r="L4" s="36" t="n">
        <v>19782.94</v>
      </c>
      <c r="M4" s="36" t="n">
        <v>0</v>
      </c>
      <c r="N4" s="36" t="n">
        <v>58749.52</v>
      </c>
      <c r="O4" s="34" t="inlineStr">
        <is>
          <t>C</t>
        </is>
      </c>
    </row>
    <row r="6">
      <c r="A6" s="29" t="inlineStr">
        <is>
          <t>TOTAL</t>
        </is>
      </c>
      <c r="E6" s="30">
        <f>SUM(E3:E5)</f>
        <v/>
      </c>
      <c r="F6" s="30">
        <f>SUM(F3:F5)</f>
        <v/>
      </c>
      <c r="G6" s="30">
        <f>SUM(G3:G5)</f>
        <v/>
      </c>
      <c r="H6" s="30">
        <f>SUM(H3:H5)</f>
        <v/>
      </c>
      <c r="I6" s="30">
        <f>SUM(I3:I5)</f>
        <v/>
      </c>
      <c r="J6" s="30">
        <f>SUM(J3:J5)</f>
        <v/>
      </c>
      <c r="K6" s="30">
        <f>SUM(K3:K5)</f>
        <v/>
      </c>
      <c r="L6" s="30">
        <f>SUM(L3:L5)</f>
        <v/>
      </c>
      <c r="M6" s="30">
        <f>SUM(M3:M5)</f>
        <v/>
      </c>
      <c r="N6" s="30">
        <f>SUM(N3:N5)</f>
        <v/>
      </c>
      <c r="O6" s="30">
        <f>SUM(O3:O5)</f>
        <v/>
      </c>
    </row>
  </sheetData>
  <mergeCells count="2">
    <mergeCell ref="A1:O1"/>
    <mergeCell ref="A6:D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2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>
      <c r="A1" s="1" t="inlineStr">
        <is>
          <t>CRONOGRAMA SEMANAL — ACOMPANHAMENTO FÍSICO DE PRODUÇÃO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Métrica</t>
        </is>
      </c>
      <c r="E2" s="2" t="inlineStr">
        <is>
          <t>30/Dez</t>
        </is>
      </c>
      <c r="F2" s="2" t="inlineStr">
        <is>
          <t>06/Jan</t>
        </is>
      </c>
      <c r="G2" s="2" t="inlineStr">
        <is>
          <t>13/Jan</t>
        </is>
      </c>
      <c r="H2" s="2" t="inlineStr">
        <is>
          <t>20/Jan</t>
        </is>
      </c>
      <c r="I2" s="2" t="inlineStr">
        <is>
          <t>27/Jan</t>
        </is>
      </c>
      <c r="J2" s="2" t="inlineStr">
        <is>
          <t>03/Fev</t>
        </is>
      </c>
      <c r="K2" s="2" t="inlineStr">
        <is>
          <t>10/Fev</t>
        </is>
      </c>
      <c r="L2" s="2" t="inlineStr">
        <is>
          <t>17/Fev</t>
        </is>
      </c>
      <c r="M2" s="2" t="inlineStr">
        <is>
          <t>24/Fev</t>
        </is>
      </c>
      <c r="N2" s="2" t="inlineStr">
        <is>
          <t>03/Mar</t>
        </is>
      </c>
      <c r="O2" s="2" t="inlineStr">
        <is>
          <t>10/Mar</t>
        </is>
      </c>
      <c r="P2" s="2" t="inlineStr">
        <is>
          <t>17/Mar</t>
        </is>
      </c>
      <c r="Q2" s="2" t="inlineStr">
        <is>
          <t>24/Mar</t>
        </is>
      </c>
      <c r="R2" s="2" t="inlineStr">
        <is>
          <t>31/Mar</t>
        </is>
      </c>
      <c r="S2" s="2" t="inlineStr">
        <is>
          <t>07/Abr</t>
        </is>
      </c>
      <c r="T2" s="2" t="inlineStr">
        <is>
          <t>14/Abr</t>
        </is>
      </c>
      <c r="U2" s="2" t="inlineStr">
        <is>
          <t>21/Abr</t>
        </is>
      </c>
      <c r="V2" s="2" t="inlineStr">
        <is>
          <t>28/Abr</t>
        </is>
      </c>
      <c r="W2" s="2" t="inlineStr">
        <is>
          <t>05/Mai</t>
        </is>
      </c>
      <c r="X2" s="2" t="inlineStr">
        <is>
          <t>12/Mai</t>
        </is>
      </c>
      <c r="Y2" s="2" t="inlineStr">
        <is>
          <t>19/Mai</t>
        </is>
      </c>
      <c r="Z2" s="2" t="inlineStr">
        <is>
          <t>26/Mai</t>
        </is>
      </c>
      <c r="AA2" s="2" t="inlineStr">
        <is>
          <t>02/Jun</t>
        </is>
      </c>
      <c r="AB2" s="2" t="inlineStr">
        <is>
          <t>09/Jun</t>
        </is>
      </c>
      <c r="AC2" s="2" t="inlineStr">
        <is>
          <t>16/Jun</t>
        </is>
      </c>
      <c r="AD2" s="2" t="inlineStr">
        <is>
          <t>23/Jun</t>
        </is>
      </c>
      <c r="AE2" s="2" t="inlineStr">
        <is>
          <t>30/Jun</t>
        </is>
      </c>
    </row>
    <row r="3">
      <c r="A3" s="46" t="n"/>
      <c r="B3" s="46" t="n"/>
      <c r="C3" s="46" t="n"/>
      <c r="D3" s="47" t="inlineStr">
        <is>
          <t>Praticabilidade</t>
        </is>
      </c>
      <c r="E3" s="48" t="n">
        <v>0.8571</v>
      </c>
      <c r="F3" s="49" t="n">
        <v>1</v>
      </c>
      <c r="G3" s="48" t="n">
        <v>0.8571</v>
      </c>
      <c r="H3" s="48" t="n">
        <v>0.7143</v>
      </c>
      <c r="I3" s="48" t="n">
        <v>0.8571</v>
      </c>
      <c r="J3" s="48" t="n">
        <v>0.7143</v>
      </c>
      <c r="K3" s="48" t="n">
        <v>0.8571</v>
      </c>
      <c r="L3" s="48" t="n">
        <v>0.5714</v>
      </c>
      <c r="M3" s="48" t="n">
        <v>0.7143</v>
      </c>
      <c r="N3" s="48" t="n">
        <v>0.5714</v>
      </c>
      <c r="O3" s="48" t="n">
        <v>0.8571</v>
      </c>
      <c r="P3" s="48" t="n">
        <v>0.5714</v>
      </c>
      <c r="Q3" s="48" t="n">
        <v>0.5714</v>
      </c>
      <c r="R3" s="48" t="n">
        <v>0.8571</v>
      </c>
      <c r="S3" s="49" t="n">
        <v>1</v>
      </c>
      <c r="T3" s="48" t="n">
        <v>0.8571</v>
      </c>
      <c r="U3" s="48" t="n">
        <v>0.8571</v>
      </c>
      <c r="V3" s="48" t="n">
        <v>0.8571</v>
      </c>
      <c r="W3" s="48" t="n">
        <v>0.8571</v>
      </c>
      <c r="X3" s="49" t="n">
        <v>1</v>
      </c>
      <c r="Y3" s="48" t="n">
        <v>0.7143</v>
      </c>
      <c r="Z3" s="49" t="n">
        <v>1</v>
      </c>
      <c r="AA3" s="49" t="n">
        <v>1</v>
      </c>
      <c r="AB3" s="49" t="n">
        <v>1</v>
      </c>
      <c r="AC3" s="49" t="n">
        <v>1</v>
      </c>
      <c r="AD3" s="49" t="n">
        <v>1</v>
      </c>
      <c r="AE3" s="49" t="n">
        <v>1</v>
      </c>
    </row>
    <row r="4">
      <c r="A4" s="20" t="inlineStr">
        <is>
          <t>eap-01</t>
        </is>
      </c>
      <c r="B4" s="20" t="inlineStr">
        <is>
          <t>Supressão vegetal</t>
        </is>
      </c>
      <c r="C4" s="50" t="inlineStr">
        <is>
          <t>m2</t>
        </is>
      </c>
      <c r="D4" s="51" t="inlineStr">
        <is>
          <t>Dias Trabalhados</t>
        </is>
      </c>
      <c r="E4" s="52" t="n">
        <v>6</v>
      </c>
      <c r="F4" s="52" t="n">
        <v>6</v>
      </c>
      <c r="G4" s="52" t="n">
        <v>6</v>
      </c>
      <c r="H4" s="52" t="n">
        <v>6</v>
      </c>
      <c r="I4" s="52" t="n">
        <v>6</v>
      </c>
      <c r="J4" s="52" t="n">
        <v>6</v>
      </c>
      <c r="K4" s="52" t="n">
        <v>6</v>
      </c>
      <c r="L4" s="52" t="n">
        <v>6</v>
      </c>
      <c r="M4" s="52" t="n">
        <v>6</v>
      </c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53" t="n"/>
      <c r="AB4" s="53" t="n"/>
      <c r="AC4" s="53" t="n"/>
      <c r="AD4" s="53" t="n"/>
      <c r="AE4" s="53" t="n"/>
    </row>
    <row r="5">
      <c r="A5" s="11" t="n"/>
      <c r="B5" s="11" t="n"/>
      <c r="C5" s="18" t="n"/>
      <c r="D5" s="54" t="inlineStr">
        <is>
          <t>Nº De Equipes</t>
        </is>
      </c>
      <c r="E5" s="55" t="n">
        <v>1</v>
      </c>
      <c r="F5" s="55" t="n">
        <v>1</v>
      </c>
      <c r="G5" s="55" t="n">
        <v>1</v>
      </c>
      <c r="H5" s="55" t="n">
        <v>1</v>
      </c>
      <c r="I5" s="55" t="n">
        <v>1</v>
      </c>
      <c r="J5" s="55" t="n">
        <v>1</v>
      </c>
      <c r="K5" s="55" t="n">
        <v>1</v>
      </c>
      <c r="L5" s="55" t="n">
        <v>1</v>
      </c>
      <c r="M5" s="55" t="n">
        <v>1</v>
      </c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  <c r="Z5" s="56" t="n"/>
      <c r="AA5" s="56" t="n"/>
      <c r="AB5" s="56" t="n"/>
      <c r="AC5" s="56" t="n"/>
      <c r="AD5" s="56" t="n"/>
      <c r="AE5" s="56" t="n"/>
    </row>
    <row r="6">
      <c r="A6" s="11" t="n"/>
      <c r="B6" s="11" t="n"/>
      <c r="C6" s="18" t="n"/>
      <c r="D6" s="54" t="inlineStr">
        <is>
          <t>Qtd. Planejada</t>
        </is>
      </c>
      <c r="E6" s="33" t="n">
        <v>30855.6</v>
      </c>
      <c r="F6" s="33" t="n">
        <v>36000</v>
      </c>
      <c r="G6" s="33" t="n">
        <v>30855.6</v>
      </c>
      <c r="H6" s="33" t="n">
        <v>2288.8</v>
      </c>
      <c r="I6" s="56" t="n"/>
      <c r="J6" s="56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  <c r="T6" s="56" t="n"/>
      <c r="U6" s="56" t="n"/>
      <c r="V6" s="56" t="n"/>
      <c r="W6" s="56" t="n"/>
      <c r="X6" s="56" t="n"/>
      <c r="Y6" s="56" t="n"/>
      <c r="Z6" s="56" t="n"/>
      <c r="AA6" s="56" t="n"/>
      <c r="AB6" s="56" t="n"/>
      <c r="AC6" s="56" t="n"/>
      <c r="AD6" s="56" t="n"/>
      <c r="AE6" s="56" t="n"/>
    </row>
    <row r="7">
      <c r="A7" s="11" t="n"/>
      <c r="B7" s="11" t="n"/>
      <c r="C7" s="18" t="n"/>
      <c r="D7" s="54" t="inlineStr">
        <is>
          <t>Qtd Plan. Acumulada</t>
        </is>
      </c>
      <c r="E7" s="33" t="n">
        <v>30855.6</v>
      </c>
      <c r="F7" s="33" t="n">
        <v>66855.60000000001</v>
      </c>
      <c r="G7" s="33" t="n">
        <v>97711.2</v>
      </c>
      <c r="H7" s="33" t="n">
        <v>100000</v>
      </c>
      <c r="I7" s="33" t="n">
        <v>100000</v>
      </c>
      <c r="J7" s="33" t="n">
        <v>100000</v>
      </c>
      <c r="K7" s="33" t="n">
        <v>100000</v>
      </c>
      <c r="L7" s="33" t="n">
        <v>100000</v>
      </c>
      <c r="M7" s="33" t="n">
        <v>100000</v>
      </c>
      <c r="N7" s="33" t="n">
        <v>100000</v>
      </c>
      <c r="O7" s="33" t="n">
        <v>100000</v>
      </c>
      <c r="P7" s="33" t="n">
        <v>100000</v>
      </c>
      <c r="Q7" s="33" t="n">
        <v>100000</v>
      </c>
      <c r="R7" s="33" t="n">
        <v>100000</v>
      </c>
      <c r="S7" s="33" t="n">
        <v>100000</v>
      </c>
      <c r="T7" s="33" t="n">
        <v>100000</v>
      </c>
      <c r="U7" s="33" t="n">
        <v>100000</v>
      </c>
      <c r="V7" s="33" t="n">
        <v>100000</v>
      </c>
      <c r="W7" s="33" t="n">
        <v>100000</v>
      </c>
      <c r="X7" s="33" t="n">
        <v>100000</v>
      </c>
      <c r="Y7" s="33" t="n">
        <v>100000</v>
      </c>
      <c r="Z7" s="33" t="n">
        <v>100000</v>
      </c>
      <c r="AA7" s="33" t="n">
        <v>100000</v>
      </c>
      <c r="AB7" s="33" t="n">
        <v>100000</v>
      </c>
      <c r="AC7" s="33" t="n">
        <v>100000</v>
      </c>
      <c r="AD7" s="33" t="n">
        <v>100000</v>
      </c>
      <c r="AE7" s="33" t="n">
        <v>100000</v>
      </c>
    </row>
    <row r="8">
      <c r="A8" s="11" t="n"/>
      <c r="B8" s="11" t="n"/>
      <c r="C8" s="18" t="n"/>
      <c r="D8" s="54" t="inlineStr">
        <is>
          <t>Eficiência</t>
        </is>
      </c>
      <c r="E8" s="57" t="n">
        <v>0.8571</v>
      </c>
      <c r="F8" s="57" t="n">
        <v>1</v>
      </c>
      <c r="G8" s="57" t="n">
        <v>0.8571</v>
      </c>
      <c r="H8" s="57" t="n">
        <v>0.7143</v>
      </c>
      <c r="I8" s="57" t="n">
        <v>0.8571</v>
      </c>
      <c r="J8" s="57" t="n">
        <v>0.7143</v>
      </c>
      <c r="K8" s="57" t="n">
        <v>0.8571</v>
      </c>
      <c r="L8" s="57" t="n">
        <v>0.5714</v>
      </c>
      <c r="M8" s="57" t="n">
        <v>0.7143</v>
      </c>
      <c r="N8" s="56" t="n"/>
      <c r="O8" s="56" t="n"/>
      <c r="P8" s="56" t="n"/>
      <c r="Q8" s="56" t="n"/>
      <c r="R8" s="56" t="n"/>
      <c r="S8" s="56" t="n"/>
      <c r="T8" s="56" t="n"/>
      <c r="U8" s="56" t="n"/>
      <c r="V8" s="56" t="n"/>
      <c r="W8" s="56" t="n"/>
      <c r="X8" s="56" t="n"/>
      <c r="Y8" s="56" t="n"/>
      <c r="Z8" s="56" t="n"/>
      <c r="AA8" s="56" t="n"/>
      <c r="AB8" s="56" t="n"/>
      <c r="AC8" s="56" t="n"/>
      <c r="AD8" s="56" t="n"/>
      <c r="AE8" s="56" t="n"/>
    </row>
    <row r="9">
      <c r="A9" s="58" t="inlineStr">
        <is>
          <t>eap-02</t>
        </is>
      </c>
      <c r="B9" s="58" t="inlineStr">
        <is>
          <t>Desmatamento e limpeza</t>
        </is>
      </c>
      <c r="C9" s="59" t="inlineStr">
        <is>
          <t>m2</t>
        </is>
      </c>
      <c r="D9" s="60" t="inlineStr">
        <is>
          <t>Dias Trabalhados</t>
        </is>
      </c>
      <c r="E9" s="61" t="n">
        <v>6</v>
      </c>
      <c r="F9" s="61" t="n">
        <v>6</v>
      </c>
      <c r="G9" s="61" t="n">
        <v>6</v>
      </c>
      <c r="H9" s="61" t="n">
        <v>6</v>
      </c>
      <c r="I9" s="62" t="n"/>
      <c r="J9" s="62" t="n"/>
      <c r="K9" s="62" t="n"/>
      <c r="L9" s="62" t="n"/>
      <c r="M9" s="62" t="n"/>
      <c r="N9" s="62" t="n"/>
      <c r="O9" s="62" t="n"/>
      <c r="P9" s="62" t="n"/>
      <c r="Q9" s="62" t="n"/>
      <c r="R9" s="62" t="n"/>
      <c r="S9" s="62" t="n"/>
      <c r="T9" s="62" t="n"/>
      <c r="U9" s="62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</row>
    <row r="10">
      <c r="A10" s="13" t="n"/>
      <c r="B10" s="13" t="n"/>
      <c r="C10" s="27" t="n"/>
      <c r="D10" s="63" t="inlineStr">
        <is>
          <t>Nº De Equipes</t>
        </is>
      </c>
      <c r="E10" s="64" t="n">
        <v>1</v>
      </c>
      <c r="F10" s="64" t="n">
        <v>1</v>
      </c>
      <c r="G10" s="64" t="n">
        <v>1</v>
      </c>
      <c r="H10" s="64" t="n">
        <v>1</v>
      </c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</row>
    <row r="11">
      <c r="A11" s="13" t="n"/>
      <c r="B11" s="13" t="n"/>
      <c r="C11" s="27" t="n"/>
      <c r="D11" s="63" t="inlineStr">
        <is>
          <t>Qtd. Planejada</t>
        </is>
      </c>
      <c r="E11" s="36" t="n">
        <v>30855.6</v>
      </c>
      <c r="F11" s="36" t="n">
        <v>19144.4</v>
      </c>
      <c r="G11" s="65" t="n"/>
      <c r="H11" s="65" t="n"/>
      <c r="I11" s="65" t="n"/>
      <c r="J11" s="65" t="n"/>
      <c r="K11" s="65" t="n"/>
      <c r="L11" s="65" t="n"/>
      <c r="M11" s="65" t="n"/>
      <c r="N11" s="65" t="n"/>
      <c r="O11" s="65" t="n"/>
      <c r="P11" s="65" t="n"/>
      <c r="Q11" s="65" t="n"/>
      <c r="R11" s="65" t="n"/>
      <c r="S11" s="65" t="n"/>
      <c r="T11" s="65" t="n"/>
      <c r="U11" s="65" t="n"/>
      <c r="V11" s="65" t="n"/>
      <c r="W11" s="65" t="n"/>
      <c r="X11" s="65" t="n"/>
      <c r="Y11" s="65" t="n"/>
      <c r="Z11" s="65" t="n"/>
      <c r="AA11" s="65" t="n"/>
      <c r="AB11" s="65" t="n"/>
      <c r="AC11" s="65" t="n"/>
      <c r="AD11" s="65" t="n"/>
      <c r="AE11" s="65" t="n"/>
    </row>
    <row r="12">
      <c r="A12" s="13" t="n"/>
      <c r="B12" s="13" t="n"/>
      <c r="C12" s="27" t="n"/>
      <c r="D12" s="63" t="inlineStr">
        <is>
          <t>Qtd Plan. Acumulada</t>
        </is>
      </c>
      <c r="E12" s="36" t="n">
        <v>30855.6</v>
      </c>
      <c r="F12" s="36" t="n">
        <v>50000</v>
      </c>
      <c r="G12" s="36" t="n">
        <v>50000</v>
      </c>
      <c r="H12" s="36" t="n">
        <v>50000</v>
      </c>
      <c r="I12" s="36" t="n">
        <v>50000</v>
      </c>
      <c r="J12" s="36" t="n">
        <v>50000</v>
      </c>
      <c r="K12" s="36" t="n">
        <v>50000</v>
      </c>
      <c r="L12" s="36" t="n">
        <v>50000</v>
      </c>
      <c r="M12" s="36" t="n">
        <v>50000</v>
      </c>
      <c r="N12" s="36" t="n">
        <v>50000</v>
      </c>
      <c r="O12" s="36" t="n">
        <v>50000</v>
      </c>
      <c r="P12" s="36" t="n">
        <v>50000</v>
      </c>
      <c r="Q12" s="36" t="n">
        <v>50000</v>
      </c>
      <c r="R12" s="36" t="n">
        <v>50000</v>
      </c>
      <c r="S12" s="36" t="n">
        <v>50000</v>
      </c>
      <c r="T12" s="36" t="n">
        <v>50000</v>
      </c>
      <c r="U12" s="36" t="n">
        <v>50000</v>
      </c>
      <c r="V12" s="36" t="n">
        <v>50000</v>
      </c>
      <c r="W12" s="36" t="n">
        <v>50000</v>
      </c>
      <c r="X12" s="36" t="n">
        <v>50000</v>
      </c>
      <c r="Y12" s="36" t="n">
        <v>50000</v>
      </c>
      <c r="Z12" s="36" t="n">
        <v>50000</v>
      </c>
      <c r="AA12" s="36" t="n">
        <v>50000</v>
      </c>
      <c r="AB12" s="36" t="n">
        <v>50000</v>
      </c>
      <c r="AC12" s="36" t="n">
        <v>50000</v>
      </c>
      <c r="AD12" s="36" t="n">
        <v>50000</v>
      </c>
      <c r="AE12" s="36" t="n">
        <v>50000</v>
      </c>
    </row>
    <row r="13">
      <c r="A13" s="13" t="n"/>
      <c r="B13" s="13" t="n"/>
      <c r="C13" s="27" t="n"/>
      <c r="D13" s="63" t="inlineStr">
        <is>
          <t>Eficiência</t>
        </is>
      </c>
      <c r="E13" s="66" t="n">
        <v>0.8571</v>
      </c>
      <c r="F13" s="66" t="n">
        <v>1</v>
      </c>
      <c r="G13" s="66" t="n">
        <v>0.8571</v>
      </c>
      <c r="H13" s="66" t="n">
        <v>0.7143</v>
      </c>
      <c r="I13" s="65" t="n"/>
      <c r="J13" s="65" t="n"/>
      <c r="K13" s="65" t="n"/>
      <c r="L13" s="65" t="n"/>
      <c r="M13" s="65" t="n"/>
      <c r="N13" s="65" t="n"/>
      <c r="O13" s="65" t="n"/>
      <c r="P13" s="65" t="n"/>
      <c r="Q13" s="65" t="n"/>
      <c r="R13" s="65" t="n"/>
      <c r="S13" s="65" t="n"/>
      <c r="T13" s="65" t="n"/>
      <c r="U13" s="65" t="n"/>
      <c r="V13" s="65" t="n"/>
      <c r="W13" s="65" t="n"/>
      <c r="X13" s="65" t="n"/>
      <c r="Y13" s="65" t="n"/>
      <c r="Z13" s="65" t="n"/>
      <c r="AA13" s="65" t="n"/>
      <c r="AB13" s="65" t="n"/>
      <c r="AC13" s="65" t="n"/>
      <c r="AD13" s="65" t="n"/>
      <c r="AE13" s="65" t="n"/>
    </row>
  </sheetData>
  <mergeCells count="1">
    <mergeCell ref="A1:A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4" ySplit="2" topLeftCell="E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CRONOGRAMA RESUMIDO — PRODUÇÃO MENSAL POR EAP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Total Qtd</t>
        </is>
      </c>
      <c r="E2" s="2" t="inlineStr">
        <is>
          <t>Dez/24</t>
        </is>
      </c>
      <c r="F2" s="2" t="inlineStr">
        <is>
          <t>Jan/25</t>
        </is>
      </c>
      <c r="G2" s="2" t="inlineStr">
        <is>
          <t>Fev/25</t>
        </is>
      </c>
      <c r="H2" s="2" t="inlineStr">
        <is>
          <t>Mar/25</t>
        </is>
      </c>
      <c r="I2" s="2" t="inlineStr">
        <is>
          <t>Abr/25</t>
        </is>
      </c>
      <c r="J2" s="2" t="inlineStr">
        <is>
          <t>Mai/25</t>
        </is>
      </c>
      <c r="K2" s="2" t="inlineStr">
        <is>
          <t>Jun/25</t>
        </is>
      </c>
    </row>
    <row r="3">
      <c r="A3" s="11" t="inlineStr">
        <is>
          <t>eap-01</t>
        </is>
      </c>
      <c r="B3" s="67" t="inlineStr">
        <is>
          <t>Supressão vegetal</t>
        </is>
      </c>
      <c r="C3" s="18" t="inlineStr">
        <is>
          <t>m2</t>
        </is>
      </c>
      <c r="D3" s="32" t="n">
        <v>100000</v>
      </c>
      <c r="E3" s="32" t="n">
        <v>30855.6</v>
      </c>
      <c r="F3" s="32" t="n">
        <v>69144.39999999999</v>
      </c>
      <c r="G3" s="12" t="n"/>
      <c r="H3" s="12" t="n"/>
      <c r="I3" s="12" t="n"/>
      <c r="J3" s="12" t="n"/>
      <c r="K3" s="12" t="n"/>
    </row>
    <row r="4">
      <c r="A4" s="13" t="inlineStr">
        <is>
          <t>eap-02</t>
        </is>
      </c>
      <c r="B4" s="68" t="inlineStr">
        <is>
          <t>Desmatamento e limpeza</t>
        </is>
      </c>
      <c r="C4" s="27" t="inlineStr">
        <is>
          <t>m2</t>
        </is>
      </c>
      <c r="D4" s="35" t="n">
        <v>50000</v>
      </c>
      <c r="E4" s="35" t="n">
        <v>30855.6</v>
      </c>
      <c r="F4" s="35" t="n">
        <v>19144.4</v>
      </c>
      <c r="G4" s="14" t="n"/>
      <c r="H4" s="14" t="n"/>
      <c r="I4" s="14" t="n"/>
      <c r="J4" s="14" t="n"/>
      <c r="K4" s="14" t="n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8" customWidth="1" min="4" max="4"/>
    <col width="6" customWidth="1" min="5" max="5"/>
    <col width="18" customWidth="1" min="6" max="6"/>
    <col width="10" customWidth="1" min="7" max="7"/>
    <col width="8" customWidth="1" min="8" max="8"/>
    <col width="18" customWidth="1" min="9" max="9"/>
  </cols>
  <sheetData>
    <row r="1">
      <c r="A1" s="1" t="inlineStr">
        <is>
          <t>EQUIPE — COMPOSIÇÃO DE RECURSOS DIRETOS POR ATIVIDADE</t>
        </is>
      </c>
    </row>
    <row r="2">
      <c r="A2" s="2" t="inlineStr">
        <is>
          <t>Item ID</t>
        </is>
      </c>
      <c r="B2" s="2" t="inlineStr">
        <is>
          <t>CPU ID</t>
        </is>
      </c>
      <c r="C2" s="2" t="inlineStr">
        <is>
          <t>Nome / Tipo</t>
        </is>
      </c>
      <c r="D2" s="2" t="inlineStr">
        <is>
          <t>Papel</t>
        </is>
      </c>
      <c r="E2" s="2" t="inlineStr">
        <is>
          <t>Qtd</t>
        </is>
      </c>
      <c r="F2" s="2" t="inlineStr">
        <is>
          <t>Custo Mensal (R$)</t>
        </is>
      </c>
      <c r="G2" s="2" t="inlineStr">
        <is>
          <t>Perm. (m)</t>
        </is>
      </c>
      <c r="H2" s="2" t="inlineStr">
        <is>
          <t>Nº Eq.</t>
        </is>
      </c>
      <c r="I2" s="2" t="inlineStr">
        <is>
          <t>Custo Total (R$)</t>
        </is>
      </c>
    </row>
    <row r="3">
      <c r="A3" s="9" t="inlineStr">
        <is>
          <t>eap-01 — Supressão vegetal</t>
        </is>
      </c>
    </row>
    <row r="4">
      <c r="A4" s="11" t="inlineStr">
        <is>
          <t>eap-01</t>
        </is>
      </c>
      <c r="B4" s="11" t="inlineStr">
        <is>
          <t>CPU-TERRA-ATI-003</t>
        </is>
      </c>
      <c r="C4" s="11" t="inlineStr">
        <is>
          <t>Operador de Escavadeira</t>
        </is>
      </c>
      <c r="D4" s="15" t="inlineStr">
        <is>
          <t>DIRETO</t>
        </is>
      </c>
      <c r="E4" s="16" t="n">
        <v>1</v>
      </c>
      <c r="F4" s="17" t="n">
        <v>12875</v>
      </c>
      <c r="G4" s="16" t="n">
        <v>2.07</v>
      </c>
      <c r="H4" s="16" t="n">
        <v>1</v>
      </c>
      <c r="I4" s="17" t="n">
        <v>26651.25</v>
      </c>
    </row>
    <row r="5">
      <c r="A5" s="11" t="inlineStr">
        <is>
          <t>eap-01</t>
        </is>
      </c>
      <c r="B5" s="11" t="inlineStr">
        <is>
          <t>CPU-TERRA-ATI-003</t>
        </is>
      </c>
      <c r="C5" s="11" t="inlineStr">
        <is>
          <t>Operador de Trator de Esteiras</t>
        </is>
      </c>
      <c r="D5" s="15" t="inlineStr">
        <is>
          <t>DIRETO</t>
        </is>
      </c>
      <c r="E5" s="16" t="n">
        <v>1</v>
      </c>
      <c r="F5" s="17" t="n">
        <v>12875</v>
      </c>
      <c r="G5" s="16" t="n">
        <v>2.07</v>
      </c>
      <c r="H5" s="16" t="n">
        <v>1</v>
      </c>
      <c r="I5" s="17" t="n">
        <v>26651.25</v>
      </c>
    </row>
    <row r="6">
      <c r="A6" s="11" t="inlineStr">
        <is>
          <t>eap-01</t>
        </is>
      </c>
      <c r="B6" s="11" t="inlineStr">
        <is>
          <t>CPU-TERRA-ATI-003</t>
        </is>
      </c>
      <c r="C6" s="11" t="inlineStr">
        <is>
          <t>Ajudante</t>
        </is>
      </c>
      <c r="D6" s="15" t="inlineStr">
        <is>
          <t>DIRETO</t>
        </is>
      </c>
      <c r="E6" s="16" t="n">
        <v>3</v>
      </c>
      <c r="F6" s="17" t="n">
        <v>15784.95</v>
      </c>
      <c r="G6" s="16" t="n">
        <v>2.07</v>
      </c>
      <c r="H6" s="16" t="n">
        <v>1</v>
      </c>
      <c r="I6" s="17" t="n">
        <v>32674.85</v>
      </c>
    </row>
    <row r="7">
      <c r="A7" s="11" t="inlineStr">
        <is>
          <t>eap-01</t>
        </is>
      </c>
      <c r="B7" s="11" t="inlineStr">
        <is>
          <t>EQ-E0016</t>
        </is>
      </c>
      <c r="C7" s="11" t="inlineStr">
        <is>
          <t>Escavadeira Hidráulica 22t [EQ]</t>
        </is>
      </c>
      <c r="D7" s="69" t="inlineStr">
        <is>
          <t>EQ</t>
        </is>
      </c>
      <c r="E7" s="16" t="n">
        <v>1</v>
      </c>
      <c r="F7" s="17" t="n">
        <v>35639.3</v>
      </c>
      <c r="G7" s="16" t="n">
        <v>2.07</v>
      </c>
      <c r="H7" s="16" t="n">
        <v>1</v>
      </c>
      <c r="I7" s="17" t="n">
        <v>73773.35000000001</v>
      </c>
    </row>
    <row r="8">
      <c r="A8" s="11" t="inlineStr">
        <is>
          <t>eap-01</t>
        </is>
      </c>
      <c r="B8" s="11" t="inlineStr">
        <is>
          <t>EQ-E0024</t>
        </is>
      </c>
      <c r="C8" s="11" t="inlineStr">
        <is>
          <t>Trator de Esteiras 20t (300HP) [EQ]</t>
        </is>
      </c>
      <c r="D8" s="69" t="inlineStr">
        <is>
          <t>EQ</t>
        </is>
      </c>
      <c r="E8" s="16" t="n">
        <v>1</v>
      </c>
      <c r="F8" s="17" t="n">
        <v>49477.12</v>
      </c>
      <c r="G8" s="16" t="n">
        <v>2.07</v>
      </c>
      <c r="H8" s="16" t="n">
        <v>1</v>
      </c>
      <c r="I8" s="17" t="n">
        <v>102417.64</v>
      </c>
    </row>
    <row r="9">
      <c r="A9" s="11" t="inlineStr">
        <is>
          <t>eap-01</t>
        </is>
      </c>
      <c r="B9" s="11" t="inlineStr">
        <is>
          <t>EQ-E0024</t>
        </is>
      </c>
      <c r="C9" s="19" t="inlineStr">
        <is>
          <t>Diesel — Trator de Esteiras 20t (300HP)</t>
        </is>
      </c>
      <c r="D9" s="70" t="inlineStr">
        <is>
          <t>COMB</t>
        </is>
      </c>
      <c r="E9" s="16" t="n">
        <v>1</v>
      </c>
      <c r="F9" s="17" t="n">
        <v>22957.71</v>
      </c>
      <c r="G9" s="16" t="n">
        <v>2.07</v>
      </c>
      <c r="H9" s="16" t="n">
        <v>1</v>
      </c>
      <c r="I9" s="17" t="n">
        <v>47522.46</v>
      </c>
    </row>
    <row r="10">
      <c r="A10" s="20" t="inlineStr">
        <is>
          <t>Subtotal eap-01</t>
        </is>
      </c>
      <c r="B10" s="21" t="n"/>
      <c r="C10" s="21" t="n"/>
      <c r="D10" s="21" t="n"/>
      <c r="E10" s="21" t="n"/>
      <c r="F10" s="21" t="n"/>
      <c r="G10" s="21" t="n"/>
      <c r="H10" s="21" t="n"/>
      <c r="I10" s="22" t="n">
        <v>299871.75</v>
      </c>
    </row>
    <row r="11">
      <c r="A11" s="9" t="inlineStr">
        <is>
          <t>eap-02 — Desmatamento e limpeza</t>
        </is>
      </c>
    </row>
    <row r="12">
      <c r="A12" s="13" t="inlineStr">
        <is>
          <t>eap-02</t>
        </is>
      </c>
      <c r="B12" s="13" t="inlineStr">
        <is>
          <t>CPU-TERRA-ATI-003</t>
        </is>
      </c>
      <c r="C12" s="13" t="inlineStr">
        <is>
          <t>Operador de Escavadeira</t>
        </is>
      </c>
      <c r="D12" s="24" t="inlineStr">
        <is>
          <t>DIRETO</t>
        </is>
      </c>
      <c r="E12" s="25" t="n">
        <v>1</v>
      </c>
      <c r="F12" s="26" t="n">
        <v>12875</v>
      </c>
      <c r="G12" s="25" t="n">
        <v>0.92</v>
      </c>
      <c r="H12" s="25" t="n">
        <v>1</v>
      </c>
      <c r="I12" s="26" t="n">
        <v>11845</v>
      </c>
    </row>
    <row r="13">
      <c r="A13" s="13" t="inlineStr">
        <is>
          <t>eap-02</t>
        </is>
      </c>
      <c r="B13" s="13" t="inlineStr">
        <is>
          <t>CPU-TERRA-ATI-003</t>
        </is>
      </c>
      <c r="C13" s="13" t="inlineStr">
        <is>
          <t>Operador de Trator de Esteiras</t>
        </is>
      </c>
      <c r="D13" s="24" t="inlineStr">
        <is>
          <t>DIRETO</t>
        </is>
      </c>
      <c r="E13" s="25" t="n">
        <v>1</v>
      </c>
      <c r="F13" s="26" t="n">
        <v>12875</v>
      </c>
      <c r="G13" s="25" t="n">
        <v>0.92</v>
      </c>
      <c r="H13" s="25" t="n">
        <v>1</v>
      </c>
      <c r="I13" s="26" t="n">
        <v>11845</v>
      </c>
    </row>
    <row r="14">
      <c r="A14" s="13" t="inlineStr">
        <is>
          <t>eap-02</t>
        </is>
      </c>
      <c r="B14" s="13" t="inlineStr">
        <is>
          <t>CPU-TERRA-ATI-003</t>
        </is>
      </c>
      <c r="C14" s="13" t="inlineStr">
        <is>
          <t>Ajudante</t>
        </is>
      </c>
      <c r="D14" s="24" t="inlineStr">
        <is>
          <t>DIRETO</t>
        </is>
      </c>
      <c r="E14" s="25" t="n">
        <v>3</v>
      </c>
      <c r="F14" s="26" t="n">
        <v>15784.95</v>
      </c>
      <c r="G14" s="25" t="n">
        <v>0.92</v>
      </c>
      <c r="H14" s="25" t="n">
        <v>1</v>
      </c>
      <c r="I14" s="26" t="n">
        <v>14522.15</v>
      </c>
    </row>
    <row r="15">
      <c r="A15" s="13" t="inlineStr">
        <is>
          <t>eap-02</t>
        </is>
      </c>
      <c r="B15" s="13" t="inlineStr">
        <is>
          <t>EQ-E0016</t>
        </is>
      </c>
      <c r="C15" s="13" t="inlineStr">
        <is>
          <t>Escavadeira Hidráulica 22t [EQ]</t>
        </is>
      </c>
      <c r="D15" s="71" t="inlineStr">
        <is>
          <t>EQ</t>
        </is>
      </c>
      <c r="E15" s="25" t="n">
        <v>1</v>
      </c>
      <c r="F15" s="26" t="n">
        <v>35639.3</v>
      </c>
      <c r="G15" s="25" t="n">
        <v>0.92</v>
      </c>
      <c r="H15" s="25" t="n">
        <v>1</v>
      </c>
      <c r="I15" s="26" t="n">
        <v>32788.16</v>
      </c>
    </row>
    <row r="16">
      <c r="A16" s="13" t="inlineStr">
        <is>
          <t>eap-02</t>
        </is>
      </c>
      <c r="B16" s="13" t="inlineStr">
        <is>
          <t>EQ-E0024</t>
        </is>
      </c>
      <c r="C16" s="13" t="inlineStr">
        <is>
          <t>Trator de Esteiras 20t (300HP) [EQ]</t>
        </is>
      </c>
      <c r="D16" s="71" t="inlineStr">
        <is>
          <t>EQ</t>
        </is>
      </c>
      <c r="E16" s="25" t="n">
        <v>1</v>
      </c>
      <c r="F16" s="26" t="n">
        <v>49477.12</v>
      </c>
      <c r="G16" s="25" t="n">
        <v>0.92</v>
      </c>
      <c r="H16" s="25" t="n">
        <v>1</v>
      </c>
      <c r="I16" s="26" t="n">
        <v>45518.95</v>
      </c>
    </row>
    <row r="17">
      <c r="A17" s="13" t="inlineStr">
        <is>
          <t>eap-02</t>
        </is>
      </c>
      <c r="B17" s="13" t="inlineStr">
        <is>
          <t>EQ-E0024</t>
        </is>
      </c>
      <c r="C17" s="28" t="inlineStr">
        <is>
          <t>Diesel — Trator de Esteiras 20t (300HP)</t>
        </is>
      </c>
      <c r="D17" s="72" t="inlineStr">
        <is>
          <t>COMB</t>
        </is>
      </c>
      <c r="E17" s="25" t="n">
        <v>1</v>
      </c>
      <c r="F17" s="26" t="n">
        <v>22957.71</v>
      </c>
      <c r="G17" s="25" t="n">
        <v>0.92</v>
      </c>
      <c r="H17" s="25" t="n">
        <v>1</v>
      </c>
      <c r="I17" s="26" t="n">
        <v>21121.09</v>
      </c>
    </row>
    <row r="18">
      <c r="A18" s="20" t="inlineStr">
        <is>
          <t>Subtotal eap-02</t>
        </is>
      </c>
      <c r="B18" s="21" t="n"/>
      <c r="C18" s="21" t="n"/>
      <c r="D18" s="21" t="n"/>
      <c r="E18" s="21" t="n"/>
      <c r="F18" s="21" t="n"/>
      <c r="G18" s="21" t="n"/>
      <c r="H18" s="21" t="n"/>
      <c r="I18" s="22" t="n">
        <v>134617.29</v>
      </c>
    </row>
    <row r="20">
      <c r="A20" s="29" t="inlineStr">
        <is>
          <t>TOTAL EQUIPES DIRETAS</t>
        </is>
      </c>
      <c r="I20" s="30">
        <f>I10+I18</f>
        <v/>
      </c>
    </row>
  </sheetData>
  <mergeCells count="4">
    <mergeCell ref="A1:I1"/>
    <mergeCell ref="A20:H20"/>
    <mergeCell ref="A3:I3"/>
    <mergeCell ref="A11:I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PONTO DE EQUILÍBRIO — CUSTO FIXO vs PREÇO DE VENDA (CPU)</t>
        </is>
      </c>
    </row>
    <row r="2">
      <c r="A2" s="2" t="inlineStr">
        <is>
          <t>Item ID</t>
        </is>
      </c>
      <c r="B2" s="2" t="inlineStr">
        <is>
          <t>CPU ID</t>
        </is>
      </c>
      <c r="C2" s="2" t="inlineStr">
        <is>
          <t>Custo Fixo Equipe (R$)</t>
        </is>
      </c>
      <c r="D2" s="2" t="inlineStr">
        <is>
          <t>Preço Venda CPU (R$)</t>
        </is>
      </c>
      <c r="E2" s="2" t="inlineStr">
        <is>
          <t>Delta (R$)</t>
        </is>
      </c>
      <c r="F2" s="2" t="inlineStr">
        <is>
          <t>Status</t>
        </is>
      </c>
    </row>
    <row r="3">
      <c r="A3" s="73" t="inlineStr">
        <is>
          <t>eap-01</t>
        </is>
      </c>
      <c r="B3" s="73" t="inlineStr">
        <is>
          <t>CPU-TERRA-ATI-003</t>
        </is>
      </c>
      <c r="C3" s="74" t="n">
        <v>299883.74</v>
      </c>
      <c r="D3" s="74" t="n">
        <v>117499.03</v>
      </c>
      <c r="E3" s="75" t="n">
        <v>-182384.71</v>
      </c>
      <c r="F3" s="76" t="inlineStr">
        <is>
          <t>ERRO</t>
        </is>
      </c>
    </row>
    <row r="4">
      <c r="A4" s="73" t="inlineStr">
        <is>
          <t>eap-02</t>
        </is>
      </c>
      <c r="B4" s="73" t="inlineStr">
        <is>
          <t>CPU-TERRA-ATI-003</t>
        </is>
      </c>
      <c r="C4" s="74" t="n">
        <v>134622.68</v>
      </c>
      <c r="D4" s="74" t="n">
        <v>58749.52</v>
      </c>
      <c r="E4" s="75" t="n">
        <v>-75873.16</v>
      </c>
      <c r="F4" s="76" t="inlineStr">
        <is>
          <t>ERRO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</cols>
  <sheetData>
    <row r="1">
      <c r="A1" s="1" t="inlineStr">
        <is>
          <t>RESULTADO FINANCEIRO — MENDESLOBO CONSTRUTORA</t>
        </is>
      </c>
    </row>
    <row r="3">
      <c r="A3" s="9" t="inlineStr">
        <is>
          <t>PROJETO</t>
        </is>
      </c>
    </row>
    <row r="4">
      <c r="A4" s="11" t="inlineStr">
        <is>
          <t>Nome</t>
        </is>
      </c>
      <c r="B4" s="11" t="inlineStr">
        <is>
          <t>ROSH</t>
        </is>
      </c>
      <c r="C4" s="12" t="n"/>
    </row>
    <row r="5">
      <c r="A5" s="13" t="inlineStr">
        <is>
          <t>Tipo de obra</t>
        </is>
      </c>
      <c r="B5" s="13" t="inlineStr">
        <is>
          <t>terraplenagem</t>
        </is>
      </c>
      <c r="C5" s="14" t="n"/>
    </row>
    <row r="6">
      <c r="A6" s="11" t="inlineStr">
        <is>
          <t>Localização</t>
        </is>
      </c>
      <c r="B6" s="11" t="inlineStr">
        <is>
          <t>Brasil</t>
        </is>
      </c>
      <c r="C6" s="12" t="n"/>
    </row>
    <row r="7">
      <c r="A7" s="13" t="inlineStr">
        <is>
          <t>Período</t>
        </is>
      </c>
      <c r="B7" s="13" t="inlineStr">
        <is>
          <t>2024-12-30 -&gt; 2025-07-06</t>
        </is>
      </c>
      <c r="C7" s="14" t="n"/>
    </row>
    <row r="8">
      <c r="A8" s="11" t="inlineStr">
        <is>
          <t>Regime</t>
        </is>
      </c>
      <c r="B8" s="11" t="inlineStr">
        <is>
          <t>6 dias/sem · 8 h/dia</t>
        </is>
      </c>
      <c r="C8" s="12" t="n"/>
    </row>
    <row r="10">
      <c r="A10" s="9" t="inlineStr">
        <is>
          <t>RECEITA CONTRATUAL (COM BDI)</t>
        </is>
      </c>
    </row>
    <row r="11">
      <c r="A11" s="13" t="inlineStr">
        <is>
          <t>Preço de venda s/ BDI</t>
        </is>
      </c>
      <c r="B11" s="26">
        <f>PLANEJAMENTO!$I$6</f>
        <v/>
      </c>
      <c r="C11" s="14" t="n"/>
    </row>
    <row r="12">
      <c r="A12" s="77" t="inlineStr">
        <is>
          <t>Preço de venda c/ BDI</t>
        </is>
      </c>
      <c r="B12" s="78">
        <f>PLANEJAMENTO!$N$6</f>
        <v/>
      </c>
      <c r="C12" s="12" t="n"/>
    </row>
    <row r="14">
      <c r="A14" s="9" t="inlineStr">
        <is>
          <t>CUSTOS</t>
        </is>
      </c>
    </row>
    <row r="15">
      <c r="A15" s="13" t="inlineStr">
        <is>
          <t>Custo direto (equipes)</t>
        </is>
      </c>
      <c r="B15" s="26">
        <f>'DIRETOS.DET'!$I$20</f>
        <v/>
      </c>
      <c r="C15" s="14" t="n"/>
    </row>
    <row r="16">
      <c r="A16" s="11" t="inlineStr">
        <is>
          <t xml:space="preserve">  ADM</t>
        </is>
      </c>
      <c r="B16" s="17">
        <f>'INDIRETOS.DET'!$H$5</f>
        <v/>
      </c>
      <c r="C16" s="12" t="n"/>
    </row>
    <row r="17">
      <c r="A17" s="13" t="inlineStr">
        <is>
          <t xml:space="preserve">  TOP</t>
        </is>
      </c>
      <c r="B17" s="26">
        <f>'INDIRETOS.DET'!$H$8</f>
        <v/>
      </c>
      <c r="C17" s="14" t="n"/>
    </row>
    <row r="18">
      <c r="A18" s="11" t="inlineStr">
        <is>
          <t xml:space="preserve">  LAB</t>
        </is>
      </c>
      <c r="B18" s="17">
        <f>'INDIRETOS.DET'!$H$11</f>
        <v/>
      </c>
      <c r="C18" s="12" t="n"/>
    </row>
    <row r="19">
      <c r="A19" s="13" t="inlineStr">
        <is>
          <t xml:space="preserve">  QSMS</t>
        </is>
      </c>
      <c r="B19" s="26">
        <f>'INDIRETOS.DET'!$H$14</f>
        <v/>
      </c>
      <c r="C19" s="14" t="n"/>
    </row>
    <row r="20">
      <c r="A20" s="11" t="inlineStr">
        <is>
          <t xml:space="preserve">  MOB</t>
        </is>
      </c>
      <c r="B20" s="17">
        <f>'INDIRETOS.DET'!$H$17</f>
        <v/>
      </c>
      <c r="C20" s="12" t="n"/>
    </row>
    <row r="21">
      <c r="A21" s="13" t="inlineStr">
        <is>
          <t>Custo indireto (subtotal)</t>
        </is>
      </c>
      <c r="B21" s="26">
        <f>'INDIRETOS.DET'!$H$19</f>
        <v/>
      </c>
      <c r="C21" s="14" t="n"/>
    </row>
    <row r="22">
      <c r="A22" s="77" t="inlineStr">
        <is>
          <t>CUSTO TOTAL</t>
        </is>
      </c>
      <c r="B22" s="78">
        <f>B15+B21</f>
        <v/>
      </c>
      <c r="C22" s="12" t="n"/>
    </row>
    <row r="24">
      <c r="A24" s="9" t="inlineStr">
        <is>
          <t>RESULTADO</t>
        </is>
      </c>
    </row>
    <row r="25">
      <c r="A25" s="79" t="inlineStr">
        <is>
          <t>Resultado bruto (R$)</t>
        </is>
      </c>
      <c r="B25" s="80">
        <f>B12-B22</f>
        <v/>
      </c>
      <c r="C25" s="14" t="n"/>
    </row>
    <row r="26">
      <c r="A26" s="77" t="inlineStr">
        <is>
          <t>Margem bruta (%)</t>
        </is>
      </c>
      <c r="B26" s="81">
        <f>IF(B12&gt;0, B25/B12, 0)</f>
        <v/>
      </c>
      <c r="C26" s="12" t="n"/>
    </row>
    <row r="28">
      <c r="A28" s="82" t="inlineStr">
        <is>
          <t>STATUS: VERMELHO</t>
        </is>
      </c>
    </row>
    <row r="30">
      <c r="A30" s="9" t="inlineStr">
        <is>
          <t>COMPOSIÇÃO DE CUSTO</t>
        </is>
      </c>
    </row>
    <row r="31">
      <c r="A31" s="13" t="inlineStr">
        <is>
          <t>Total Direto (catálogo s/BDI)</t>
        </is>
      </c>
      <c r="B31" s="26">
        <f>PLANEJAMENTO!$I$6</f>
        <v/>
      </c>
      <c r="C31" s="14" t="n"/>
    </row>
    <row r="32">
      <c r="A32" s="11" t="inlineStr">
        <is>
          <t>Total Direto (c/BDI)</t>
        </is>
      </c>
      <c r="B32" s="17">
        <f>PLANEJAMENTO!$N$6</f>
        <v/>
      </c>
      <c r="C32" s="12" t="n"/>
    </row>
    <row r="33">
      <c r="A33" s="13" t="inlineStr">
        <is>
          <t>RAZÃO CI / CD (%)</t>
        </is>
      </c>
      <c r="B33" s="83" t="n">
        <v>2204.87</v>
      </c>
      <c r="C33" s="14" t="n"/>
    </row>
    <row r="34">
      <c r="A34" s="11" t="inlineStr">
        <is>
          <t>CI / PVT (%)</t>
        </is>
      </c>
      <c r="B34" s="84" t="n">
        <v>70.76000000000001</v>
      </c>
      <c r="C34" s="12" t="n"/>
    </row>
    <row r="36">
      <c r="A36" s="9" t="inlineStr">
        <is>
          <t>CAPITAL DE GIRO</t>
        </is>
      </c>
    </row>
    <row r="37">
      <c r="A37" s="13" t="inlineStr">
        <is>
          <t>Exposição máxima</t>
        </is>
      </c>
      <c r="B37" s="85" t="n">
        <v>864186.4341478439</v>
      </c>
      <c r="C37" s="14" t="n"/>
    </row>
    <row r="38">
      <c r="A38" s="11" t="inlineStr">
        <is>
          <t>Parcela mensal (meses 2 a n)</t>
        </is>
      </c>
      <c r="B38" s="17" t="n">
        <v>583342</v>
      </c>
      <c r="C38" s="12" t="n"/>
    </row>
    <row r="39">
      <c r="A39" s="13" t="inlineStr">
        <is>
          <t>Resíduo (mês n+1)</t>
        </is>
      </c>
      <c r="B39" s="26" t="n">
        <v>583347.73</v>
      </c>
      <c r="C39" s="14" t="n"/>
    </row>
    <row r="40">
      <c r="A40" s="11" t="inlineStr">
        <is>
          <t>Duração da execução (meses)</t>
        </is>
      </c>
      <c r="B40" s="11" t="n">
        <v>7</v>
      </c>
      <c r="C40" s="12" t="n"/>
    </row>
  </sheetData>
  <mergeCells count="8">
    <mergeCell ref="A10:C10"/>
    <mergeCell ref="A28:C28"/>
    <mergeCell ref="A36:C36"/>
    <mergeCell ref="A1:C1"/>
    <mergeCell ref="A14:C14"/>
    <mergeCell ref="A3:C3"/>
    <mergeCell ref="A30:C30"/>
    <mergeCell ref="A24:C2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FLUXO DE CAIXA — ACOMPANHAMENTO MENSAL</t>
        </is>
      </c>
    </row>
    <row r="2">
      <c r="A2" s="2" t="inlineStr">
        <is>
          <t>Mês</t>
        </is>
      </c>
      <c r="B2" s="2" t="inlineStr">
        <is>
          <t>Despesa (R$)</t>
        </is>
      </c>
      <c r="C2" s="2" t="inlineStr">
        <is>
          <t>Receita (R$)</t>
        </is>
      </c>
      <c r="D2" s="2" t="inlineStr">
        <is>
          <t>Rec. Acumulada (R$)</t>
        </is>
      </c>
      <c r="E2" s="2" t="inlineStr">
        <is>
          <t>Saldo do Mês (R$)</t>
        </is>
      </c>
      <c r="F2" s="2" t="inlineStr">
        <is>
          <t>Saldo Atual (R$)</t>
        </is>
      </c>
      <c r="G2" s="2" t="inlineStr">
        <is>
          <t>Exposição Acum. (R$)</t>
        </is>
      </c>
    </row>
    <row r="3">
      <c r="A3" s="18" t="inlineStr">
        <is>
          <t>Dez/24</t>
        </is>
      </c>
      <c r="B3" s="17" t="n">
        <v>599104.38</v>
      </c>
      <c r="C3" s="17" t="n">
        <v>0</v>
      </c>
      <c r="D3" s="17" t="n">
        <v>0</v>
      </c>
      <c r="E3" s="86" t="n">
        <v>-599104.38</v>
      </c>
      <c r="F3" s="86" t="n">
        <v>-599104.38</v>
      </c>
      <c r="G3" s="86" t="n">
        <v>599104.38</v>
      </c>
    </row>
    <row r="4">
      <c r="A4" s="27" t="inlineStr">
        <is>
          <t>Jan/25</t>
        </is>
      </c>
      <c r="B4" s="26" t="n">
        <v>766362.03</v>
      </c>
      <c r="C4" s="26" t="n">
        <v>583342</v>
      </c>
      <c r="D4" s="26" t="n">
        <v>583342</v>
      </c>
      <c r="E4" s="86" t="n">
        <v>-183020.03</v>
      </c>
      <c r="F4" s="86" t="n">
        <v>-782124.4</v>
      </c>
      <c r="G4" s="86" t="n">
        <v>782124.4</v>
      </c>
    </row>
    <row r="5">
      <c r="A5" s="18" t="inlineStr">
        <is>
          <t>Fev/25</t>
        </is>
      </c>
      <c r="B5" s="17" t="n">
        <v>665404.03</v>
      </c>
      <c r="C5" s="17" t="n">
        <v>583342</v>
      </c>
      <c r="D5" s="17" t="n">
        <v>1166684</v>
      </c>
      <c r="E5" s="86" t="n">
        <v>-82062.03</v>
      </c>
      <c r="F5" s="86" t="n">
        <v>-864186.4300000001</v>
      </c>
      <c r="G5" s="86" t="n">
        <v>864186.4300000001</v>
      </c>
    </row>
    <row r="6">
      <c r="A6" s="27" t="inlineStr">
        <is>
          <t>Mar/25</t>
        </is>
      </c>
      <c r="B6" s="26" t="n">
        <v>532134.27</v>
      </c>
      <c r="C6" s="26" t="n">
        <v>583342</v>
      </c>
      <c r="D6" s="26" t="n">
        <v>1750026</v>
      </c>
      <c r="E6" s="87" t="n">
        <v>51207.73</v>
      </c>
      <c r="F6" s="86" t="n">
        <v>-812978.7</v>
      </c>
      <c r="G6" s="86" t="n">
        <v>812978.7</v>
      </c>
    </row>
    <row r="7">
      <c r="A7" s="18" t="inlineStr">
        <is>
          <t>Abr/25</t>
        </is>
      </c>
      <c r="B7" s="17" t="n">
        <v>532134.27</v>
      </c>
      <c r="C7" s="17" t="n">
        <v>583342</v>
      </c>
      <c r="D7" s="17" t="n">
        <v>2333368</v>
      </c>
      <c r="E7" s="87" t="n">
        <v>51207.73</v>
      </c>
      <c r="F7" s="86" t="n">
        <v>-761770.97</v>
      </c>
      <c r="G7" s="86" t="n">
        <v>761770.97</v>
      </c>
    </row>
    <row r="8">
      <c r="A8" s="27" t="inlineStr">
        <is>
          <t>Mai/25</t>
        </is>
      </c>
      <c r="B8" s="26" t="n">
        <v>532134.27</v>
      </c>
      <c r="C8" s="26" t="n">
        <v>583342</v>
      </c>
      <c r="D8" s="26" t="n">
        <v>2916710</v>
      </c>
      <c r="E8" s="87" t="n">
        <v>51207.73</v>
      </c>
      <c r="F8" s="86" t="n">
        <v>-710563.24</v>
      </c>
      <c r="G8" s="86" t="n">
        <v>710563.24</v>
      </c>
    </row>
    <row r="9">
      <c r="A9" s="18" t="inlineStr">
        <is>
          <t>Jun/25</t>
        </is>
      </c>
      <c r="B9" s="17" t="n">
        <v>0</v>
      </c>
      <c r="C9" s="17" t="n">
        <v>583342</v>
      </c>
      <c r="D9" s="17" t="n">
        <v>3500052</v>
      </c>
      <c r="E9" s="87" t="n">
        <v>583342</v>
      </c>
      <c r="F9" s="86" t="n">
        <v>-127221.24</v>
      </c>
      <c r="G9" s="86" t="n">
        <v>127221.24</v>
      </c>
    </row>
    <row r="10">
      <c r="A10" s="27" t="inlineStr">
        <is>
          <t>Jul/25</t>
        </is>
      </c>
      <c r="B10" s="26" t="n">
        <v>0</v>
      </c>
      <c r="C10" s="26" t="n">
        <v>583347.73</v>
      </c>
      <c r="D10" s="26" t="n">
        <v>4083399.73</v>
      </c>
      <c r="E10" s="87" t="n">
        <v>583347.73</v>
      </c>
      <c r="F10" s="87" t="n">
        <v>456126.49</v>
      </c>
      <c r="G10" s="87" t="n">
        <v>-456126.49</v>
      </c>
    </row>
    <row r="12">
      <c r="A12" s="88" t="inlineStr">
        <is>
          <t>TOTAL</t>
        </is>
      </c>
      <c r="B12" s="30" t="n">
        <v>3627273.24</v>
      </c>
      <c r="C12" s="30" t="n">
        <v>4083399.73</v>
      </c>
      <c r="D12" s="30" t="n">
        <v>4083399.73</v>
      </c>
      <c r="E12" s="89" t="n">
        <v>456126.49</v>
      </c>
      <c r="F12" s="89" t="n">
        <v>456126.49</v>
      </c>
      <c r="G12" s="37" t="n"/>
    </row>
    <row r="15">
      <c r="A15" s="9" t="inlineStr">
        <is>
          <t>MÉTRICAS DO FLUXO DE CAIXA</t>
        </is>
      </c>
    </row>
    <row r="16">
      <c r="A16" s="38" t="inlineStr">
        <is>
          <t>Duração da execução (meses)</t>
        </is>
      </c>
      <c r="B16" s="39" t="n"/>
      <c r="C16" s="90" t="n">
        <v>7</v>
      </c>
      <c r="D16" s="41" t="n"/>
      <c r="E16" s="41" t="n"/>
      <c r="F16" s="41" t="n"/>
      <c r="G16" s="39" t="n"/>
    </row>
    <row r="17">
      <c r="A17" s="38" t="inlineStr">
        <is>
          <t>Parcela mensal (meses 2 a n)</t>
        </is>
      </c>
      <c r="B17" s="39" t="n"/>
      <c r="C17" s="90" t="n">
        <v>583342</v>
      </c>
      <c r="D17" s="41" t="n"/>
      <c r="E17" s="41" t="n"/>
      <c r="F17" s="41" t="n"/>
      <c r="G17" s="39" t="n"/>
    </row>
    <row r="18">
      <c r="A18" s="38" t="inlineStr">
        <is>
          <t>Resíduo (mês n+1)</t>
        </is>
      </c>
      <c r="B18" s="39" t="n"/>
      <c r="C18" s="91" t="n">
        <v>583347.73</v>
      </c>
      <c r="D18" s="41" t="n"/>
      <c r="E18" s="41" t="n"/>
      <c r="F18" s="41" t="n"/>
      <c r="G18" s="39" t="n"/>
    </row>
    <row r="19">
      <c r="A19" s="38" t="inlineStr">
        <is>
          <t>Exposição máxima</t>
        </is>
      </c>
      <c r="B19" s="39" t="n"/>
      <c r="C19" s="75" t="n">
        <v>864186.4341478439</v>
      </c>
      <c r="D19" s="41" t="n"/>
      <c r="E19" s="41" t="n"/>
      <c r="F19" s="41" t="n"/>
      <c r="G19" s="39" t="n"/>
    </row>
    <row r="20">
      <c r="A20" s="38" t="inlineStr">
        <is>
          <t>Mês da exposição máxima</t>
        </is>
      </c>
      <c r="B20" s="39" t="n"/>
      <c r="C20" s="90" t="inlineStr">
        <is>
          <t>Fev/25</t>
        </is>
      </c>
      <c r="D20" s="41" t="n"/>
      <c r="E20" s="41" t="n"/>
      <c r="F20" s="41" t="n"/>
      <c r="G20" s="39" t="n"/>
    </row>
    <row r="21">
      <c r="A21" s="38" t="inlineStr">
        <is>
          <t>Saldo final do projeto</t>
        </is>
      </c>
      <c r="B21" s="39" t="n"/>
      <c r="C21" s="91" t="n">
        <v>456126.4858521563</v>
      </c>
      <c r="D21" s="41" t="n"/>
      <c r="E21" s="41" t="n"/>
      <c r="F21" s="41" t="n"/>
      <c r="G21" s="39" t="n"/>
    </row>
    <row r="23" ht="36" customHeight="1">
      <c r="A23" s="92" t="inlineStr">
        <is>
          <t>Mês 1: receita = 0.  Meses 2..n: ⌊M/n⌋ cada.  Mês n+1: resíduo M − ⌊M/n⌋×(n−1).  Saldo Atual = Rec. Acumulada − Desp. Acumulada.  Exposição Acum. = −Saldo Atual (positivo = empresa precisa de capital de giro).</t>
        </is>
      </c>
    </row>
  </sheetData>
  <mergeCells count="15">
    <mergeCell ref="A20:B20"/>
    <mergeCell ref="A21:B21"/>
    <mergeCell ref="A16:B16"/>
    <mergeCell ref="A1:G1"/>
    <mergeCell ref="C20:G20"/>
    <mergeCell ref="C21:G21"/>
    <mergeCell ref="C16:G16"/>
    <mergeCell ref="A19:B19"/>
    <mergeCell ref="C19:G19"/>
    <mergeCell ref="A15:G15"/>
    <mergeCell ref="A17:B17"/>
    <mergeCell ref="A18:B18"/>
    <mergeCell ref="C18:G18"/>
    <mergeCell ref="C17:G17"/>
    <mergeCell ref="A23:G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HISTOGRAMA DE EQUIPAMENTOS — DEMANDA SEMANAL (UN.)</t>
        </is>
      </c>
    </row>
    <row r="2">
      <c r="A2" s="2" t="inlineStr">
        <is>
          <t>Equip.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30/Dez</t>
        </is>
      </c>
      <c r="E2" s="2" t="inlineStr">
        <is>
          <t>06/Jan</t>
        </is>
      </c>
      <c r="F2" s="2" t="inlineStr">
        <is>
          <t>13/Jan</t>
        </is>
      </c>
      <c r="G2" s="2" t="inlineStr">
        <is>
          <t>20/Jan</t>
        </is>
      </c>
      <c r="H2" s="2" t="inlineStr">
        <is>
          <t>27/Jan</t>
        </is>
      </c>
      <c r="I2" s="2" t="inlineStr">
        <is>
          <t>03/Fev</t>
        </is>
      </c>
      <c r="J2" s="2" t="inlineStr">
        <is>
          <t>10/Fev</t>
        </is>
      </c>
      <c r="K2" s="2" t="inlineStr">
        <is>
          <t>17/Fev</t>
        </is>
      </c>
      <c r="L2" s="2" t="inlineStr">
        <is>
          <t>24/Fev</t>
        </is>
      </c>
      <c r="M2" s="2" t="inlineStr">
        <is>
          <t>03/Mar</t>
        </is>
      </c>
      <c r="N2" s="2" t="inlineStr">
        <is>
          <t>10/Mar</t>
        </is>
      </c>
      <c r="O2" s="2" t="inlineStr">
        <is>
          <t>17/Mar</t>
        </is>
      </c>
      <c r="P2" s="2" t="inlineStr">
        <is>
          <t>24/Mar</t>
        </is>
      </c>
      <c r="Q2" s="2" t="inlineStr">
        <is>
          <t>31/Mar</t>
        </is>
      </c>
      <c r="R2" s="2" t="inlineStr">
        <is>
          <t>07/Abr</t>
        </is>
      </c>
      <c r="S2" s="2" t="inlineStr">
        <is>
          <t>14/Abr</t>
        </is>
      </c>
      <c r="T2" s="2" t="inlineStr">
        <is>
          <t>21/Abr</t>
        </is>
      </c>
      <c r="U2" s="2" t="inlineStr">
        <is>
          <t>28/Abr</t>
        </is>
      </c>
      <c r="V2" s="2" t="inlineStr">
        <is>
          <t>05/Mai</t>
        </is>
      </c>
      <c r="W2" s="2" t="inlineStr">
        <is>
          <t>12/Mai</t>
        </is>
      </c>
      <c r="X2" s="2" t="inlineStr">
        <is>
          <t>19/Mai</t>
        </is>
      </c>
      <c r="Y2" s="2" t="inlineStr">
        <is>
          <t>26/Mai</t>
        </is>
      </c>
      <c r="Z2" s="2" t="inlineStr">
        <is>
          <t>02/Jun</t>
        </is>
      </c>
      <c r="AA2" s="2" t="inlineStr">
        <is>
          <t>09/Jun</t>
        </is>
      </c>
      <c r="AB2" s="2" t="inlineStr">
        <is>
          <t>16/Jun</t>
        </is>
      </c>
      <c r="AC2" s="2" t="inlineStr">
        <is>
          <t>23/Jun</t>
        </is>
      </c>
      <c r="AD2" s="2" t="inlineStr">
        <is>
          <t>30/Jun</t>
        </is>
      </c>
    </row>
    <row r="3">
      <c r="A3" s="11" t="inlineStr">
        <is>
          <t>EQ-E0016</t>
        </is>
      </c>
      <c r="B3" s="11" t="inlineStr">
        <is>
          <t>Escavadeira Hidráulica 22t</t>
        </is>
      </c>
      <c r="C3" s="18" t="inlineStr">
        <is>
          <t>un</t>
        </is>
      </c>
      <c r="D3" s="55" t="n">
        <v>2</v>
      </c>
      <c r="E3" s="55" t="n">
        <v>2</v>
      </c>
      <c r="F3" s="55" t="n">
        <v>2</v>
      </c>
      <c r="G3" s="55" t="n">
        <v>2</v>
      </c>
      <c r="H3" s="55" t="n">
        <v>1</v>
      </c>
      <c r="I3" s="55" t="n">
        <v>1</v>
      </c>
      <c r="J3" s="55" t="n">
        <v>1</v>
      </c>
      <c r="K3" s="55" t="n">
        <v>1</v>
      </c>
      <c r="L3" s="55" t="n">
        <v>1</v>
      </c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</row>
    <row r="4">
      <c r="A4" s="13" t="inlineStr">
        <is>
          <t>EQ-E0024</t>
        </is>
      </c>
      <c r="B4" s="13" t="inlineStr">
        <is>
          <t>Trator de Esteiras 20t (300HP)</t>
        </is>
      </c>
      <c r="C4" s="27" t="inlineStr">
        <is>
          <t>un</t>
        </is>
      </c>
      <c r="D4" s="64" t="n">
        <v>2</v>
      </c>
      <c r="E4" s="64" t="n">
        <v>2</v>
      </c>
      <c r="F4" s="64" t="n">
        <v>2</v>
      </c>
      <c r="G4" s="64" t="n">
        <v>2</v>
      </c>
      <c r="H4" s="64" t="n">
        <v>1</v>
      </c>
      <c r="I4" s="64" t="n">
        <v>1</v>
      </c>
      <c r="J4" s="64" t="n">
        <v>1</v>
      </c>
      <c r="K4" s="64" t="n">
        <v>1</v>
      </c>
      <c r="L4" s="64" t="n">
        <v>1</v>
      </c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</row>
    <row r="6">
      <c r="A6" s="93" t="inlineStr">
        <is>
          <t>TOTAL SEMANAL</t>
        </is>
      </c>
      <c r="D6" s="94" t="n">
        <v>4</v>
      </c>
      <c r="E6" s="94" t="n">
        <v>4</v>
      </c>
      <c r="F6" s="94" t="n">
        <v>4</v>
      </c>
      <c r="G6" s="94" t="n">
        <v>4</v>
      </c>
      <c r="H6" s="94" t="n">
        <v>2</v>
      </c>
      <c r="I6" s="94" t="n">
        <v>2</v>
      </c>
      <c r="J6" s="94" t="n">
        <v>2</v>
      </c>
      <c r="K6" s="94" t="n">
        <v>2</v>
      </c>
      <c r="L6" s="94" t="n">
        <v>2</v>
      </c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</row>
  </sheetData>
  <mergeCells count="2">
    <mergeCell ref="A6:C6"/>
    <mergeCell ref="A1:A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HISTOGRAMA DE MÃO DE OBRA — DEMANDA SEMANAL (PESSOAS)</t>
        </is>
      </c>
    </row>
    <row r="2">
      <c r="A2" s="2" t="inlineStr">
        <is>
          <t>Função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30/Dez</t>
        </is>
      </c>
      <c r="E2" s="2" t="inlineStr">
        <is>
          <t>06/Jan</t>
        </is>
      </c>
      <c r="F2" s="2" t="inlineStr">
        <is>
          <t>13/Jan</t>
        </is>
      </c>
      <c r="G2" s="2" t="inlineStr">
        <is>
          <t>20/Jan</t>
        </is>
      </c>
      <c r="H2" s="2" t="inlineStr">
        <is>
          <t>27/Jan</t>
        </is>
      </c>
      <c r="I2" s="2" t="inlineStr">
        <is>
          <t>03/Fev</t>
        </is>
      </c>
      <c r="J2" s="2" t="inlineStr">
        <is>
          <t>10/Fev</t>
        </is>
      </c>
      <c r="K2" s="2" t="inlineStr">
        <is>
          <t>17/Fev</t>
        </is>
      </c>
      <c r="L2" s="2" t="inlineStr">
        <is>
          <t>24/Fev</t>
        </is>
      </c>
      <c r="M2" s="2" t="inlineStr">
        <is>
          <t>03/Mar</t>
        </is>
      </c>
      <c r="N2" s="2" t="inlineStr">
        <is>
          <t>10/Mar</t>
        </is>
      </c>
      <c r="O2" s="2" t="inlineStr">
        <is>
          <t>17/Mar</t>
        </is>
      </c>
      <c r="P2" s="2" t="inlineStr">
        <is>
          <t>24/Mar</t>
        </is>
      </c>
      <c r="Q2" s="2" t="inlineStr">
        <is>
          <t>31/Mar</t>
        </is>
      </c>
      <c r="R2" s="2" t="inlineStr">
        <is>
          <t>07/Abr</t>
        </is>
      </c>
      <c r="S2" s="2" t="inlineStr">
        <is>
          <t>14/Abr</t>
        </is>
      </c>
      <c r="T2" s="2" t="inlineStr">
        <is>
          <t>21/Abr</t>
        </is>
      </c>
      <c r="U2" s="2" t="inlineStr">
        <is>
          <t>28/Abr</t>
        </is>
      </c>
      <c r="V2" s="2" t="inlineStr">
        <is>
          <t>05/Mai</t>
        </is>
      </c>
      <c r="W2" s="2" t="inlineStr">
        <is>
          <t>12/Mai</t>
        </is>
      </c>
      <c r="X2" s="2" t="inlineStr">
        <is>
          <t>19/Mai</t>
        </is>
      </c>
      <c r="Y2" s="2" t="inlineStr">
        <is>
          <t>26/Mai</t>
        </is>
      </c>
      <c r="Z2" s="2" t="inlineStr">
        <is>
          <t>02/Jun</t>
        </is>
      </c>
      <c r="AA2" s="2" t="inlineStr">
        <is>
          <t>09/Jun</t>
        </is>
      </c>
      <c r="AB2" s="2" t="inlineStr">
        <is>
          <t>16/Jun</t>
        </is>
      </c>
      <c r="AC2" s="2" t="inlineStr">
        <is>
          <t>23/Jun</t>
        </is>
      </c>
      <c r="AD2" s="2" t="inlineStr">
        <is>
          <t>30/Jun</t>
        </is>
      </c>
    </row>
    <row r="3">
      <c r="A3" s="11" t="inlineStr">
        <is>
          <t>MO-AJUDANTE</t>
        </is>
      </c>
      <c r="B3" s="11" t="inlineStr">
        <is>
          <t>Ajudante</t>
        </is>
      </c>
      <c r="C3" s="18" t="inlineStr">
        <is>
          <t>pax</t>
        </is>
      </c>
      <c r="D3" s="55" t="n">
        <v>6</v>
      </c>
      <c r="E3" s="55" t="n">
        <v>6</v>
      </c>
      <c r="F3" s="55" t="n">
        <v>6</v>
      </c>
      <c r="G3" s="55" t="n">
        <v>6</v>
      </c>
      <c r="H3" s="55" t="n">
        <v>3</v>
      </c>
      <c r="I3" s="55" t="n">
        <v>3</v>
      </c>
      <c r="J3" s="55" t="n">
        <v>3</v>
      </c>
      <c r="K3" s="55" t="n">
        <v>3</v>
      </c>
      <c r="L3" s="55" t="n">
        <v>3</v>
      </c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</row>
    <row r="4">
      <c r="A4" s="13" t="inlineStr">
        <is>
          <t>MO-OPER-ESCAV</t>
        </is>
      </c>
      <c r="B4" s="13" t="inlineStr">
        <is>
          <t>Operador de Escavadeira</t>
        </is>
      </c>
      <c r="C4" s="27" t="inlineStr">
        <is>
          <t>pax</t>
        </is>
      </c>
      <c r="D4" s="64" t="n">
        <v>2</v>
      </c>
      <c r="E4" s="64" t="n">
        <v>2</v>
      </c>
      <c r="F4" s="64" t="n">
        <v>2</v>
      </c>
      <c r="G4" s="64" t="n">
        <v>2</v>
      </c>
      <c r="H4" s="64" t="n">
        <v>1</v>
      </c>
      <c r="I4" s="64" t="n">
        <v>1</v>
      </c>
      <c r="J4" s="64" t="n">
        <v>1</v>
      </c>
      <c r="K4" s="64" t="n">
        <v>1</v>
      </c>
      <c r="L4" s="64" t="n">
        <v>1</v>
      </c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</row>
    <row r="5">
      <c r="A5" s="11" t="inlineStr">
        <is>
          <t>MO-OPER-TRATOR-EST</t>
        </is>
      </c>
      <c r="B5" s="11" t="inlineStr">
        <is>
          <t>Operador de Trator de Esteiras</t>
        </is>
      </c>
      <c r="C5" s="18" t="inlineStr">
        <is>
          <t>pax</t>
        </is>
      </c>
      <c r="D5" s="55" t="n">
        <v>2</v>
      </c>
      <c r="E5" s="55" t="n">
        <v>2</v>
      </c>
      <c r="F5" s="55" t="n">
        <v>2</v>
      </c>
      <c r="G5" s="55" t="n">
        <v>2</v>
      </c>
      <c r="H5" s="55" t="n">
        <v>1</v>
      </c>
      <c r="I5" s="55" t="n">
        <v>1</v>
      </c>
      <c r="J5" s="55" t="n">
        <v>1</v>
      </c>
      <c r="K5" s="55" t="n">
        <v>1</v>
      </c>
      <c r="L5" s="55" t="n">
        <v>1</v>
      </c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</row>
    <row r="7">
      <c r="A7" s="93" t="inlineStr">
        <is>
          <t>TOTAL SEMANAL</t>
        </is>
      </c>
      <c r="D7" s="94" t="n">
        <v>10</v>
      </c>
      <c r="E7" s="94" t="n">
        <v>10</v>
      </c>
      <c r="F7" s="94" t="n">
        <v>10</v>
      </c>
      <c r="G7" s="94" t="n">
        <v>10</v>
      </c>
      <c r="H7" s="94" t="n">
        <v>5</v>
      </c>
      <c r="I7" s="94" t="n">
        <v>5</v>
      </c>
      <c r="J7" s="94" t="n">
        <v>5</v>
      </c>
      <c r="K7" s="94" t="n">
        <v>5</v>
      </c>
      <c r="L7" s="94" t="n">
        <v>5</v>
      </c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</row>
  </sheetData>
  <mergeCells count="2">
    <mergeCell ref="A7:C7"/>
    <mergeCell ref="A1:A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6" customWidth="1" min="3" max="3"/>
    <col width="14" customWidth="1" min="4" max="4"/>
    <col width="20" customWidth="1" min="5" max="5"/>
    <col width="10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CURVA ABC — ANÁLISE PARETO POR ITEM EAP (S/ BDI)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Subtotal s/ BDI (R$)</t>
        </is>
      </c>
      <c r="F2" s="2" t="inlineStr">
        <is>
          <t>% do Total</t>
        </is>
      </c>
      <c r="G2" s="2" t="inlineStr">
        <is>
          <t>% Acumulado</t>
        </is>
      </c>
      <c r="H2" s="2" t="inlineStr">
        <is>
          <t>Criticidade</t>
        </is>
      </c>
      <c r="I2" s="2" t="inlineStr">
        <is>
          <t>Destaque</t>
        </is>
      </c>
    </row>
    <row r="3">
      <c r="A3" s="43" t="inlineStr">
        <is>
          <t>eap-01</t>
        </is>
      </c>
      <c r="B3" s="43" t="inlineStr">
        <is>
          <t>Supressão vegetal</t>
        </is>
      </c>
      <c r="C3" s="43" t="inlineStr">
        <is>
          <t>m2</t>
        </is>
      </c>
      <c r="D3" s="44" t="n">
        <v>100000</v>
      </c>
      <c r="E3" s="45" t="n">
        <v>87362.8</v>
      </c>
      <c r="F3" s="95" t="n">
        <v>66.66670000000001</v>
      </c>
      <c r="G3" s="95" t="n">
        <v>66.66670000000001</v>
      </c>
      <c r="H3" s="43" t="inlineStr">
        <is>
          <t>A</t>
        </is>
      </c>
      <c r="I3" s="43" t="inlineStr"/>
    </row>
    <row r="4">
      <c r="A4" s="34" t="inlineStr">
        <is>
          <t>eap-02</t>
        </is>
      </c>
      <c r="B4" s="34" t="inlineStr">
        <is>
          <t>Desmatamento e limpeza</t>
        </is>
      </c>
      <c r="C4" s="34" t="inlineStr">
        <is>
          <t>m2</t>
        </is>
      </c>
      <c r="D4" s="35" t="n">
        <v>50000</v>
      </c>
      <c r="E4" s="36" t="n">
        <v>43681.4</v>
      </c>
      <c r="F4" s="7" t="n">
        <v>33.3333</v>
      </c>
      <c r="G4" s="7" t="n">
        <v>100</v>
      </c>
      <c r="H4" s="34" t="inlineStr">
        <is>
          <t>C</t>
        </is>
      </c>
      <c r="I4" s="34" t="inlineStr"/>
    </row>
    <row r="6">
      <c r="A6" s="29" t="inlineStr">
        <is>
          <t>TOTAL</t>
        </is>
      </c>
      <c r="E6" s="30">
        <f>SUM(E3:E5)</f>
        <v/>
      </c>
      <c r="F6" s="37" t="n"/>
      <c r="G6" s="37" t="n"/>
      <c r="H6" s="37" t="n"/>
      <c r="I6" s="37" t="n"/>
    </row>
  </sheetData>
  <mergeCells count="2">
    <mergeCell ref="A1:I1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2026-05-12T18:13:13Z</dcterms:created>
  <dcterms:modified xsi:type="dcterms:W3CDTF">2026-05-12T18:13:15Z</dcterms:modified>
</cp:coreProperties>
</file>