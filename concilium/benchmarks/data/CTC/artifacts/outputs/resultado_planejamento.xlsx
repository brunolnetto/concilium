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I" sheetId="1" state="visible" r:id="rId1"/>
    <sheet name="DIRETOS.DET" sheetId="2" state="visible" r:id="rId2"/>
    <sheet name="DIRETOS.RES" sheetId="3" state="visible" r:id="rId3"/>
    <sheet name="INDIRETOS.DET" sheetId="4" state="visible" r:id="rId4"/>
    <sheet name="INDIRETOS.RES" sheetId="5" state="visible" r:id="rId5"/>
    <sheet name="PLANEJAMENTO" sheetId="6" state="visible" r:id="rId6"/>
    <sheet name="CRONOGRAMA.DET" sheetId="7" state="visible" r:id="rId7"/>
    <sheet name="CRONOGRAMA.RES" sheetId="8" state="visible" r:id="rId8"/>
    <sheet name="EQUIPE" sheetId="9" state="visible" r:id="rId9"/>
    <sheet name="EQUILIBRIO" sheetId="10" state="visible" r:id="rId10"/>
    <sheet name="RESULTADO" sheetId="11" state="visible" r:id="rId11"/>
    <sheet name="ANALISE.FC_CAIXA" sheetId="12" state="visible" r:id="rId12"/>
    <sheet name="HIST.EQUIPAMENTOS" sheetId="13" state="visible" r:id="rId13"/>
    <sheet name="HIST.MAO_OBRA" sheetId="14" state="visible" r:id="rId14"/>
    <sheet name="ANALISE.CURVA_ABC" sheetId="15" state="visible" r:id="rId15"/>
  </sheets>
  <definedNames>
    <definedName name="TOTAL_DIRETO">'DIRETOS.DET'!$I$73</definedName>
    <definedName name="DIRETOS_RES_SEM_BDI">'DIRETOS.RES'!$I$12</definedName>
    <definedName name="DIRETOS_RES_COM_BDI">'DIRETOS.RES'!$N$12</definedName>
    <definedName name="TOTAL_ADM">'INDIRETOS.DET'!$H$5</definedName>
    <definedName name="TOTAL_TOP">'INDIRETOS.DET'!$H$8</definedName>
    <definedName name="TOTAL_LAB">'INDIRETOS.DET'!$H$11</definedName>
    <definedName name="TOTAL_QSMS">'INDIRETOS.DET'!$H$14</definedName>
    <definedName name="TOTAL_MOB">'INDIRETOS.DET'!$H$17</definedName>
    <definedName name="TOTAL_INDIRETO">'INDIRETOS.DET'!$H$19</definedName>
    <definedName name="TOTAL_SEM_BDI">PLANEJAMENTO!$I$12</definedName>
    <definedName name="TOTAL_COM_BDI">PLANEJAMENTO!$N$12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R$ #,##0.00"/>
    <numFmt numFmtId="166" formatCode="#,##0.##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A3A5C"/>
      <sz val="10"/>
    </font>
    <font>
      <name val="Calibri"/>
      <b val="1"/>
      <color rgb="00C05C18"/>
      <sz val="10"/>
    </font>
    <font>
      <name val="Calibri"/>
      <color rgb="001A202C"/>
      <sz val="10"/>
    </font>
    <font>
      <name val="Calibri"/>
      <b val="1"/>
      <color rgb="00276749"/>
      <sz val="10"/>
    </font>
    <font>
      <name val="Calibri"/>
      <color rgb="00C05C18"/>
      <sz val="10"/>
    </font>
    <font>
      <name val="Calibri"/>
      <b val="1"/>
      <color rgb="001A202C"/>
      <sz val="10"/>
    </font>
    <font>
      <name val="Calibri"/>
      <b val="1"/>
      <color rgb="00FFFFFF"/>
      <sz val="11"/>
    </font>
    <font>
      <name val="Calibri"/>
      <b val="1"/>
      <color rgb="0092400E"/>
      <sz val="10"/>
    </font>
    <font>
      <name val="Calibri"/>
      <color rgb="001A3A5C"/>
      <sz val="10"/>
    </font>
    <font>
      <name val="Calibri"/>
      <b val="1"/>
      <color rgb="009B1C1C"/>
      <sz val="10"/>
    </font>
    <font>
      <name val="Calibri"/>
      <b val="1"/>
      <color rgb="009B1C1C"/>
      <sz val="14"/>
    </font>
    <font>
      <name val="Calibri"/>
      <color rgb="009B1C1C"/>
      <sz val="10"/>
    </font>
    <font>
      <name val="Calibri"/>
      <color rgb="00276749"/>
      <sz val="10"/>
    </font>
    <font>
      <name val="Calibri"/>
      <i val="1"/>
      <color rgb="00555555"/>
      <sz val="9"/>
    </font>
  </fonts>
  <fills count="1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FFFFF"/>
        <bgColor rgb="00FFFFFF"/>
      </patternFill>
    </fill>
    <fill>
      <patternFill patternType="solid">
        <fgColor rgb="00F0F5FA"/>
        <bgColor rgb="00F0F5FA"/>
      </patternFill>
    </fill>
    <fill>
      <patternFill patternType="solid">
        <fgColor rgb="00F7FAFC"/>
        <bgColor rgb="00F7FAFC"/>
      </patternFill>
    </fill>
    <fill>
      <patternFill patternType="solid">
        <fgColor rgb="002B6CB0"/>
        <bgColor rgb="002B6CB0"/>
      </patternFill>
    </fill>
    <fill>
      <patternFill patternType="solid">
        <fgColor rgb="00F5E6D8"/>
        <bgColor rgb="00F5E6D8"/>
      </patternFill>
    </fill>
    <fill>
      <patternFill patternType="solid">
        <fgColor rgb="00FFA500"/>
        <bgColor rgb="00FFA500"/>
      </patternFill>
    </fill>
    <fill>
      <patternFill patternType="solid">
        <fgColor rgb="00FFFF33"/>
        <bgColor rgb="00FFFF33"/>
      </patternFill>
    </fill>
    <fill>
      <patternFill patternType="solid">
        <fgColor rgb="00FEF3C7"/>
        <bgColor rgb="00FEF3C7"/>
      </patternFill>
    </fill>
    <fill>
      <patternFill patternType="solid">
        <fgColor rgb="00EAD9C3"/>
        <bgColor rgb="00EAD9C3"/>
      </patternFill>
    </fill>
    <fill>
      <patternFill patternType="solid">
        <fgColor rgb="00FADDDD"/>
        <bgColor rgb="00FADDDD"/>
      </patternFill>
    </fill>
    <fill>
      <patternFill patternType="solid">
        <fgColor rgb="00DCEEE5"/>
        <bgColor rgb="00DCEEE5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  <border>
      <left/>
      <right/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0" fillId="7" borderId="1" pivotButton="0" quotePrefix="0" xfId="0"/>
    <xf numFmtId="165" fontId="4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right" vertical="center"/>
    </xf>
    <xf numFmtId="165" fontId="2" fillId="2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6" fontId="0" fillId="3" borderId="1" applyAlignment="1" pivotButton="0" quotePrefix="0" xfId="0">
      <alignment horizontal="right" vertical="center"/>
    </xf>
    <xf numFmtId="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166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0" fillId="2" borderId="1" pivotButton="0" quotePrefix="0" xfId="0"/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165" fontId="8" fillId="5" borderId="1" applyAlignment="1" pivotButton="0" quotePrefix="0" xfId="0">
      <alignment horizontal="right" vertical="center"/>
    </xf>
    <xf numFmtId="0" fontId="0" fillId="0" borderId="5" pivotButton="0" quotePrefix="0" xfId="0"/>
    <xf numFmtId="164" fontId="0" fillId="5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 vertical="center"/>
    </xf>
    <xf numFmtId="166" fontId="0" fillId="8" borderId="1" applyAlignment="1" pivotButton="0" quotePrefix="0" xfId="0">
      <alignment horizontal="right" vertical="center"/>
    </xf>
    <xf numFmtId="4" fontId="0" fillId="8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left" vertical="center"/>
    </xf>
    <xf numFmtId="166" fontId="0" fillId="9" borderId="1" applyAlignment="1" pivotButton="0" quotePrefix="0" xfId="0">
      <alignment horizontal="right" vertical="center"/>
    </xf>
    <xf numFmtId="4" fontId="0" fillId="9" borderId="1" applyAlignment="1" pivotButton="0" quotePrefix="0" xfId="0">
      <alignment horizontal="right" vertical="center"/>
    </xf>
    <xf numFmtId="0" fontId="0" fillId="10" borderId="1" pivotButton="0" quotePrefix="0" xfId="0"/>
    <xf numFmtId="0" fontId="10" fillId="10" borderId="1" applyAlignment="1" pivotButton="0" quotePrefix="0" xfId="0">
      <alignment horizontal="left" vertical="center"/>
    </xf>
    <xf numFmtId="9" fontId="4" fillId="10" borderId="1" applyAlignment="1" pivotButton="0" quotePrefix="0" xfId="0">
      <alignment horizontal="center" vertical="center"/>
    </xf>
    <xf numFmtId="9" fontId="5" fillId="1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1" fontId="0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/>
    </xf>
    <xf numFmtId="1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9" fontId="0" fillId="3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1" fontId="0" fillId="11" borderId="1" applyAlignment="1" pivotButton="0" quotePrefix="0" xfId="0">
      <alignment horizontal="right" vertical="center"/>
    </xf>
    <xf numFmtId="0" fontId="0" fillId="11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/>
    </xf>
    <xf numFmtId="1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9" fontId="0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165" fontId="8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165" fontId="12" fillId="4" borderId="1" applyAlignment="1" pivotButton="0" quotePrefix="0" xfId="0">
      <alignment horizontal="right" vertical="center"/>
    </xf>
    <xf numFmtId="165" fontId="12" fillId="3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14" fillId="4" borderId="1" applyAlignment="1" pivotButton="0" quotePrefix="0" xfId="0">
      <alignment horizontal="right" vertical="center"/>
    </xf>
    <xf numFmtId="165" fontId="14" fillId="12" borderId="1" applyAlignment="1" pivotButton="0" quotePrefix="0" xfId="0">
      <alignment horizontal="right" vertical="center"/>
    </xf>
    <xf numFmtId="165" fontId="15" fillId="13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165" fontId="6" fillId="13" borderId="1" applyAlignment="1" pivotButton="0" quotePrefix="0" xfId="0">
      <alignment horizontal="right" vertical="center"/>
    </xf>
    <xf numFmtId="165" fontId="12" fillId="12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/>
    </xf>
    <xf numFmtId="1" fontId="2" fillId="2" borderId="1" applyAlignment="1" pivotButton="0" quotePrefix="0" xfId="0">
      <alignment horizontal="right" vertical="center"/>
    </xf>
    <xf numFmtId="164" fontId="0" fillId="8" borderId="1" applyAlignment="1" pivotButton="0" quotePrefix="0" xfId="0">
      <alignment horizontal="right" vertical="center"/>
    </xf>
    <xf numFmtId="164" fontId="0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</cols>
  <sheetData>
    <row r="1">
      <c r="A1" s="1" t="inlineStr">
        <is>
          <t>BDI — BONIFICAÇÕES E DESPESAS INDIRETAS (FÓRMULA TCU AC.2622/2013)</t>
        </is>
      </c>
    </row>
    <row r="2">
      <c r="A2" s="2" t="inlineStr">
        <is>
          <t>Categoria</t>
        </is>
      </c>
      <c r="B2" s="2" t="inlineStr">
        <is>
          <t>AC (%)</t>
        </is>
      </c>
      <c r="C2" s="2" t="inlineStr">
        <is>
          <t>DF (%)</t>
        </is>
      </c>
      <c r="D2" s="2" t="inlineStr">
        <is>
          <t>R (%)</t>
        </is>
      </c>
      <c r="E2" s="2" t="inlineStr">
        <is>
          <t>CR (%)</t>
        </is>
      </c>
      <c r="F2" s="2" t="inlineStr">
        <is>
          <t>Lucro L (%)</t>
        </is>
      </c>
      <c r="G2" s="2" t="inlineStr">
        <is>
          <t>COFINS (%)</t>
        </is>
      </c>
      <c r="H2" s="2" t="inlineStr">
        <is>
          <t>ISS (%)</t>
        </is>
      </c>
      <c r="I2" s="2" t="inlineStr">
        <is>
          <t>PIS (%)</t>
        </is>
      </c>
      <c r="J2" s="2" t="inlineStr">
        <is>
          <t>CSSL (%)</t>
        </is>
      </c>
      <c r="K2" s="2" t="inlineStr">
        <is>
          <t>IR (%)</t>
        </is>
      </c>
      <c r="L2" s="2" t="inlineStr">
        <is>
          <t>T=Tributos (%)</t>
        </is>
      </c>
      <c r="M2" s="2" t="inlineStr">
        <is>
          <t>BDI Total (%)</t>
        </is>
      </c>
    </row>
    <row r="3">
      <c r="A3" s="3" t="inlineStr">
        <is>
          <t>MÃO DE OBRA</t>
        </is>
      </c>
      <c r="B3" s="4" t="n">
        <v>5</v>
      </c>
      <c r="C3" s="4" t="n">
        <v>1.5</v>
      </c>
      <c r="D3" s="4" t="n">
        <v>1</v>
      </c>
      <c r="E3" s="4" t="n">
        <v>0</v>
      </c>
      <c r="F3" s="4" t="n">
        <v>9</v>
      </c>
      <c r="G3" s="4" t="n">
        <v>3</v>
      </c>
      <c r="H3" s="4" t="n">
        <v>5</v>
      </c>
      <c r="I3" s="4" t="n">
        <v>0.65</v>
      </c>
      <c r="J3" s="4" t="n">
        <v>1.99</v>
      </c>
      <c r="K3" s="4" t="n">
        <v>2.74</v>
      </c>
      <c r="L3" s="4" t="n">
        <v>13.38</v>
      </c>
      <c r="M3" s="5" t="n">
        <v>34.5</v>
      </c>
    </row>
    <row r="4">
      <c r="A4" s="6" t="inlineStr">
        <is>
          <t>MATERIAL</t>
        </is>
      </c>
      <c r="B4" s="7" t="n">
        <v>5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8" t="n">
        <v>5</v>
      </c>
    </row>
    <row r="5">
      <c r="A5" s="3" t="inlineStr">
        <is>
          <t>SERVIÇOS</t>
        </is>
      </c>
      <c r="B5" s="4" t="n">
        <v>5</v>
      </c>
      <c r="C5" s="4" t="n">
        <v>1.5</v>
      </c>
      <c r="D5" s="4" t="n">
        <v>1</v>
      </c>
      <c r="E5" s="4" t="n">
        <v>0</v>
      </c>
      <c r="F5" s="4" t="n">
        <v>9</v>
      </c>
      <c r="G5" s="4" t="n">
        <v>3</v>
      </c>
      <c r="H5" s="4" t="n">
        <v>5</v>
      </c>
      <c r="I5" s="4" t="n">
        <v>0.65</v>
      </c>
      <c r="J5" s="4" t="n">
        <v>1.99</v>
      </c>
      <c r="K5" s="4" t="n">
        <v>2.74</v>
      </c>
      <c r="L5" s="4" t="n">
        <v>13.38</v>
      </c>
      <c r="M5" s="5" t="n">
        <v>34.5</v>
      </c>
    </row>
    <row r="6">
      <c r="A6" s="6" t="inlineStr">
        <is>
          <t>INDIRETO</t>
        </is>
      </c>
      <c r="B6" s="7" t="n">
        <v>4</v>
      </c>
      <c r="C6" s="7" t="n">
        <v>0</v>
      </c>
      <c r="D6" s="7" t="n">
        <v>0</v>
      </c>
      <c r="E6" s="7" t="n">
        <v>0</v>
      </c>
      <c r="F6" s="7" t="n">
        <v>2</v>
      </c>
      <c r="G6" s="7" t="n">
        <v>3</v>
      </c>
      <c r="H6" s="7" t="n">
        <v>5</v>
      </c>
      <c r="I6" s="7" t="n">
        <v>0.65</v>
      </c>
      <c r="J6" s="7" t="n">
        <v>1.99</v>
      </c>
      <c r="K6" s="7" t="n">
        <v>2.74</v>
      </c>
      <c r="L6" s="7" t="n">
        <v>13.38</v>
      </c>
      <c r="M6" s="8" t="n">
        <v>22.37</v>
      </c>
    </row>
    <row r="7">
      <c r="A7" s="3" t="inlineStr">
        <is>
          <t>DIESEL</t>
        </is>
      </c>
      <c r="B7" s="4" t="n">
        <v>4</v>
      </c>
      <c r="C7" s="4" t="n">
        <v>0</v>
      </c>
      <c r="D7" s="4" t="n">
        <v>0</v>
      </c>
      <c r="E7" s="4" t="n">
        <v>0</v>
      </c>
      <c r="F7" s="4" t="n">
        <v>5</v>
      </c>
      <c r="G7" s="4" t="n">
        <v>3</v>
      </c>
      <c r="H7" s="4" t="n">
        <v>5</v>
      </c>
      <c r="I7" s="4" t="n">
        <v>0.65</v>
      </c>
      <c r="J7" s="4" t="n">
        <v>1.99</v>
      </c>
      <c r="K7" s="4" t="n">
        <v>2.74</v>
      </c>
      <c r="L7" s="4" t="n">
        <v>13.38</v>
      </c>
      <c r="M7" s="5" t="n">
        <v>25.84</v>
      </c>
    </row>
    <row r="9">
      <c r="A9" s="9" t="inlineStr">
        <is>
          <t>Fórmula: BDI = (1 + AC + DF + R + CR + L) / (1 - T) - 1  |  T = COFINS+ISS+PIS+CSSL+IR</t>
        </is>
      </c>
    </row>
    <row r="11">
      <c r="A11" s="9" t="inlineStr">
        <is>
          <t>BDI Efetivo Aplicado por Item do Planejamento</t>
        </is>
      </c>
    </row>
    <row r="12">
      <c r="A12" s="10" t="inlineStr">
        <is>
          <t>Item ID</t>
        </is>
      </c>
      <c r="B12" s="10" t="inlineStr">
        <is>
          <t>MO BDI (%)</t>
        </is>
      </c>
      <c r="C12" s="10" t="inlineStr">
        <is>
          <t>EQ BDI (%)</t>
        </is>
      </c>
      <c r="D12" s="10" t="inlineStr">
        <is>
          <t>MAT BDI (%)</t>
        </is>
      </c>
      <c r="E12" s="10" t="inlineStr">
        <is>
          <t>DIESEL BDI (%)</t>
        </is>
      </c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</row>
    <row r="13">
      <c r="A13" s="11" t="inlineStr">
        <is>
          <t>eap-1_5</t>
        </is>
      </c>
      <c r="B13" s="4" t="n">
        <v>34.5</v>
      </c>
      <c r="C13" s="4" t="n">
        <v>34.5</v>
      </c>
      <c r="D13" s="4" t="n">
        <v>20</v>
      </c>
      <c r="E13" s="4" t="n">
        <v>34.5</v>
      </c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3" t="inlineStr">
        <is>
          <t>eap-1_2</t>
        </is>
      </c>
      <c r="B14" s="7" t="n">
        <v>34.5</v>
      </c>
      <c r="C14" s="7" t="n">
        <v>34.5</v>
      </c>
      <c r="D14" s="7" t="n">
        <v>20</v>
      </c>
      <c r="E14" s="7" t="n">
        <v>34.5</v>
      </c>
      <c r="F14" s="14" t="n"/>
      <c r="G14" s="14" t="n"/>
      <c r="H14" s="14" t="n"/>
      <c r="I14" s="14" t="n"/>
      <c r="J14" s="14" t="n"/>
      <c r="K14" s="14" t="n"/>
      <c r="L14" s="14" t="n"/>
      <c r="M14" s="14" t="n"/>
    </row>
    <row r="15">
      <c r="A15" s="11" t="inlineStr">
        <is>
          <t>eap-1_6</t>
        </is>
      </c>
      <c r="B15" s="4" t="n">
        <v>34.5</v>
      </c>
      <c r="C15" s="4" t="n">
        <v>34.5</v>
      </c>
      <c r="D15" s="4" t="n">
        <v>20</v>
      </c>
      <c r="E15" s="4" t="n">
        <v>34.5</v>
      </c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13" t="inlineStr">
        <is>
          <t>eap-1_4</t>
        </is>
      </c>
      <c r="B16" s="7" t="n">
        <v>34.5</v>
      </c>
      <c r="C16" s="7" t="n">
        <v>34.5</v>
      </c>
      <c r="D16" s="7" t="n">
        <v>20</v>
      </c>
      <c r="E16" s="7" t="n">
        <v>34.5</v>
      </c>
      <c r="F16" s="14" t="n"/>
      <c r="G16" s="14" t="n"/>
      <c r="H16" s="14" t="n"/>
      <c r="I16" s="14" t="n"/>
      <c r="J16" s="14" t="n"/>
      <c r="K16" s="14" t="n"/>
      <c r="L16" s="14" t="n"/>
      <c r="M16" s="14" t="n"/>
    </row>
    <row r="17">
      <c r="A17" s="11" t="inlineStr">
        <is>
          <t>eap-1_3</t>
        </is>
      </c>
      <c r="B17" s="4" t="n">
        <v>34.5</v>
      </c>
      <c r="C17" s="4" t="n">
        <v>34.5</v>
      </c>
      <c r="D17" s="4" t="n">
        <v>20</v>
      </c>
      <c r="E17" s="4" t="n">
        <v>34.5</v>
      </c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13" t="inlineStr">
        <is>
          <t>eap-1_1</t>
        </is>
      </c>
      <c r="B18" s="7" t="n">
        <v>34.5</v>
      </c>
      <c r="C18" s="7" t="n">
        <v>34.5</v>
      </c>
      <c r="D18" s="7" t="n">
        <v>20</v>
      </c>
      <c r="E18" s="7" t="n">
        <v>34.5</v>
      </c>
      <c r="F18" s="14" t="n"/>
      <c r="G18" s="14" t="n"/>
      <c r="H18" s="14" t="n"/>
      <c r="I18" s="14" t="n"/>
      <c r="J18" s="14" t="n"/>
      <c r="K18" s="14" t="n"/>
      <c r="L18" s="14" t="n"/>
      <c r="M18" s="14" t="n"/>
    </row>
    <row r="19">
      <c r="A19" s="11" t="inlineStr">
        <is>
          <t>eap-4_2</t>
        </is>
      </c>
      <c r="B19" s="4" t="n">
        <v>34.5</v>
      </c>
      <c r="C19" s="4" t="n">
        <v>34.5</v>
      </c>
      <c r="D19" s="4" t="n">
        <v>20</v>
      </c>
      <c r="E19" s="4" t="n">
        <v>34.5</v>
      </c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13" t="inlineStr">
        <is>
          <t>eap-1_7</t>
        </is>
      </c>
      <c r="B20" s="7" t="n">
        <v>34.5</v>
      </c>
      <c r="C20" s="7" t="n">
        <v>34.5</v>
      </c>
      <c r="D20" s="7" t="n">
        <v>20</v>
      </c>
      <c r="E20" s="7" t="n">
        <v>34.5</v>
      </c>
      <c r="F20" s="14" t="n"/>
      <c r="G20" s="14" t="n"/>
      <c r="H20" s="14" t="n"/>
      <c r="I20" s="14" t="n"/>
      <c r="J20" s="14" t="n"/>
      <c r="K20" s="14" t="n"/>
      <c r="L20" s="14" t="n"/>
      <c r="M20" s="14" t="n"/>
    </row>
  </sheetData>
  <mergeCells count="3">
    <mergeCell ref="A11:M11"/>
    <mergeCell ref="A1:M1"/>
    <mergeCell ref="A9:M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10" customWidth="1" min="4" max="4"/>
    <col width="6" customWidth="1" min="5" max="5"/>
    <col width="16" customWidth="1" min="6" max="6"/>
    <col width="16" customWidth="1" min="7" max="7"/>
    <col width="10" customWidth="1" min="8" max="8"/>
    <col width="16" customWidth="1" min="9" max="9"/>
  </cols>
  <sheetData>
    <row r="1">
      <c r="A1" s="1" t="inlineStr">
        <is>
          <t>DIRETOS — EQUIPES E RECURSOS</t>
        </is>
      </c>
    </row>
    <row r="2">
      <c r="A2" s="2" t="inlineStr">
        <is>
          <t>Tipo</t>
        </is>
      </c>
      <c r="B2" s="2" t="inlineStr">
        <is>
          <t>Código</t>
        </is>
      </c>
      <c r="C2" s="2" t="inlineStr">
        <is>
          <t>Descrição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Unit/Mês (R$)</t>
        </is>
      </c>
      <c r="G2" s="2" t="inlineStr">
        <is>
          <t>Custo Total/Mês (R$)</t>
        </is>
      </c>
      <c r="H2" s="2" t="inlineStr">
        <is>
          <t>Perm. (meses)</t>
        </is>
      </c>
      <c r="I2" s="2" t="inlineStr">
        <is>
          <t>Custo Total (R$)</t>
        </is>
      </c>
    </row>
    <row r="3">
      <c r="A3" s="9" t="inlineStr">
        <is>
          <t>eap-1_5 — Aterro Compactado a 100% PN</t>
        </is>
      </c>
    </row>
    <row r="4">
      <c r="A4" s="11" t="inlineStr">
        <is>
          <t>MÃO DE OBRA</t>
        </is>
      </c>
      <c r="B4" s="11" t="inlineStr">
        <is>
          <t>MO-OPER-MOTO</t>
        </is>
      </c>
      <c r="C4" s="11" t="inlineStr">
        <is>
          <t>Operador de Motoniveladora</t>
        </is>
      </c>
      <c r="D4" s="15" t="inlineStr">
        <is>
          <t>DIRETO</t>
        </is>
      </c>
      <c r="E4" s="16" t="n">
        <v>1</v>
      </c>
      <c r="F4" s="17" t="n">
        <v>17356.25</v>
      </c>
      <c r="G4" s="17">
        <f>E4*F4</f>
        <v/>
      </c>
      <c r="H4" s="16" t="n">
        <v>5.98</v>
      </c>
      <c r="I4" s="17">
        <f>G4*H4</f>
        <v/>
      </c>
    </row>
    <row r="5">
      <c r="A5" s="11" t="inlineStr">
        <is>
          <t>MÃO DE OBRA</t>
        </is>
      </c>
      <c r="B5" s="11" t="inlineStr">
        <is>
          <t>MO-OPER-ROLO-COMP</t>
        </is>
      </c>
      <c r="C5" s="11" t="inlineStr">
        <is>
          <t>Operador de Rolo Compactador</t>
        </is>
      </c>
      <c r="D5" s="15" t="inlineStr">
        <is>
          <t>DIRETO</t>
        </is>
      </c>
      <c r="E5" s="16" t="n">
        <v>1</v>
      </c>
      <c r="F5" s="17" t="n">
        <v>10685.34</v>
      </c>
      <c r="G5" s="17">
        <f>E5*F5</f>
        <v/>
      </c>
      <c r="H5" s="16" t="n">
        <v>5.98</v>
      </c>
      <c r="I5" s="17">
        <f>G5*H5</f>
        <v/>
      </c>
    </row>
    <row r="6">
      <c r="A6" s="11" t="inlineStr">
        <is>
          <t>MÃO DE OBRA</t>
        </is>
      </c>
      <c r="B6" s="11" t="inlineStr">
        <is>
          <t>MO-MOTOR-CAM-PIPA</t>
        </is>
      </c>
      <c r="C6" s="11" t="inlineStr">
        <is>
          <t>Motorista de Caminhão Pipa</t>
        </is>
      </c>
      <c r="D6" s="15" t="inlineStr">
        <is>
          <t>DIRETO</t>
        </is>
      </c>
      <c r="E6" s="16" t="n">
        <v>1</v>
      </c>
      <c r="F6" s="17" t="n">
        <v>10685.34</v>
      </c>
      <c r="G6" s="17">
        <f>E6*F6</f>
        <v/>
      </c>
      <c r="H6" s="16" t="n">
        <v>5.98</v>
      </c>
      <c r="I6" s="17">
        <f>G6*H6</f>
        <v/>
      </c>
    </row>
    <row r="7">
      <c r="A7" s="11" t="inlineStr">
        <is>
          <t>MÃO DE OBRA</t>
        </is>
      </c>
      <c r="B7" s="11" t="inlineStr">
        <is>
          <t>MO-OPER-ROLO-COMP</t>
        </is>
      </c>
      <c r="C7" s="11" t="inlineStr">
        <is>
          <t>Operador de Rolo Compactador</t>
        </is>
      </c>
      <c r="D7" s="15" t="inlineStr">
        <is>
          <t>DIRETO</t>
        </is>
      </c>
      <c r="E7" s="16" t="n">
        <v>1</v>
      </c>
      <c r="F7" s="17" t="n">
        <v>10685.34</v>
      </c>
      <c r="G7" s="17">
        <f>E7*F7</f>
        <v/>
      </c>
      <c r="H7" s="16" t="n">
        <v>5.98</v>
      </c>
      <c r="I7" s="17">
        <f>G7*H7</f>
        <v/>
      </c>
    </row>
    <row r="8">
      <c r="A8" s="11" t="inlineStr">
        <is>
          <t>MÃO DE OBRA</t>
        </is>
      </c>
      <c r="B8" s="11" t="inlineStr">
        <is>
          <t>MO-ENCARREG-TERRA</t>
        </is>
      </c>
      <c r="C8" s="11" t="inlineStr">
        <is>
          <t>Encarregado de Terraplenagem</t>
        </is>
      </c>
      <c r="D8" s="15" t="inlineStr">
        <is>
          <t>DIRETO</t>
        </is>
      </c>
      <c r="E8" s="16" t="n">
        <v>1</v>
      </c>
      <c r="F8" s="17" t="n">
        <v>11549.8</v>
      </c>
      <c r="G8" s="17">
        <f>E8*F8</f>
        <v/>
      </c>
      <c r="H8" s="16" t="n">
        <v>5.98</v>
      </c>
      <c r="I8" s="17">
        <f>G8*H8</f>
        <v/>
      </c>
    </row>
    <row r="9">
      <c r="A9" s="11" t="inlineStr">
        <is>
          <t>EQUIPAMENTO</t>
        </is>
      </c>
      <c r="B9" s="11" t="inlineStr">
        <is>
          <t>EQ-E0029</t>
        </is>
      </c>
      <c r="C9" s="11" t="inlineStr">
        <is>
          <t>Motoniveladora 140HP</t>
        </is>
      </c>
      <c r="D9" s="18" t="inlineStr">
        <is>
          <t>—</t>
        </is>
      </c>
      <c r="E9" s="16" t="n">
        <v>1</v>
      </c>
      <c r="F9" s="17" t="n">
        <v>43326.98</v>
      </c>
      <c r="G9" s="17">
        <f>E9*F9</f>
        <v/>
      </c>
      <c r="H9" s="16" t="n">
        <v>5.98</v>
      </c>
      <c r="I9" s="17">
        <f>G9*H9</f>
        <v/>
      </c>
    </row>
    <row r="10">
      <c r="A10" s="19" t="inlineStr">
        <is>
          <t>COMBUSTÍVEL</t>
        </is>
      </c>
      <c r="B10" s="11" t="inlineStr">
        <is>
          <t>EQ-E0029</t>
        </is>
      </c>
      <c r="C10" s="11" t="inlineStr">
        <is>
          <t>Diesel S-10 (11.0 L/h)</t>
        </is>
      </c>
      <c r="D10" s="18" t="inlineStr">
        <is>
          <t>—</t>
        </is>
      </c>
      <c r="E10" s="16" t="n">
        <v>1</v>
      </c>
      <c r="F10" s="17" t="n">
        <v>14029.71</v>
      </c>
      <c r="G10" s="17">
        <f>E10*F10</f>
        <v/>
      </c>
      <c r="H10" s="16" t="n">
        <v>5.98</v>
      </c>
      <c r="I10" s="17">
        <f>G10*H10</f>
        <v/>
      </c>
    </row>
    <row r="11">
      <c r="A11" s="11" t="inlineStr">
        <is>
          <t>EQUIPAMENTO</t>
        </is>
      </c>
      <c r="B11" s="11" t="inlineStr">
        <is>
          <t>EQ-E0035</t>
        </is>
      </c>
      <c r="C11" s="11" t="inlineStr">
        <is>
          <t>Trator de esteiras 20T</t>
        </is>
      </c>
      <c r="D11" s="18" t="inlineStr">
        <is>
          <t>—</t>
        </is>
      </c>
      <c r="E11" s="16" t="n">
        <v>1</v>
      </c>
      <c r="F11" s="17" t="n">
        <v>21683.2</v>
      </c>
      <c r="G11" s="17">
        <f>E11*F11</f>
        <v/>
      </c>
      <c r="H11" s="16" t="n">
        <v>5.98</v>
      </c>
      <c r="I11" s="17">
        <f>G11*H11</f>
        <v/>
      </c>
    </row>
    <row r="12">
      <c r="A12" s="19" t="inlineStr">
        <is>
          <t>COMBUSTÍVEL</t>
        </is>
      </c>
      <c r="B12" s="11" t="inlineStr">
        <is>
          <t>EQ-E0035</t>
        </is>
      </c>
      <c r="C12" s="11" t="inlineStr">
        <is>
          <t>Diesel S-10 (18.0 L/h)</t>
        </is>
      </c>
      <c r="D12" s="18" t="inlineStr">
        <is>
          <t>—</t>
        </is>
      </c>
      <c r="E12" s="16" t="n">
        <v>1</v>
      </c>
      <c r="F12" s="17" t="n">
        <v>22957.71</v>
      </c>
      <c r="G12" s="17">
        <f>E12*F12</f>
        <v/>
      </c>
      <c r="H12" s="16" t="n">
        <v>5.98</v>
      </c>
      <c r="I12" s="17">
        <f>G12*H12</f>
        <v/>
      </c>
    </row>
    <row r="13">
      <c r="A13" s="11" t="inlineStr">
        <is>
          <t>EQUIPAMENTO</t>
        </is>
      </c>
      <c r="B13" s="11" t="inlineStr">
        <is>
          <t>EQ-E0010</t>
        </is>
      </c>
      <c r="C13" s="11" t="inlineStr">
        <is>
          <t>Caminhão Pipa 10.000L</t>
        </is>
      </c>
      <c r="D13" s="18" t="inlineStr">
        <is>
          <t>—</t>
        </is>
      </c>
      <c r="E13" s="16" t="n">
        <v>1</v>
      </c>
      <c r="F13" s="17" t="n">
        <v>19360</v>
      </c>
      <c r="G13" s="17">
        <f>E13*F13</f>
        <v/>
      </c>
      <c r="H13" s="16" t="n">
        <v>5.98</v>
      </c>
      <c r="I13" s="17">
        <f>G13*H13</f>
        <v/>
      </c>
    </row>
    <row r="14">
      <c r="A14" s="19" t="inlineStr">
        <is>
          <t>COMBUSTÍVEL</t>
        </is>
      </c>
      <c r="B14" s="11" t="inlineStr">
        <is>
          <t>EQ-E0010</t>
        </is>
      </c>
      <c r="C14" s="11" t="inlineStr">
        <is>
          <t>Diesel S-10 (2.0 L/h)</t>
        </is>
      </c>
      <c r="D14" s="18" t="inlineStr">
        <is>
          <t>—</t>
        </is>
      </c>
      <c r="E14" s="16" t="n">
        <v>1</v>
      </c>
      <c r="F14" s="17" t="n">
        <v>2550.86</v>
      </c>
      <c r="G14" s="17">
        <f>E14*F14</f>
        <v/>
      </c>
      <c r="H14" s="16" t="n">
        <v>5.98</v>
      </c>
      <c r="I14" s="17">
        <f>G14*H14</f>
        <v/>
      </c>
    </row>
    <row r="15">
      <c r="A15" s="20" t="inlineStr">
        <is>
          <t>Subtotal eap-1_5</t>
        </is>
      </c>
      <c r="B15" s="21" t="n"/>
      <c r="C15" s="21" t="n"/>
      <c r="D15" s="21" t="n"/>
      <c r="E15" s="21" t="n"/>
      <c r="F15" s="21" t="n"/>
      <c r="G15" s="22">
        <f>SUM(G4:G14)</f>
        <v/>
      </c>
      <c r="H15" s="23" t="n">
        <v>5.98</v>
      </c>
      <c r="I15" s="22">
        <f>SUM(I4:I14)</f>
        <v/>
      </c>
    </row>
    <row r="16">
      <c r="A16" s="9" t="inlineStr">
        <is>
          <t>eap-1_2 — Escavação, carga e transporte de material de 1ª categoria - DT Máximo de 1km</t>
        </is>
      </c>
    </row>
    <row r="17">
      <c r="A17" s="13" t="inlineStr">
        <is>
          <t>MÃO DE OBRA</t>
        </is>
      </c>
      <c r="B17" s="13" t="inlineStr">
        <is>
          <t>MO-OPER-ESCAV</t>
        </is>
      </c>
      <c r="C17" s="13" t="inlineStr">
        <is>
          <t>Operador de Escavadeira</t>
        </is>
      </c>
      <c r="D17" s="24" t="inlineStr">
        <is>
          <t>DIRETO</t>
        </is>
      </c>
      <c r="E17" s="25" t="n">
        <v>1</v>
      </c>
      <c r="F17" s="26" t="n">
        <v>12875</v>
      </c>
      <c r="G17" s="26">
        <f>E17*F17</f>
        <v/>
      </c>
      <c r="H17" s="25" t="n">
        <v>5.98</v>
      </c>
      <c r="I17" s="26">
        <f>G17*H17</f>
        <v/>
      </c>
    </row>
    <row r="18">
      <c r="A18" s="13" t="inlineStr">
        <is>
          <t>MÃO DE OBRA</t>
        </is>
      </c>
      <c r="B18" s="13" t="inlineStr">
        <is>
          <t>MO-MOTOR-CAM-BASC</t>
        </is>
      </c>
      <c r="C18" s="13" t="inlineStr">
        <is>
          <t>Motorista de Caminhão Basculante</t>
        </is>
      </c>
      <c r="D18" s="24" t="inlineStr">
        <is>
          <t>DIRETO</t>
        </is>
      </c>
      <c r="E18" s="25" t="n">
        <v>3</v>
      </c>
      <c r="F18" s="26" t="n">
        <v>10685.34</v>
      </c>
      <c r="G18" s="26">
        <f>E18*F18</f>
        <v/>
      </c>
      <c r="H18" s="25" t="n">
        <v>5.98</v>
      </c>
      <c r="I18" s="26">
        <f>G18*H18</f>
        <v/>
      </c>
    </row>
    <row r="19">
      <c r="A19" s="13" t="inlineStr">
        <is>
          <t>MÃO DE OBRA</t>
        </is>
      </c>
      <c r="B19" s="13" t="inlineStr">
        <is>
          <t>MO-MOTOR-CAM-BASC</t>
        </is>
      </c>
      <c r="C19" s="13" t="inlineStr">
        <is>
          <t>Motorista de Caminhão Basculante</t>
        </is>
      </c>
      <c r="D19" s="24" t="inlineStr">
        <is>
          <t>DIRETO</t>
        </is>
      </c>
      <c r="E19" s="25" t="n">
        <v>1</v>
      </c>
      <c r="F19" s="26" t="n">
        <v>10685.34</v>
      </c>
      <c r="G19" s="26">
        <f>E19*F19</f>
        <v/>
      </c>
      <c r="H19" s="25" t="n">
        <v>5.98</v>
      </c>
      <c r="I19" s="26">
        <f>G19*H19</f>
        <v/>
      </c>
    </row>
    <row r="20">
      <c r="A20" s="13" t="inlineStr">
        <is>
          <t>MÃO DE OBRA</t>
        </is>
      </c>
      <c r="B20" s="13" t="inlineStr">
        <is>
          <t>MO-ENCARREG-TERRA</t>
        </is>
      </c>
      <c r="C20" s="13" t="inlineStr">
        <is>
          <t>Encarregado de Terraplenagem</t>
        </is>
      </c>
      <c r="D20" s="24" t="inlineStr">
        <is>
          <t>DIRETO</t>
        </is>
      </c>
      <c r="E20" s="25" t="n">
        <v>1</v>
      </c>
      <c r="F20" s="26" t="n">
        <v>11549.8</v>
      </c>
      <c r="G20" s="26">
        <f>E20*F20</f>
        <v/>
      </c>
      <c r="H20" s="25" t="n">
        <v>5.98</v>
      </c>
      <c r="I20" s="26">
        <f>G20*H20</f>
        <v/>
      </c>
    </row>
    <row r="21">
      <c r="A21" s="13" t="inlineStr">
        <is>
          <t>EQUIPAMENTO</t>
        </is>
      </c>
      <c r="B21" s="13" t="inlineStr">
        <is>
          <t>EQ-E0016</t>
        </is>
      </c>
      <c r="C21" s="13" t="inlineStr">
        <is>
          <t>Escavadeira Hidráulica 22t</t>
        </is>
      </c>
      <c r="D21" s="27" t="inlineStr">
        <is>
          <t>—</t>
        </is>
      </c>
      <c r="E21" s="25" t="n">
        <v>1</v>
      </c>
      <c r="F21" s="26" t="n">
        <v>35639.3</v>
      </c>
      <c r="G21" s="26">
        <f>E21*F21</f>
        <v/>
      </c>
      <c r="H21" s="25" t="n">
        <v>5.98</v>
      </c>
      <c r="I21" s="26">
        <f>G21*H21</f>
        <v/>
      </c>
    </row>
    <row r="22">
      <c r="A22" s="13" t="inlineStr">
        <is>
          <t>EQUIPAMENTO</t>
        </is>
      </c>
      <c r="B22" s="13" t="inlineStr">
        <is>
          <t>EQ-E0007</t>
        </is>
      </c>
      <c r="C22" s="13" t="inlineStr">
        <is>
          <t>Caminhão Basculante 14m³</t>
        </is>
      </c>
      <c r="D22" s="27" t="inlineStr">
        <is>
          <t>—</t>
        </is>
      </c>
      <c r="E22" s="25" t="n">
        <v>3</v>
      </c>
      <c r="F22" s="26" t="n">
        <v>25132.8</v>
      </c>
      <c r="G22" s="26">
        <f>E22*F22</f>
        <v/>
      </c>
      <c r="H22" s="25" t="n">
        <v>5.98</v>
      </c>
      <c r="I22" s="26">
        <f>G22*H22</f>
        <v/>
      </c>
    </row>
    <row r="23">
      <c r="A23" s="28" t="inlineStr">
        <is>
          <t>COMBUSTÍVEL</t>
        </is>
      </c>
      <c r="B23" s="13" t="inlineStr">
        <is>
          <t>EQ-E0007</t>
        </is>
      </c>
      <c r="C23" s="13" t="inlineStr">
        <is>
          <t>Diesel S-10 (7.3 L/h)</t>
        </is>
      </c>
      <c r="D23" s="27" t="inlineStr">
        <is>
          <t>—</t>
        </is>
      </c>
      <c r="E23" s="25" t="n">
        <v>3</v>
      </c>
      <c r="F23" s="26" t="n">
        <v>9259.610000000001</v>
      </c>
      <c r="G23" s="26">
        <f>E23*F23</f>
        <v/>
      </c>
      <c r="H23" s="25" t="n">
        <v>5.98</v>
      </c>
      <c r="I23" s="26">
        <f>G23*H23</f>
        <v/>
      </c>
    </row>
    <row r="24">
      <c r="A24" s="20" t="inlineStr">
        <is>
          <t>Subtotal eap-1_2</t>
        </is>
      </c>
      <c r="B24" s="21" t="n"/>
      <c r="C24" s="21" t="n"/>
      <c r="D24" s="21" t="n"/>
      <c r="E24" s="21" t="n"/>
      <c r="F24" s="21" t="n"/>
      <c r="G24" s="22">
        <f>SUM(G17:G23)</f>
        <v/>
      </c>
      <c r="H24" s="23" t="n">
        <v>5.98</v>
      </c>
      <c r="I24" s="22">
        <f>SUM(I17:I23)</f>
        <v/>
      </c>
    </row>
    <row r="25">
      <c r="A25" s="9" t="inlineStr">
        <is>
          <t>eap-1_6 — Desmonte de rocha com escavadeira e rompedor hidráulico</t>
        </is>
      </c>
    </row>
    <row r="26">
      <c r="A26" s="11" t="inlineStr">
        <is>
          <t>MÃO DE OBRA</t>
        </is>
      </c>
      <c r="B26" s="11" t="inlineStr">
        <is>
          <t>MO-OPER-ESCAV</t>
        </is>
      </c>
      <c r="C26" s="11" t="inlineStr">
        <is>
          <t>Operador de Escavadeira</t>
        </is>
      </c>
      <c r="D26" s="15" t="inlineStr">
        <is>
          <t>DIRETO</t>
        </is>
      </c>
      <c r="E26" s="16" t="n">
        <v>1</v>
      </c>
      <c r="F26" s="17" t="n">
        <v>12875</v>
      </c>
      <c r="G26" s="17">
        <f>E26*F26</f>
        <v/>
      </c>
      <c r="H26" s="16" t="n">
        <v>5.98</v>
      </c>
      <c r="I26" s="17">
        <f>G26*H26</f>
        <v/>
      </c>
    </row>
    <row r="27">
      <c r="A27" s="11" t="inlineStr">
        <is>
          <t>MÃO DE OBRA</t>
        </is>
      </c>
      <c r="B27" s="11" t="inlineStr">
        <is>
          <t>MO-MOTOR-CAM-BASC</t>
        </is>
      </c>
      <c r="C27" s="11" t="inlineStr">
        <is>
          <t>Motorista de Caminhão Basculante</t>
        </is>
      </c>
      <c r="D27" s="15" t="inlineStr">
        <is>
          <t>DIRETO</t>
        </is>
      </c>
      <c r="E27" s="16" t="n">
        <v>4</v>
      </c>
      <c r="F27" s="17" t="n">
        <v>10685.34</v>
      </c>
      <c r="G27" s="17">
        <f>E27*F27</f>
        <v/>
      </c>
      <c r="H27" s="16" t="n">
        <v>5.98</v>
      </c>
      <c r="I27" s="17">
        <f>G27*H27</f>
        <v/>
      </c>
    </row>
    <row r="28">
      <c r="A28" s="11" t="inlineStr">
        <is>
          <t>MÃO DE OBRA</t>
        </is>
      </c>
      <c r="B28" s="11" t="inlineStr">
        <is>
          <t>MO-MOTOR-CAM-BASC</t>
        </is>
      </c>
      <c r="C28" s="11" t="inlineStr">
        <is>
          <t>Motorista de Caminhão Basculante</t>
        </is>
      </c>
      <c r="D28" s="15" t="inlineStr">
        <is>
          <t>DIRETO</t>
        </is>
      </c>
      <c r="E28" s="16" t="n">
        <v>1</v>
      </c>
      <c r="F28" s="17" t="n">
        <v>10685.34</v>
      </c>
      <c r="G28" s="17">
        <f>E28*F28</f>
        <v/>
      </c>
      <c r="H28" s="16" t="n">
        <v>5.98</v>
      </c>
      <c r="I28" s="17">
        <f>G28*H28</f>
        <v/>
      </c>
    </row>
    <row r="29">
      <c r="A29" s="11" t="inlineStr">
        <is>
          <t>MÃO DE OBRA</t>
        </is>
      </c>
      <c r="B29" s="11" t="inlineStr">
        <is>
          <t>MO-ENCARREG-TERRA</t>
        </is>
      </c>
      <c r="C29" s="11" t="inlineStr">
        <is>
          <t>Encarregado de Terraplenagem</t>
        </is>
      </c>
      <c r="D29" s="15" t="inlineStr">
        <is>
          <t>DIRETO</t>
        </is>
      </c>
      <c r="E29" s="16" t="n">
        <v>1</v>
      </c>
      <c r="F29" s="17" t="n">
        <v>11549.8</v>
      </c>
      <c r="G29" s="17">
        <f>E29*F29</f>
        <v/>
      </c>
      <c r="H29" s="16" t="n">
        <v>5.98</v>
      </c>
      <c r="I29" s="17">
        <f>G29*H29</f>
        <v/>
      </c>
    </row>
    <row r="30">
      <c r="A30" s="11" t="inlineStr">
        <is>
          <t>EQUIPAMENTO</t>
        </is>
      </c>
      <c r="B30" s="11" t="inlineStr">
        <is>
          <t>EQ-E0018</t>
        </is>
      </c>
      <c r="C30" s="11" t="inlineStr">
        <is>
          <t>Escavadeira Hidráulica 38t</t>
        </is>
      </c>
      <c r="D30" s="18" t="inlineStr">
        <is>
          <t>—</t>
        </is>
      </c>
      <c r="E30" s="16" t="n">
        <v>1</v>
      </c>
      <c r="F30" s="17" t="n">
        <v>51527.17</v>
      </c>
      <c r="G30" s="17">
        <f>E30*F30</f>
        <v/>
      </c>
      <c r="H30" s="16" t="n">
        <v>5.98</v>
      </c>
      <c r="I30" s="17">
        <f>G30*H30</f>
        <v/>
      </c>
    </row>
    <row r="31">
      <c r="A31" s="19" t="inlineStr">
        <is>
          <t>COMBUSTÍVEL</t>
        </is>
      </c>
      <c r="B31" s="11" t="inlineStr">
        <is>
          <t>EQ-E0018</t>
        </is>
      </c>
      <c r="C31" s="11" t="inlineStr">
        <is>
          <t>Diesel S-10 (26.0 L/h)</t>
        </is>
      </c>
      <c r="D31" s="18" t="inlineStr">
        <is>
          <t>—</t>
        </is>
      </c>
      <c r="E31" s="16" t="n">
        <v>1</v>
      </c>
      <c r="F31" s="17" t="n">
        <v>33161.14</v>
      </c>
      <c r="G31" s="17">
        <f>E31*F31</f>
        <v/>
      </c>
      <c r="H31" s="16" t="n">
        <v>5.98</v>
      </c>
      <c r="I31" s="17">
        <f>G31*H31</f>
        <v/>
      </c>
    </row>
    <row r="32">
      <c r="A32" s="11" t="inlineStr">
        <is>
          <t>EQUIPAMENTO</t>
        </is>
      </c>
      <c r="B32" s="11" t="inlineStr">
        <is>
          <t>EQ-E0008</t>
        </is>
      </c>
      <c r="C32" s="11" t="inlineStr">
        <is>
          <t>Caminhão Basculante 16m³</t>
        </is>
      </c>
      <c r="D32" s="18" t="inlineStr">
        <is>
          <t>—</t>
        </is>
      </c>
      <c r="E32" s="16" t="n">
        <v>4</v>
      </c>
      <c r="F32" s="17" t="n">
        <v>40084.35</v>
      </c>
      <c r="G32" s="17">
        <f>E32*F32</f>
        <v/>
      </c>
      <c r="H32" s="16" t="n">
        <v>5.98</v>
      </c>
      <c r="I32" s="17">
        <f>G32*H32</f>
        <v/>
      </c>
    </row>
    <row r="33">
      <c r="A33" s="19" t="inlineStr">
        <is>
          <t>COMBUSTÍVEL</t>
        </is>
      </c>
      <c r="B33" s="11" t="inlineStr">
        <is>
          <t>EQ-E0008</t>
        </is>
      </c>
      <c r="C33" s="11" t="inlineStr">
        <is>
          <t>Diesel S-10 (2.5 L/h)</t>
        </is>
      </c>
      <c r="D33" s="18" t="inlineStr">
        <is>
          <t>—</t>
        </is>
      </c>
      <c r="E33" s="16" t="n">
        <v>4</v>
      </c>
      <c r="F33" s="17" t="n">
        <v>3188.57</v>
      </c>
      <c r="G33" s="17">
        <f>E33*F33</f>
        <v/>
      </c>
      <c r="H33" s="16" t="n">
        <v>5.98</v>
      </c>
      <c r="I33" s="17">
        <f>G33*H33</f>
        <v/>
      </c>
    </row>
    <row r="34">
      <c r="A34" s="20" t="inlineStr">
        <is>
          <t>Subtotal eap-1_6</t>
        </is>
      </c>
      <c r="B34" s="21" t="n"/>
      <c r="C34" s="21" t="n"/>
      <c r="D34" s="21" t="n"/>
      <c r="E34" s="21" t="n"/>
      <c r="F34" s="21" t="n"/>
      <c r="G34" s="22">
        <f>SUM(G26:G33)</f>
        <v/>
      </c>
      <c r="H34" s="23" t="n">
        <v>5.98</v>
      </c>
      <c r="I34" s="22">
        <f>SUM(I26:I33)</f>
        <v/>
      </c>
    </row>
    <row r="35">
      <c r="A35" s="9" t="inlineStr">
        <is>
          <t>eap-1_4 — Regularização do subleito - 100% PN</t>
        </is>
      </c>
    </row>
    <row r="36">
      <c r="A36" s="13" t="inlineStr">
        <is>
          <t>MÃO DE OBRA</t>
        </is>
      </c>
      <c r="B36" s="13" t="inlineStr">
        <is>
          <t>MO-OPER-MOTO</t>
        </is>
      </c>
      <c r="C36" s="13" t="inlineStr">
        <is>
          <t>Operador de Motoniveladora</t>
        </is>
      </c>
      <c r="D36" s="24" t="inlineStr">
        <is>
          <t>DIRETO</t>
        </is>
      </c>
      <c r="E36" s="25" t="n">
        <v>1</v>
      </c>
      <c r="F36" s="26" t="n">
        <v>17356.25</v>
      </c>
      <c r="G36" s="26">
        <f>E36*F36</f>
        <v/>
      </c>
      <c r="H36" s="25" t="n">
        <v>5.98</v>
      </c>
      <c r="I36" s="26">
        <f>G36*H36</f>
        <v/>
      </c>
    </row>
    <row r="37">
      <c r="A37" s="13" t="inlineStr">
        <is>
          <t>MÃO DE OBRA</t>
        </is>
      </c>
      <c r="B37" s="13" t="inlineStr">
        <is>
          <t>MO-ENCARREG-TERRA</t>
        </is>
      </c>
      <c r="C37" s="13" t="inlineStr">
        <is>
          <t>Encarregado de Terraplenagem</t>
        </is>
      </c>
      <c r="D37" s="24" t="inlineStr">
        <is>
          <t>DIRETO</t>
        </is>
      </c>
      <c r="E37" s="25" t="n">
        <v>1</v>
      </c>
      <c r="F37" s="26" t="n">
        <v>11549.8</v>
      </c>
      <c r="G37" s="26">
        <f>E37*F37</f>
        <v/>
      </c>
      <c r="H37" s="25" t="n">
        <v>5.98</v>
      </c>
      <c r="I37" s="26">
        <f>G37*H37</f>
        <v/>
      </c>
    </row>
    <row r="38">
      <c r="A38" s="13" t="inlineStr">
        <is>
          <t>EQUIPAMENTO</t>
        </is>
      </c>
      <c r="B38" s="13" t="inlineStr">
        <is>
          <t>EQ-E0029</t>
        </is>
      </c>
      <c r="C38" s="13" t="inlineStr">
        <is>
          <t>Motoniveladora 140HP</t>
        </is>
      </c>
      <c r="D38" s="27" t="inlineStr">
        <is>
          <t>—</t>
        </is>
      </c>
      <c r="E38" s="25" t="n">
        <v>1</v>
      </c>
      <c r="F38" s="26" t="n">
        <v>43326.98</v>
      </c>
      <c r="G38" s="26">
        <f>E38*F38</f>
        <v/>
      </c>
      <c r="H38" s="25" t="n">
        <v>5.98</v>
      </c>
      <c r="I38" s="26">
        <f>G38*H38</f>
        <v/>
      </c>
    </row>
    <row r="39">
      <c r="A39" s="28" t="inlineStr">
        <is>
          <t>COMBUSTÍVEL</t>
        </is>
      </c>
      <c r="B39" s="13" t="inlineStr">
        <is>
          <t>EQ-E0029</t>
        </is>
      </c>
      <c r="C39" s="13" t="inlineStr">
        <is>
          <t>Diesel S-10 (11.0 L/h)</t>
        </is>
      </c>
      <c r="D39" s="27" t="inlineStr">
        <is>
          <t>—</t>
        </is>
      </c>
      <c r="E39" s="25" t="n">
        <v>1</v>
      </c>
      <c r="F39" s="26" t="n">
        <v>14029.71</v>
      </c>
      <c r="G39" s="26">
        <f>E39*F39</f>
        <v/>
      </c>
      <c r="H39" s="25" t="n">
        <v>5.98</v>
      </c>
      <c r="I39" s="26">
        <f>G39*H39</f>
        <v/>
      </c>
    </row>
    <row r="40">
      <c r="A40" s="20" t="inlineStr">
        <is>
          <t>Subtotal eap-1_4</t>
        </is>
      </c>
      <c r="B40" s="21" t="n"/>
      <c r="C40" s="21" t="n"/>
      <c r="D40" s="21" t="n"/>
      <c r="E40" s="21" t="n"/>
      <c r="F40" s="21" t="n"/>
      <c r="G40" s="22">
        <f>SUM(G36:G39)</f>
        <v/>
      </c>
      <c r="H40" s="23" t="n">
        <v>5.98</v>
      </c>
      <c r="I40" s="22">
        <f>SUM(I36:I39)</f>
        <v/>
      </c>
    </row>
    <row r="41">
      <c r="A41" s="9" t="inlineStr">
        <is>
          <t>eap-1_3 — Escavação, carga e transporte de material de 1ª categoria - DMT 3,2km  - (JAZIDA)</t>
        </is>
      </c>
    </row>
    <row r="42">
      <c r="A42" s="11" t="inlineStr">
        <is>
          <t>MÃO DE OBRA</t>
        </is>
      </c>
      <c r="B42" s="11" t="inlineStr">
        <is>
          <t>MO-OPER-ESCAV</t>
        </is>
      </c>
      <c r="C42" s="11" t="inlineStr">
        <is>
          <t>Operador de Escavadeira</t>
        </is>
      </c>
      <c r="D42" s="15" t="inlineStr">
        <is>
          <t>DIRETO</t>
        </is>
      </c>
      <c r="E42" s="16" t="n">
        <v>1</v>
      </c>
      <c r="F42" s="17" t="n">
        <v>12875</v>
      </c>
      <c r="G42" s="17">
        <f>E42*F42</f>
        <v/>
      </c>
      <c r="H42" s="16" t="n">
        <v>5.98</v>
      </c>
      <c r="I42" s="17">
        <f>G42*H42</f>
        <v/>
      </c>
    </row>
    <row r="43">
      <c r="A43" s="11" t="inlineStr">
        <is>
          <t>MÃO DE OBRA</t>
        </is>
      </c>
      <c r="B43" s="11" t="inlineStr">
        <is>
          <t>MO-MOTOR-CAM-BASC</t>
        </is>
      </c>
      <c r="C43" s="11" t="inlineStr">
        <is>
          <t>Motorista de Caminhão Basculante</t>
        </is>
      </c>
      <c r="D43" s="15" t="inlineStr">
        <is>
          <t>DIRETO</t>
        </is>
      </c>
      <c r="E43" s="16" t="n">
        <v>3</v>
      </c>
      <c r="F43" s="17" t="n">
        <v>10685.34</v>
      </c>
      <c r="G43" s="17">
        <f>E43*F43</f>
        <v/>
      </c>
      <c r="H43" s="16" t="n">
        <v>5.98</v>
      </c>
      <c r="I43" s="17">
        <f>G43*H43</f>
        <v/>
      </c>
    </row>
    <row r="44">
      <c r="A44" s="11" t="inlineStr">
        <is>
          <t>MÃO DE OBRA</t>
        </is>
      </c>
      <c r="B44" s="11" t="inlineStr">
        <is>
          <t>MO-MOTOR-CAM-BASC</t>
        </is>
      </c>
      <c r="C44" s="11" t="inlineStr">
        <is>
          <t>Motorista de Caminhão Basculante</t>
        </is>
      </c>
      <c r="D44" s="15" t="inlineStr">
        <is>
          <t>DIRETO</t>
        </is>
      </c>
      <c r="E44" s="16" t="n">
        <v>1</v>
      </c>
      <c r="F44" s="17" t="n">
        <v>10685.34</v>
      </c>
      <c r="G44" s="17">
        <f>E44*F44</f>
        <v/>
      </c>
      <c r="H44" s="16" t="n">
        <v>5.98</v>
      </c>
      <c r="I44" s="17">
        <f>G44*H44</f>
        <v/>
      </c>
    </row>
    <row r="45">
      <c r="A45" s="11" t="inlineStr">
        <is>
          <t>MÃO DE OBRA</t>
        </is>
      </c>
      <c r="B45" s="11" t="inlineStr">
        <is>
          <t>MO-ENCARREG-TERRA</t>
        </is>
      </c>
      <c r="C45" s="11" t="inlineStr">
        <is>
          <t>Encarregado de Terraplenagem</t>
        </is>
      </c>
      <c r="D45" s="15" t="inlineStr">
        <is>
          <t>DIRETO</t>
        </is>
      </c>
      <c r="E45" s="16" t="n">
        <v>1</v>
      </c>
      <c r="F45" s="17" t="n">
        <v>11549.8</v>
      </c>
      <c r="G45" s="17">
        <f>E45*F45</f>
        <v/>
      </c>
      <c r="H45" s="16" t="n">
        <v>5.98</v>
      </c>
      <c r="I45" s="17">
        <f>G45*H45</f>
        <v/>
      </c>
    </row>
    <row r="46">
      <c r="A46" s="11" t="inlineStr">
        <is>
          <t>EQUIPAMENTO</t>
        </is>
      </c>
      <c r="B46" s="11" t="inlineStr">
        <is>
          <t>EQ-E0016</t>
        </is>
      </c>
      <c r="C46" s="11" t="inlineStr">
        <is>
          <t>Escavadeira Hidráulica 22t</t>
        </is>
      </c>
      <c r="D46" s="18" t="inlineStr">
        <is>
          <t>—</t>
        </is>
      </c>
      <c r="E46" s="16" t="n">
        <v>1</v>
      </c>
      <c r="F46" s="17" t="n">
        <v>35639.3</v>
      </c>
      <c r="G46" s="17">
        <f>E46*F46</f>
        <v/>
      </c>
      <c r="H46" s="16" t="n">
        <v>5.98</v>
      </c>
      <c r="I46" s="17">
        <f>G46*H46</f>
        <v/>
      </c>
    </row>
    <row r="47">
      <c r="A47" s="11" t="inlineStr">
        <is>
          <t>EQUIPAMENTO</t>
        </is>
      </c>
      <c r="B47" s="11" t="inlineStr">
        <is>
          <t>EQ-E0007</t>
        </is>
      </c>
      <c r="C47" s="11" t="inlineStr">
        <is>
          <t>Caminhão Basculante 14m³</t>
        </is>
      </c>
      <c r="D47" s="18" t="inlineStr">
        <is>
          <t>—</t>
        </is>
      </c>
      <c r="E47" s="16" t="n">
        <v>3</v>
      </c>
      <c r="F47" s="17" t="n">
        <v>25132.8</v>
      </c>
      <c r="G47" s="17">
        <f>E47*F47</f>
        <v/>
      </c>
      <c r="H47" s="16" t="n">
        <v>5.98</v>
      </c>
      <c r="I47" s="17">
        <f>G47*H47</f>
        <v/>
      </c>
    </row>
    <row r="48">
      <c r="A48" s="19" t="inlineStr">
        <is>
          <t>COMBUSTÍVEL</t>
        </is>
      </c>
      <c r="B48" s="11" t="inlineStr">
        <is>
          <t>EQ-E0007</t>
        </is>
      </c>
      <c r="C48" s="11" t="inlineStr">
        <is>
          <t>Diesel S-10 (7.3 L/h)</t>
        </is>
      </c>
      <c r="D48" s="18" t="inlineStr">
        <is>
          <t>—</t>
        </is>
      </c>
      <c r="E48" s="16" t="n">
        <v>3</v>
      </c>
      <c r="F48" s="17" t="n">
        <v>9259.610000000001</v>
      </c>
      <c r="G48" s="17">
        <f>E48*F48</f>
        <v/>
      </c>
      <c r="H48" s="16" t="n">
        <v>5.98</v>
      </c>
      <c r="I48" s="17">
        <f>G48*H48</f>
        <v/>
      </c>
    </row>
    <row r="49">
      <c r="A49" s="20" t="inlineStr">
        <is>
          <t>Subtotal eap-1_3</t>
        </is>
      </c>
      <c r="B49" s="21" t="n"/>
      <c r="C49" s="21" t="n"/>
      <c r="D49" s="21" t="n"/>
      <c r="E49" s="21" t="n"/>
      <c r="F49" s="21" t="n"/>
      <c r="G49" s="22">
        <f>SUM(G42:G48)</f>
        <v/>
      </c>
      <c r="H49" s="23" t="n">
        <v>5.98</v>
      </c>
      <c r="I49" s="22">
        <f>SUM(I42:I48)</f>
        <v/>
      </c>
    </row>
    <row r="50">
      <c r="A50" s="9" t="inlineStr">
        <is>
          <t>eap-1_1 — Limpeza mecanizada de camada vegetal, incluso carga e transporte</t>
        </is>
      </c>
    </row>
    <row r="51">
      <c r="A51" s="13" t="inlineStr">
        <is>
          <t>MÃO DE OBRA</t>
        </is>
      </c>
      <c r="B51" s="13" t="inlineStr">
        <is>
          <t>MO-OPER-ESCAV</t>
        </is>
      </c>
      <c r="C51" s="13" t="inlineStr">
        <is>
          <t>Operador de Escavadeira</t>
        </is>
      </c>
      <c r="D51" s="24" t="inlineStr">
        <is>
          <t>DIRETO</t>
        </is>
      </c>
      <c r="E51" s="25" t="n">
        <v>1</v>
      </c>
      <c r="F51" s="26" t="n">
        <v>12875</v>
      </c>
      <c r="G51" s="26">
        <f>E51*F51</f>
        <v/>
      </c>
      <c r="H51" s="25" t="n">
        <v>5.98</v>
      </c>
      <c r="I51" s="26">
        <f>G51*H51</f>
        <v/>
      </c>
    </row>
    <row r="52">
      <c r="A52" s="13" t="inlineStr">
        <is>
          <t>MÃO DE OBRA</t>
        </is>
      </c>
      <c r="B52" s="13" t="inlineStr">
        <is>
          <t>MO-OPER-TRATOR-EST</t>
        </is>
      </c>
      <c r="C52" s="13" t="inlineStr">
        <is>
          <t>Operador de Trator de Esteiras</t>
        </is>
      </c>
      <c r="D52" s="24" t="inlineStr">
        <is>
          <t>DIRETO</t>
        </is>
      </c>
      <c r="E52" s="25" t="n">
        <v>1</v>
      </c>
      <c r="F52" s="26" t="n">
        <v>12875</v>
      </c>
      <c r="G52" s="26">
        <f>E52*F52</f>
        <v/>
      </c>
      <c r="H52" s="25" t="n">
        <v>5.98</v>
      </c>
      <c r="I52" s="26">
        <f>G52*H52</f>
        <v/>
      </c>
    </row>
    <row r="53">
      <c r="A53" s="13" t="inlineStr">
        <is>
          <t>MÃO DE OBRA</t>
        </is>
      </c>
      <c r="B53" s="13" t="inlineStr">
        <is>
          <t>MO-AJUDANTE</t>
        </is>
      </c>
      <c r="C53" s="13" t="inlineStr">
        <is>
          <t>Ajudante</t>
        </is>
      </c>
      <c r="D53" s="24" t="inlineStr">
        <is>
          <t>DIRETO</t>
        </is>
      </c>
      <c r="E53" s="25" t="n">
        <v>3</v>
      </c>
      <c r="F53" s="26" t="n">
        <v>5261.65</v>
      </c>
      <c r="G53" s="26">
        <f>E53*F53</f>
        <v/>
      </c>
      <c r="H53" s="25" t="n">
        <v>5.98</v>
      </c>
      <c r="I53" s="26">
        <f>G53*H53</f>
        <v/>
      </c>
    </row>
    <row r="54">
      <c r="A54" s="13" t="inlineStr">
        <is>
          <t>EQUIPAMENTO</t>
        </is>
      </c>
      <c r="B54" s="13" t="inlineStr">
        <is>
          <t>EQ-E0016</t>
        </is>
      </c>
      <c r="C54" s="13" t="inlineStr">
        <is>
          <t>Escavadeira Hidráulica 22t</t>
        </is>
      </c>
      <c r="D54" s="27" t="inlineStr">
        <is>
          <t>—</t>
        </is>
      </c>
      <c r="E54" s="25" t="n">
        <v>1</v>
      </c>
      <c r="F54" s="26" t="n">
        <v>35639.3</v>
      </c>
      <c r="G54" s="26">
        <f>E54*F54</f>
        <v/>
      </c>
      <c r="H54" s="25" t="n">
        <v>5.98</v>
      </c>
      <c r="I54" s="26">
        <f>G54*H54</f>
        <v/>
      </c>
    </row>
    <row r="55">
      <c r="A55" s="13" t="inlineStr">
        <is>
          <t>EQUIPAMENTO</t>
        </is>
      </c>
      <c r="B55" s="13" t="inlineStr">
        <is>
          <t>EQ-E0024</t>
        </is>
      </c>
      <c r="C55" s="13" t="inlineStr">
        <is>
          <t>Trator de Esteiras 20t (300HP)</t>
        </is>
      </c>
      <c r="D55" s="27" t="inlineStr">
        <is>
          <t>—</t>
        </is>
      </c>
      <c r="E55" s="25" t="n">
        <v>1</v>
      </c>
      <c r="F55" s="26" t="n">
        <v>49477.12</v>
      </c>
      <c r="G55" s="26">
        <f>E55*F55</f>
        <v/>
      </c>
      <c r="H55" s="25" t="n">
        <v>5.98</v>
      </c>
      <c r="I55" s="26">
        <f>G55*H55</f>
        <v/>
      </c>
    </row>
    <row r="56">
      <c r="A56" s="28" t="inlineStr">
        <is>
          <t>COMBUSTÍVEL</t>
        </is>
      </c>
      <c r="B56" s="13" t="inlineStr">
        <is>
          <t>EQ-E0024</t>
        </is>
      </c>
      <c r="C56" s="13" t="inlineStr">
        <is>
          <t>Diesel S-10 (18.0 L/h)</t>
        </is>
      </c>
      <c r="D56" s="27" t="inlineStr">
        <is>
          <t>—</t>
        </is>
      </c>
      <c r="E56" s="25" t="n">
        <v>1</v>
      </c>
      <c r="F56" s="26" t="n">
        <v>22957.71</v>
      </c>
      <c r="G56" s="26">
        <f>E56*F56</f>
        <v/>
      </c>
      <c r="H56" s="25" t="n">
        <v>5.98</v>
      </c>
      <c r="I56" s="26">
        <f>G56*H56</f>
        <v/>
      </c>
    </row>
    <row r="57">
      <c r="A57" s="20" t="inlineStr">
        <is>
          <t>Subtotal eap-1_1</t>
        </is>
      </c>
      <c r="B57" s="21" t="n"/>
      <c r="C57" s="21" t="n"/>
      <c r="D57" s="21" t="n"/>
      <c r="E57" s="21" t="n"/>
      <c r="F57" s="21" t="n"/>
      <c r="G57" s="22">
        <f>SUM(G51:G56)</f>
        <v/>
      </c>
      <c r="H57" s="23" t="n">
        <v>5.98</v>
      </c>
      <c r="I57" s="22">
        <f>SUM(I51:I56)</f>
        <v/>
      </c>
    </row>
    <row r="58">
      <c r="A58" s="9" t="inlineStr">
        <is>
          <t>eap-4_2 — Topografia</t>
        </is>
      </c>
    </row>
    <row r="59">
      <c r="A59" s="11" t="inlineStr">
        <is>
          <t>MÃO DE OBRA</t>
        </is>
      </c>
      <c r="B59" s="11" t="inlineStr">
        <is>
          <t>MO-TOPOGRAFO</t>
        </is>
      </c>
      <c r="C59" s="11" t="inlineStr">
        <is>
          <t>Topógrafo</t>
        </is>
      </c>
      <c r="D59" s="15" t="inlineStr">
        <is>
          <t>DIRETO</t>
        </is>
      </c>
      <c r="E59" s="16" t="n">
        <v>1</v>
      </c>
      <c r="F59" s="17" t="n">
        <v>18000</v>
      </c>
      <c r="G59" s="17">
        <f>E59*F59</f>
        <v/>
      </c>
      <c r="H59" s="16" t="n">
        <v>5.98</v>
      </c>
      <c r="I59" s="17">
        <f>G59*H59</f>
        <v/>
      </c>
    </row>
    <row r="60">
      <c r="A60" s="11" t="inlineStr">
        <is>
          <t>MÃO DE OBRA</t>
        </is>
      </c>
      <c r="B60" s="11" t="inlineStr">
        <is>
          <t>MO-AUX-TOPO</t>
        </is>
      </c>
      <c r="C60" s="11" t="inlineStr">
        <is>
          <t>Auxiliar de topografia</t>
        </is>
      </c>
      <c r="D60" s="15" t="inlineStr">
        <is>
          <t>DIRETO</t>
        </is>
      </c>
      <c r="E60" s="16" t="n">
        <v>2</v>
      </c>
      <c r="F60" s="17" t="n">
        <v>5710.32</v>
      </c>
      <c r="G60" s="17">
        <f>E60*F60</f>
        <v/>
      </c>
      <c r="H60" s="16" t="n">
        <v>5.98</v>
      </c>
      <c r="I60" s="17">
        <f>G60*H60</f>
        <v/>
      </c>
    </row>
    <row r="61">
      <c r="A61" s="11" t="inlineStr">
        <is>
          <t>EQUIPAMENTO</t>
        </is>
      </c>
      <c r="B61" s="11" t="inlineStr">
        <is>
          <t>EQ-ESTACAO-TOTAL</t>
        </is>
      </c>
      <c r="C61" s="11" t="inlineStr">
        <is>
          <t>Estação Total</t>
        </is>
      </c>
      <c r="D61" s="18" t="inlineStr">
        <is>
          <t>—</t>
        </is>
      </c>
      <c r="E61" s="16" t="n">
        <v>1</v>
      </c>
      <c r="F61" s="17" t="n">
        <v>2640</v>
      </c>
      <c r="G61" s="17">
        <f>E61*F61</f>
        <v/>
      </c>
      <c r="H61" s="16" t="n">
        <v>5.98</v>
      </c>
      <c r="I61" s="17">
        <f>G61*H61</f>
        <v/>
      </c>
    </row>
    <row r="62">
      <c r="A62" s="20" t="inlineStr">
        <is>
          <t>Subtotal eap-4_2</t>
        </is>
      </c>
      <c r="B62" s="21" t="n"/>
      <c r="C62" s="21" t="n"/>
      <c r="D62" s="21" t="n"/>
      <c r="E62" s="21" t="n"/>
      <c r="F62" s="21" t="n"/>
      <c r="G62" s="22">
        <f>SUM(G59:G61)</f>
        <v/>
      </c>
      <c r="H62" s="23" t="n">
        <v>5.98</v>
      </c>
      <c r="I62" s="22">
        <f>SUM(I59:I61)</f>
        <v/>
      </c>
    </row>
    <row r="63">
      <c r="A63" s="9" t="inlineStr">
        <is>
          <t>eap-1_7 — Carga e transporte de material proveniente do desmonte com caminhão basculante de 12 m³ para rocha - rodovia em leito natural</t>
        </is>
      </c>
    </row>
    <row r="64">
      <c r="A64" s="13" t="inlineStr">
        <is>
          <t>MÃO DE OBRA</t>
        </is>
      </c>
      <c r="B64" s="13" t="inlineStr">
        <is>
          <t>MO-OPER-ESCAV</t>
        </is>
      </c>
      <c r="C64" s="13" t="inlineStr">
        <is>
          <t>Operador de Escavadeira</t>
        </is>
      </c>
      <c r="D64" s="24" t="inlineStr">
        <is>
          <t>DIRETO</t>
        </is>
      </c>
      <c r="E64" s="25" t="n">
        <v>1</v>
      </c>
      <c r="F64" s="26" t="n">
        <v>12875</v>
      </c>
      <c r="G64" s="26">
        <f>E64*F64</f>
        <v/>
      </c>
      <c r="H64" s="25" t="n">
        <v>5.98</v>
      </c>
      <c r="I64" s="26">
        <f>G64*H64</f>
        <v/>
      </c>
    </row>
    <row r="65">
      <c r="A65" s="13" t="inlineStr">
        <is>
          <t>MÃO DE OBRA</t>
        </is>
      </c>
      <c r="B65" s="13" t="inlineStr">
        <is>
          <t>MO-MOTOR-CAM-BASC</t>
        </is>
      </c>
      <c r="C65" s="13" t="inlineStr">
        <is>
          <t>Motorista de Caminhão Basculante</t>
        </is>
      </c>
      <c r="D65" s="24" t="inlineStr">
        <is>
          <t>DIRETO</t>
        </is>
      </c>
      <c r="E65" s="25" t="n">
        <v>3</v>
      </c>
      <c r="F65" s="26" t="n">
        <v>10685.34</v>
      </c>
      <c r="G65" s="26">
        <f>E65*F65</f>
        <v/>
      </c>
      <c r="H65" s="25" t="n">
        <v>5.98</v>
      </c>
      <c r="I65" s="26">
        <f>G65*H65</f>
        <v/>
      </c>
    </row>
    <row r="66">
      <c r="A66" s="13" t="inlineStr">
        <is>
          <t>MÃO DE OBRA</t>
        </is>
      </c>
      <c r="B66" s="13" t="inlineStr">
        <is>
          <t>MO-MOTOR-CAM-BASC</t>
        </is>
      </c>
      <c r="C66" s="13" t="inlineStr">
        <is>
          <t>Motorista de Caminhão Basculante</t>
        </is>
      </c>
      <c r="D66" s="24" t="inlineStr">
        <is>
          <t>DIRETO</t>
        </is>
      </c>
      <c r="E66" s="25" t="n">
        <v>1</v>
      </c>
      <c r="F66" s="26" t="n">
        <v>10685.34</v>
      </c>
      <c r="G66" s="26">
        <f>E66*F66</f>
        <v/>
      </c>
      <c r="H66" s="25" t="n">
        <v>5.98</v>
      </c>
      <c r="I66" s="26">
        <f>G66*H66</f>
        <v/>
      </c>
    </row>
    <row r="67">
      <c r="A67" s="13" t="inlineStr">
        <is>
          <t>MÃO DE OBRA</t>
        </is>
      </c>
      <c r="B67" s="13" t="inlineStr">
        <is>
          <t>MO-ENCARREG-TERRA</t>
        </is>
      </c>
      <c r="C67" s="13" t="inlineStr">
        <is>
          <t>Encarregado de Terraplenagem</t>
        </is>
      </c>
      <c r="D67" s="24" t="inlineStr">
        <is>
          <t>DIRETO</t>
        </is>
      </c>
      <c r="E67" s="25" t="n">
        <v>1</v>
      </c>
      <c r="F67" s="26" t="n">
        <v>11549.8</v>
      </c>
      <c r="G67" s="26">
        <f>E67*F67</f>
        <v/>
      </c>
      <c r="H67" s="25" t="n">
        <v>5.98</v>
      </c>
      <c r="I67" s="26">
        <f>G67*H67</f>
        <v/>
      </c>
    </row>
    <row r="68">
      <c r="A68" s="13" t="inlineStr">
        <is>
          <t>EQUIPAMENTO</t>
        </is>
      </c>
      <c r="B68" s="13" t="inlineStr">
        <is>
          <t>EQ-E0016</t>
        </is>
      </c>
      <c r="C68" s="13" t="inlineStr">
        <is>
          <t>Escavadeira Hidráulica 22t</t>
        </is>
      </c>
      <c r="D68" s="27" t="inlineStr">
        <is>
          <t>—</t>
        </is>
      </c>
      <c r="E68" s="25" t="n">
        <v>1</v>
      </c>
      <c r="F68" s="26" t="n">
        <v>35639.3</v>
      </c>
      <c r="G68" s="26">
        <f>E68*F68</f>
        <v/>
      </c>
      <c r="H68" s="25" t="n">
        <v>5.98</v>
      </c>
      <c r="I68" s="26">
        <f>G68*H68</f>
        <v/>
      </c>
    </row>
    <row r="69">
      <c r="A69" s="13" t="inlineStr">
        <is>
          <t>EQUIPAMENTO</t>
        </is>
      </c>
      <c r="B69" s="13" t="inlineStr">
        <is>
          <t>EQ-E0007</t>
        </is>
      </c>
      <c r="C69" s="13" t="inlineStr">
        <is>
          <t>Caminhão Basculante 14m³</t>
        </is>
      </c>
      <c r="D69" s="27" t="inlineStr">
        <is>
          <t>—</t>
        </is>
      </c>
      <c r="E69" s="25" t="n">
        <v>3</v>
      </c>
      <c r="F69" s="26" t="n">
        <v>25132.8</v>
      </c>
      <c r="G69" s="26">
        <f>E69*F69</f>
        <v/>
      </c>
      <c r="H69" s="25" t="n">
        <v>5.98</v>
      </c>
      <c r="I69" s="26">
        <f>G69*H69</f>
        <v/>
      </c>
    </row>
    <row r="70">
      <c r="A70" s="28" t="inlineStr">
        <is>
          <t>COMBUSTÍVEL</t>
        </is>
      </c>
      <c r="B70" s="13" t="inlineStr">
        <is>
          <t>EQ-E0007</t>
        </is>
      </c>
      <c r="C70" s="13" t="inlineStr">
        <is>
          <t>Diesel S-10 (7.3 L/h)</t>
        </is>
      </c>
      <c r="D70" s="27" t="inlineStr">
        <is>
          <t>—</t>
        </is>
      </c>
      <c r="E70" s="25" t="n">
        <v>3</v>
      </c>
      <c r="F70" s="26" t="n">
        <v>9259.610000000001</v>
      </c>
      <c r="G70" s="26">
        <f>E70*F70</f>
        <v/>
      </c>
      <c r="H70" s="25" t="n">
        <v>5.98</v>
      </c>
      <c r="I70" s="26">
        <f>G70*H70</f>
        <v/>
      </c>
    </row>
    <row r="71">
      <c r="A71" s="20" t="inlineStr">
        <is>
          <t>Subtotal eap-1_7</t>
        </is>
      </c>
      <c r="B71" s="21" t="n"/>
      <c r="C71" s="21" t="n"/>
      <c r="D71" s="21" t="n"/>
      <c r="E71" s="21" t="n"/>
      <c r="F71" s="21" t="n"/>
      <c r="G71" s="22">
        <f>SUM(G64:G70)</f>
        <v/>
      </c>
      <c r="H71" s="23" t="n">
        <v>5.98</v>
      </c>
      <c r="I71" s="22">
        <f>SUM(I64:I70)</f>
        <v/>
      </c>
    </row>
    <row r="73">
      <c r="A73" s="29" t="inlineStr">
        <is>
          <t>TOTAL DIRETO</t>
        </is>
      </c>
      <c r="I73" s="30">
        <f>I15+I24+I34+I40+I49+I57+I62+I71</f>
        <v/>
      </c>
    </row>
  </sheetData>
  <mergeCells count="10">
    <mergeCell ref="A25:I25"/>
    <mergeCell ref="A41:I41"/>
    <mergeCell ref="A63:I63"/>
    <mergeCell ref="A50:I50"/>
    <mergeCell ref="A73:H73"/>
    <mergeCell ref="A1:I1"/>
    <mergeCell ref="A3:I3"/>
    <mergeCell ref="A58:I58"/>
    <mergeCell ref="A35:I35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</cols>
  <sheetData>
    <row r="1">
      <c r="A1" s="1" t="inlineStr">
        <is>
          <t>DIRETOS RESUMIDO — COMPONENTES MO/EQ/COMB/MAT s/BDI e c/BDI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</t>
        </is>
      </c>
      <c r="F2" s="2" t="inlineStr">
        <is>
          <t>EQ s/BDI</t>
        </is>
      </c>
      <c r="G2" s="2" t="inlineStr">
        <is>
          <t>Comb. s/BDI</t>
        </is>
      </c>
      <c r="H2" s="2" t="inlineStr">
        <is>
          <t>MAT s/BDI</t>
        </is>
      </c>
      <c r="I2" s="2" t="inlineStr">
        <is>
          <t>Total s/BDI</t>
        </is>
      </c>
      <c r="J2" s="2" t="inlineStr">
        <is>
          <t>MO c/BDI</t>
        </is>
      </c>
      <c r="K2" s="2" t="inlineStr">
        <is>
          <t>EQ c/BDI</t>
        </is>
      </c>
      <c r="L2" s="2" t="inlineStr">
        <is>
          <t>Comb. c/BDI</t>
        </is>
      </c>
      <c r="M2" s="2" t="inlineStr">
        <is>
          <t>MAT c/BDI</t>
        </is>
      </c>
      <c r="N2" s="2" t="inlineStr">
        <is>
          <t>Total c/BDI</t>
        </is>
      </c>
    </row>
    <row r="3">
      <c r="A3" s="31" t="inlineStr">
        <is>
          <t>eap-1_5</t>
        </is>
      </c>
      <c r="B3" s="31" t="inlineStr">
        <is>
          <t>Aterro Compactado a 100% PN</t>
        </is>
      </c>
      <c r="C3" s="31" t="inlineStr">
        <is>
          <t>m3</t>
        </is>
      </c>
      <c r="D3" s="32" t="n">
        <v>738881.15</v>
      </c>
      <c r="E3" s="33" t="n">
        <v>364553.18</v>
      </c>
      <c r="F3" s="33" t="n">
        <v>504533.68</v>
      </c>
      <c r="G3" s="33" t="n">
        <v>236438.91</v>
      </c>
      <c r="H3" s="33" t="n">
        <v>0</v>
      </c>
      <c r="I3" s="33" t="n">
        <v>1105525.77</v>
      </c>
      <c r="J3" s="33" t="n">
        <v>490307.62</v>
      </c>
      <c r="K3" s="33" t="n">
        <v>678575.09</v>
      </c>
      <c r="L3" s="33" t="n">
        <v>317999.7</v>
      </c>
      <c r="M3" s="33" t="n">
        <v>0</v>
      </c>
      <c r="N3" s="33" t="n">
        <v>1486882.41</v>
      </c>
    </row>
    <row r="4">
      <c r="A4" s="34" t="inlineStr">
        <is>
          <t>eap-1_2</t>
        </is>
      </c>
      <c r="B4" s="34" t="inlineStr">
        <is>
          <t>Escavação, carga e transporte de material de 1ª categoria - DT Máximo de 1km</t>
        </is>
      </c>
      <c r="C4" s="34" t="inlineStr">
        <is>
          <t>m3</t>
        </is>
      </c>
      <c r="D4" s="35" t="n">
        <v>602697.47</v>
      </c>
      <c r="E4" s="36" t="n">
        <v>401653.64</v>
      </c>
      <c r="F4" s="36" t="n">
        <v>664005.45</v>
      </c>
      <c r="G4" s="36" t="n">
        <v>166117.4</v>
      </c>
      <c r="H4" s="36" t="n">
        <v>519128.74</v>
      </c>
      <c r="I4" s="36" t="n">
        <v>1750905.23</v>
      </c>
      <c r="J4" s="36" t="n">
        <v>540206.0699999999</v>
      </c>
      <c r="K4" s="36" t="n">
        <v>893057.4399999999</v>
      </c>
      <c r="L4" s="36" t="n">
        <v>223420.43</v>
      </c>
      <c r="M4" s="36" t="n">
        <v>622954.49</v>
      </c>
      <c r="N4" s="36" t="n">
        <v>2279638.44</v>
      </c>
    </row>
    <row r="5">
      <c r="A5" s="31" t="inlineStr">
        <is>
          <t>eap-1_6</t>
        </is>
      </c>
      <c r="B5" s="31" t="inlineStr">
        <is>
          <t>Desmonte de rocha com escavadeira e rompedor hidráulico</t>
        </is>
      </c>
      <c r="C5" s="31" t="inlineStr">
        <is>
          <t>m3</t>
        </is>
      </c>
      <c r="D5" s="32" t="n">
        <v>9000</v>
      </c>
      <c r="E5" s="33" t="n">
        <v>465551.97</v>
      </c>
      <c r="F5" s="33" t="n">
        <v>1266950.13</v>
      </c>
      <c r="G5" s="33" t="n">
        <v>274574.21</v>
      </c>
      <c r="H5" s="33" t="n">
        <v>0</v>
      </c>
      <c r="I5" s="33" t="n">
        <v>2007076.31</v>
      </c>
      <c r="J5" s="33" t="n">
        <v>626146.45</v>
      </c>
      <c r="K5" s="33" t="n">
        <v>1703990.91</v>
      </c>
      <c r="L5" s="33" t="n">
        <v>369289.96</v>
      </c>
      <c r="M5" s="33" t="n">
        <v>0</v>
      </c>
      <c r="N5" s="33" t="n">
        <v>2699427.32</v>
      </c>
    </row>
    <row r="6">
      <c r="A6" s="34" t="inlineStr">
        <is>
          <t>eap-1_4</t>
        </is>
      </c>
      <c r="B6" s="34" t="inlineStr">
        <is>
          <t>Regularização do subleito - 100% PN</t>
        </is>
      </c>
      <c r="C6" s="34" t="inlineStr">
        <is>
          <t>m2</t>
        </is>
      </c>
      <c r="D6" s="35" t="n">
        <v>487243.38</v>
      </c>
      <c r="E6" s="36" t="n">
        <v>172858.18</v>
      </c>
      <c r="F6" s="36" t="n">
        <v>259095.34</v>
      </c>
      <c r="G6" s="36" t="n">
        <v>83897.67</v>
      </c>
      <c r="H6" s="36" t="n">
        <v>0</v>
      </c>
      <c r="I6" s="36" t="n">
        <v>515851.19</v>
      </c>
      <c r="J6" s="36" t="n">
        <v>232486.47</v>
      </c>
      <c r="K6" s="36" t="n">
        <v>348471.57</v>
      </c>
      <c r="L6" s="36" t="n">
        <v>112838.59</v>
      </c>
      <c r="M6" s="36" t="n">
        <v>0</v>
      </c>
      <c r="N6" s="36" t="n">
        <v>693796.63</v>
      </c>
    </row>
    <row r="7">
      <c r="A7" s="31" t="inlineStr">
        <is>
          <t>eap-1_3</t>
        </is>
      </c>
      <c r="B7" s="31" t="inlineStr">
        <is>
          <t>Escavação, carga e transporte de material de 1ª categoria - DMT 3,2km  - (JAZIDA)</t>
        </is>
      </c>
      <c r="C7" s="31" t="inlineStr">
        <is>
          <t>m3</t>
        </is>
      </c>
      <c r="D7" s="32" t="n">
        <v>136183.6800000001</v>
      </c>
      <c r="E7" s="33" t="n">
        <v>401653.64</v>
      </c>
      <c r="F7" s="33" t="n">
        <v>664005.45</v>
      </c>
      <c r="G7" s="33" t="n">
        <v>166117.4</v>
      </c>
      <c r="H7" s="33" t="n">
        <v>117300.75</v>
      </c>
      <c r="I7" s="33" t="n">
        <v>1349077.23</v>
      </c>
      <c r="J7" s="33" t="n">
        <v>540206.0699999999</v>
      </c>
      <c r="K7" s="33" t="n">
        <v>893057.4399999999</v>
      </c>
      <c r="L7" s="33" t="n">
        <v>223420.43</v>
      </c>
      <c r="M7" s="33" t="n">
        <v>140760.9</v>
      </c>
      <c r="N7" s="33" t="n">
        <v>1797444.84</v>
      </c>
    </row>
    <row r="8">
      <c r="A8" s="34" t="inlineStr">
        <is>
          <t>eap-1_1</t>
        </is>
      </c>
      <c r="B8" s="34" t="inlineStr">
        <is>
          <t>Limpeza mecanizada de camada vegetal, incluso carga e transporte</t>
        </is>
      </c>
      <c r="C8" s="34" t="inlineStr">
        <is>
          <t>m2</t>
        </is>
      </c>
      <c r="D8" s="35" t="n">
        <v>487243.38</v>
      </c>
      <c r="E8" s="36" t="n">
        <v>248379</v>
      </c>
      <c r="F8" s="36" t="n">
        <v>508996.19</v>
      </c>
      <c r="G8" s="36" t="n">
        <v>137287.11</v>
      </c>
      <c r="H8" s="36" t="n">
        <v>148979.39</v>
      </c>
      <c r="I8" s="36" t="n">
        <v>1043641.69</v>
      </c>
      <c r="J8" s="36" t="n">
        <v>334058.58</v>
      </c>
      <c r="K8" s="36" t="n">
        <v>684576.97</v>
      </c>
      <c r="L8" s="36" t="n">
        <v>184644.98</v>
      </c>
      <c r="M8" s="36" t="n">
        <v>178775.26</v>
      </c>
      <c r="N8" s="36" t="n">
        <v>1382055.8</v>
      </c>
    </row>
    <row r="9">
      <c r="A9" s="31" t="inlineStr">
        <is>
          <t>eap-4_2</t>
        </is>
      </c>
      <c r="B9" s="31" t="inlineStr">
        <is>
          <t>Topografia</t>
        </is>
      </c>
      <c r="C9" s="31" t="inlineStr">
        <is>
          <t>vb</t>
        </is>
      </c>
      <c r="D9" s="32" t="n">
        <v>1</v>
      </c>
      <c r="E9" s="33" t="n">
        <v>175935.43</v>
      </c>
      <c r="F9" s="33" t="n">
        <v>15787.2</v>
      </c>
      <c r="G9" s="33" t="n">
        <v>0</v>
      </c>
      <c r="H9" s="33" t="n">
        <v>0</v>
      </c>
      <c r="I9" s="33" t="n">
        <v>191722.63</v>
      </c>
      <c r="J9" s="33" t="n">
        <v>236625.23</v>
      </c>
      <c r="K9" s="33" t="n">
        <v>21233.07</v>
      </c>
      <c r="L9" s="33" t="n">
        <v>0</v>
      </c>
      <c r="M9" s="33" t="n">
        <v>0</v>
      </c>
      <c r="N9" s="33" t="n">
        <v>257858.31</v>
      </c>
    </row>
    <row r="10">
      <c r="A10" s="34" t="inlineStr">
        <is>
          <t>eap-1_7</t>
        </is>
      </c>
      <c r="B10" s="34" t="inlineStr">
        <is>
          <t>Carga e transporte de material proveniente do desmonte com caminhão basculante de 12 m³ para rocha - rodovia em leito natural</t>
        </is>
      </c>
      <c r="C10" s="34" t="inlineStr">
        <is>
          <t>m3</t>
        </is>
      </c>
      <c r="D10" s="35" t="n">
        <v>13500</v>
      </c>
      <c r="E10" s="36" t="n">
        <v>401653.64</v>
      </c>
      <c r="F10" s="36" t="n">
        <v>664005.45</v>
      </c>
      <c r="G10" s="36" t="n">
        <v>166117.4</v>
      </c>
      <c r="H10" s="36" t="n">
        <v>11628.12</v>
      </c>
      <c r="I10" s="36" t="n">
        <v>1243404.61</v>
      </c>
      <c r="J10" s="36" t="n">
        <v>540206.0699999999</v>
      </c>
      <c r="K10" s="36" t="n">
        <v>893057.4399999999</v>
      </c>
      <c r="L10" s="36" t="n">
        <v>223420.43</v>
      </c>
      <c r="M10" s="36" t="n">
        <v>13953.74</v>
      </c>
      <c r="N10" s="36" t="n">
        <v>1670637.69</v>
      </c>
    </row>
    <row r="12">
      <c r="A12" s="29" t="inlineStr">
        <is>
          <t>TOTAL DIRETO</t>
        </is>
      </c>
      <c r="E12" s="30">
        <f>SUM(E3:E11)</f>
        <v/>
      </c>
      <c r="F12" s="30">
        <f>SUM(F3:F11)</f>
        <v/>
      </c>
      <c r="G12" s="30">
        <f>SUM(G3:G11)</f>
        <v/>
      </c>
      <c r="H12" s="30">
        <f>SUM(H3:H11)</f>
        <v/>
      </c>
      <c r="I12" s="30">
        <f>SUM(I3:I11)</f>
        <v/>
      </c>
      <c r="J12" s="30">
        <f>SUM(J3:J11)</f>
        <v/>
      </c>
      <c r="K12" s="30">
        <f>SUM(K3:K11)</f>
        <v/>
      </c>
      <c r="L12" s="30">
        <f>SUM(L3:L11)</f>
        <v/>
      </c>
      <c r="M12" s="30">
        <f>SUM(M3:M11)</f>
        <v/>
      </c>
      <c r="N12" s="30">
        <f>SUM(N3:N11)</f>
        <v/>
      </c>
    </row>
  </sheetData>
  <mergeCells count="2">
    <mergeCell ref="A12:D1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6" customWidth="1" min="4" max="4"/>
    <col width="6" customWidth="1" min="5" max="5"/>
    <col width="18" customWidth="1" min="6" max="6"/>
    <col width="10" customWidth="1" min="7" max="7"/>
    <col width="18" customWidth="1" min="8" max="8"/>
  </cols>
  <sheetData>
    <row r="1">
      <c r="A1" s="1" t="inlineStr">
        <is>
          <t>INDIRETOS — CUSTOS INDIRETOS DETALHADOS</t>
        </is>
      </c>
    </row>
    <row r="2">
      <c r="A2" s="2" t="inlineStr">
        <is>
          <t>Categoria</t>
        </is>
      </c>
      <c r="B2" s="2" t="inlineStr">
        <is>
          <t>Tipo</t>
        </is>
      </c>
      <c r="C2" s="2" t="inlineStr">
        <is>
          <t>Código/Função</t>
        </is>
      </c>
      <c r="D2" s="2" t="inlineStr">
        <is>
          <t>Descrição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Custo Total (R$)</t>
        </is>
      </c>
    </row>
    <row r="3">
      <c r="A3" s="9" t="inlineStr">
        <is>
          <t>ADM — Administracao de obra</t>
        </is>
      </c>
    </row>
    <row r="4">
      <c r="A4" s="3" t="inlineStr">
        <is>
          <t>ADM</t>
        </is>
      </c>
      <c r="B4" s="11" t="inlineStr">
        <is>
          <t>CUSTO TOTAL</t>
        </is>
      </c>
      <c r="C4" s="11" t="inlineStr">
        <is>
          <t>—</t>
        </is>
      </c>
      <c r="D4" s="11" t="inlineStr">
        <is>
          <t>Administracao de obra</t>
        </is>
      </c>
      <c r="E4" s="16" t="n">
        <v>1</v>
      </c>
      <c r="F4" s="17" t="n">
        <v>0</v>
      </c>
      <c r="G4" s="16" t="n">
        <v>6</v>
      </c>
      <c r="H4" s="17" t="n">
        <v>20982234.52</v>
      </c>
    </row>
    <row r="5">
      <c r="A5" s="20" t="inlineStr">
        <is>
          <t>Subtotal ADM</t>
        </is>
      </c>
      <c r="B5" s="21" t="n"/>
      <c r="C5" s="21" t="n"/>
      <c r="D5" s="21" t="n"/>
      <c r="E5" s="21" t="n"/>
      <c r="F5" s="21" t="n"/>
      <c r="G5" s="21" t="n"/>
      <c r="H5" s="22">
        <f>SUM(H4:H4)</f>
        <v/>
      </c>
    </row>
    <row r="6">
      <c r="A6" s="9" t="inlineStr">
        <is>
          <t>TOP — Topografia</t>
        </is>
      </c>
    </row>
    <row r="7">
      <c r="A7" s="6" t="inlineStr">
        <is>
          <t>TOP</t>
        </is>
      </c>
      <c r="B7" s="13" t="inlineStr">
        <is>
          <t>CUSTO TOTAL</t>
        </is>
      </c>
      <c r="C7" s="13" t="inlineStr">
        <is>
          <t>—</t>
        </is>
      </c>
      <c r="D7" s="13" t="inlineStr">
        <is>
          <t>Topografia</t>
        </is>
      </c>
      <c r="E7" s="25" t="n">
        <v>1</v>
      </c>
      <c r="F7" s="26" t="n">
        <v>0</v>
      </c>
      <c r="G7" s="25" t="n">
        <v>6</v>
      </c>
      <c r="H7" s="26" t="n">
        <v>3690416.34</v>
      </c>
    </row>
    <row r="8">
      <c r="A8" s="20" t="inlineStr">
        <is>
          <t>Subtotal TOP</t>
        </is>
      </c>
      <c r="B8" s="21" t="n"/>
      <c r="C8" s="21" t="n"/>
      <c r="D8" s="21" t="n"/>
      <c r="E8" s="21" t="n"/>
      <c r="F8" s="21" t="n"/>
      <c r="G8" s="21" t="n"/>
      <c r="H8" s="22">
        <f>SUM(H7:H7)</f>
        <v/>
      </c>
    </row>
    <row r="9">
      <c r="A9" s="9" t="inlineStr">
        <is>
          <t>LAB — Laboratorio de solos e materiais</t>
        </is>
      </c>
    </row>
    <row r="10">
      <c r="A10" s="3" t="inlineStr">
        <is>
          <t>LAB</t>
        </is>
      </c>
      <c r="B10" s="11" t="inlineStr">
        <is>
          <t>CUSTO TOTAL</t>
        </is>
      </c>
      <c r="C10" s="11" t="inlineStr">
        <is>
          <t>—</t>
        </is>
      </c>
      <c r="D10" s="11" t="inlineStr">
        <is>
          <t>Laboratorio de solos e materiais</t>
        </is>
      </c>
      <c r="E10" s="16" t="n">
        <v>1</v>
      </c>
      <c r="F10" s="17" t="n">
        <v>0</v>
      </c>
      <c r="G10" s="16" t="n">
        <v>6</v>
      </c>
      <c r="H10" s="17" t="n">
        <v>1845208.3</v>
      </c>
    </row>
    <row r="11">
      <c r="A11" s="20" t="inlineStr">
        <is>
          <t>Subtotal LAB</t>
        </is>
      </c>
      <c r="B11" s="21" t="n"/>
      <c r="C11" s="21" t="n"/>
      <c r="D11" s="21" t="n"/>
      <c r="E11" s="21" t="n"/>
      <c r="F11" s="21" t="n"/>
      <c r="G11" s="21" t="n"/>
      <c r="H11" s="22">
        <f>SUM(H10:H10)</f>
        <v/>
      </c>
    </row>
    <row r="12">
      <c r="A12" s="9" t="inlineStr">
        <is>
          <t>QSMS — Qualidade, Saude, Seguranca e Meio Ambiente</t>
        </is>
      </c>
    </row>
    <row r="13">
      <c r="A13" s="6" t="inlineStr">
        <is>
          <t>QSMS</t>
        </is>
      </c>
      <c r="B13" s="13" t="inlineStr">
        <is>
          <t>CUSTO TOTAL</t>
        </is>
      </c>
      <c r="C13" s="13" t="inlineStr">
        <is>
          <t>—</t>
        </is>
      </c>
      <c r="D13" s="13" t="inlineStr">
        <is>
          <t>Qualidade, Saude, Seguranca e Meio Ambiente</t>
        </is>
      </c>
      <c r="E13" s="25" t="n">
        <v>1</v>
      </c>
      <c r="F13" s="26" t="n">
        <v>0</v>
      </c>
      <c r="G13" s="25" t="n">
        <v>6</v>
      </c>
      <c r="H13" s="26" t="n">
        <v>1855423.96</v>
      </c>
    </row>
    <row r="14">
      <c r="A14" s="20" t="inlineStr">
        <is>
          <t>Subtotal QSMS</t>
        </is>
      </c>
      <c r="B14" s="21" t="n"/>
      <c r="C14" s="21" t="n"/>
      <c r="D14" s="21" t="n"/>
      <c r="E14" s="21" t="n"/>
      <c r="F14" s="21" t="n"/>
      <c r="G14" s="21" t="n"/>
      <c r="H14" s="22">
        <f>SUM(H13:H13)</f>
        <v/>
      </c>
    </row>
    <row r="15">
      <c r="A15" s="9" t="inlineStr">
        <is>
          <t>MOB — Mobilizacao e desmobilizacao</t>
        </is>
      </c>
    </row>
    <row r="16">
      <c r="A16" s="3" t="inlineStr">
        <is>
          <t>MOB</t>
        </is>
      </c>
      <c r="B16" s="11" t="inlineStr">
        <is>
          <t>CUSTO TOTAL</t>
        </is>
      </c>
      <c r="C16" s="11" t="inlineStr">
        <is>
          <t>—</t>
        </is>
      </c>
      <c r="D16" s="11" t="inlineStr">
        <is>
          <t>Mobilizacao e desmobilizacao</t>
        </is>
      </c>
      <c r="E16" s="16" t="n">
        <v>1</v>
      </c>
      <c r="F16" s="17" t="n">
        <v>0</v>
      </c>
      <c r="G16" s="16" t="n">
        <v>6</v>
      </c>
      <c r="H16" s="17" t="n">
        <v>0</v>
      </c>
    </row>
    <row r="17">
      <c r="A17" s="20" t="inlineStr">
        <is>
          <t>Subtotal MOB</t>
        </is>
      </c>
      <c r="B17" s="21" t="n"/>
      <c r="C17" s="21" t="n"/>
      <c r="D17" s="21" t="n"/>
      <c r="E17" s="21" t="n"/>
      <c r="F17" s="21" t="n"/>
      <c r="G17" s="21" t="n"/>
      <c r="H17" s="22">
        <f>SUM(H16:H16)</f>
        <v/>
      </c>
    </row>
    <row r="19">
      <c r="A19" s="29" t="inlineStr">
        <is>
          <t>TOTAL INDIRETO</t>
        </is>
      </c>
      <c r="H19" s="30">
        <f>H5+H8+H11+H14+H17</f>
        <v/>
      </c>
    </row>
    <row r="22">
      <c r="A22" s="9" t="inlineStr">
        <is>
          <t>Distribuição Mensal de Indiretos</t>
        </is>
      </c>
    </row>
    <row r="23">
      <c r="A23" s="10" t="inlineStr">
        <is>
          <t>Mês</t>
        </is>
      </c>
      <c r="B23" s="10" t="inlineStr">
        <is>
          <t>Despesa Indireta (R$)</t>
        </is>
      </c>
      <c r="C23" s="10" t="inlineStr"/>
      <c r="D23" s="10" t="inlineStr"/>
      <c r="E23" s="10" t="inlineStr"/>
      <c r="F23" s="10" t="inlineStr"/>
      <c r="G23" s="10" t="inlineStr"/>
      <c r="H23" s="10" t="inlineStr"/>
    </row>
    <row r="24">
      <c r="A24" s="11" t="inlineStr">
        <is>
          <t>Dez/24</t>
        </is>
      </c>
      <c r="B24" s="17" t="n">
        <v>4728880.52</v>
      </c>
      <c r="C24" s="12" t="n"/>
      <c r="D24" s="12" t="n"/>
      <c r="E24" s="12" t="n"/>
      <c r="F24" s="12" t="n"/>
      <c r="G24" s="12" t="n"/>
      <c r="H24" s="12" t="n"/>
    </row>
    <row r="25">
      <c r="A25" s="13" t="inlineStr">
        <is>
          <t>Jan/25</t>
        </is>
      </c>
      <c r="B25" s="26" t="n">
        <v>4728880.52</v>
      </c>
      <c r="C25" s="14" t="n"/>
      <c r="D25" s="14" t="n"/>
      <c r="E25" s="14" t="n"/>
      <c r="F25" s="14" t="n"/>
      <c r="G25" s="14" t="n"/>
      <c r="H25" s="14" t="n"/>
    </row>
    <row r="26">
      <c r="A26" s="11" t="inlineStr">
        <is>
          <t>Fev/25</t>
        </is>
      </c>
      <c r="B26" s="17" t="n">
        <v>4728880.52</v>
      </c>
      <c r="C26" s="12" t="n"/>
      <c r="D26" s="12" t="n"/>
      <c r="E26" s="12" t="n"/>
      <c r="F26" s="12" t="n"/>
      <c r="G26" s="12" t="n"/>
      <c r="H26" s="12" t="n"/>
    </row>
    <row r="27">
      <c r="A27" s="13" t="inlineStr">
        <is>
          <t>Mar/25</t>
        </is>
      </c>
      <c r="B27" s="26" t="n">
        <v>4728880.52</v>
      </c>
      <c r="C27" s="14" t="n"/>
      <c r="D27" s="14" t="n"/>
      <c r="E27" s="14" t="n"/>
      <c r="F27" s="14" t="n"/>
      <c r="G27" s="14" t="n"/>
      <c r="H27" s="14" t="n"/>
    </row>
    <row r="28">
      <c r="A28" s="11" t="inlineStr">
        <is>
          <t>Abr/25</t>
        </is>
      </c>
      <c r="B28" s="17" t="n">
        <v>4728880.52</v>
      </c>
      <c r="C28" s="12" t="n"/>
      <c r="D28" s="12" t="n"/>
      <c r="E28" s="12" t="n"/>
      <c r="F28" s="12" t="n"/>
      <c r="G28" s="12" t="n"/>
      <c r="H28" s="12" t="n"/>
    </row>
    <row r="29">
      <c r="A29" s="13" t="inlineStr">
        <is>
          <t>Mai/25</t>
        </is>
      </c>
      <c r="B29" s="26" t="n">
        <v>4728880.52</v>
      </c>
      <c r="C29" s="14" t="n"/>
      <c r="D29" s="14" t="n"/>
      <c r="E29" s="14" t="n"/>
      <c r="F29" s="14" t="n"/>
      <c r="G29" s="14" t="n"/>
      <c r="H29" s="14" t="n"/>
    </row>
    <row r="30">
      <c r="A30" s="11" t="inlineStr">
        <is>
          <t>Jun/25</t>
        </is>
      </c>
      <c r="B30" s="17" t="n">
        <v>0</v>
      </c>
      <c r="C30" s="12" t="n"/>
      <c r="D30" s="12" t="n"/>
      <c r="E30" s="12" t="n"/>
      <c r="F30" s="12" t="n"/>
      <c r="G30" s="12" t="n"/>
      <c r="H30" s="12" t="n"/>
    </row>
  </sheetData>
  <mergeCells count="8">
    <mergeCell ref="A9:H9"/>
    <mergeCell ref="A12:H12"/>
    <mergeCell ref="A3:H3"/>
    <mergeCell ref="A15:H15"/>
    <mergeCell ref="A1:H1"/>
    <mergeCell ref="A19:G19"/>
    <mergeCell ref="A6:H6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0" customWidth="1" min="4" max="4"/>
    <col width="18" customWidth="1" min="5" max="5"/>
    <col width="14" customWidth="1" min="6" max="6"/>
  </cols>
  <sheetData>
    <row r="1">
      <c r="A1" s="1" t="inlineStr">
        <is>
          <t>INDIRETOS RESUMIDO — CATEGORIAS + INDICADORES</t>
        </is>
      </c>
    </row>
    <row r="2">
      <c r="A2" s="2" t="inlineStr">
        <is>
          <t>Categoria</t>
        </is>
      </c>
      <c r="B2" s="2" t="inlineStr">
        <is>
          <t>Descrição</t>
        </is>
      </c>
      <c r="C2" s="2" t="inlineStr">
        <is>
          <t>Custo s/BDI (R$)</t>
        </is>
      </c>
      <c r="D2" s="2" t="inlineStr">
        <is>
          <t>BDI (%)</t>
        </is>
      </c>
      <c r="E2" s="2" t="inlineStr">
        <is>
          <t>Custo c/BDI (R$)</t>
        </is>
      </c>
      <c r="F2" s="2" t="inlineStr">
        <is>
          <t>% do Total</t>
        </is>
      </c>
    </row>
    <row r="3">
      <c r="A3" s="3" t="inlineStr">
        <is>
          <t>ADM</t>
        </is>
      </c>
      <c r="B3" s="11" t="inlineStr">
        <is>
          <t>Administracao de obra</t>
        </is>
      </c>
      <c r="C3" s="17" t="n">
        <v>20982234.52</v>
      </c>
      <c r="D3" s="4" t="n">
        <v>22.37</v>
      </c>
      <c r="E3" s="17" t="n">
        <v>25676715.74</v>
      </c>
      <c r="F3" s="4" t="n">
        <v>73.95</v>
      </c>
    </row>
    <row r="4">
      <c r="A4" s="6" t="inlineStr">
        <is>
          <t>TOP</t>
        </is>
      </c>
      <c r="B4" s="13" t="inlineStr">
        <is>
          <t>Topografia</t>
        </is>
      </c>
      <c r="C4" s="26" t="n">
        <v>3690416.34</v>
      </c>
      <c r="D4" s="7" t="n">
        <v>22.37</v>
      </c>
      <c r="E4" s="26" t="n">
        <v>4516095.33</v>
      </c>
      <c r="F4" s="7" t="n">
        <v>13.01</v>
      </c>
    </row>
    <row r="5">
      <c r="A5" s="3" t="inlineStr">
        <is>
          <t>LAB</t>
        </is>
      </c>
      <c r="B5" s="11" t="inlineStr">
        <is>
          <t>Laboratorio de solos e materiais</t>
        </is>
      </c>
      <c r="C5" s="17" t="n">
        <v>1845208.3</v>
      </c>
      <c r="D5" s="4" t="n">
        <v>22.37</v>
      </c>
      <c r="E5" s="17" t="n">
        <v>2258047.82</v>
      </c>
      <c r="F5" s="4" t="n">
        <v>6.5</v>
      </c>
    </row>
    <row r="6">
      <c r="A6" s="6" t="inlineStr">
        <is>
          <t>QSMS</t>
        </is>
      </c>
      <c r="B6" s="13" t="inlineStr">
        <is>
          <t>Qualidade, Saude, Seguranca e Meio Ambiente</t>
        </is>
      </c>
      <c r="C6" s="26" t="n">
        <v>1855423.96</v>
      </c>
      <c r="D6" s="7" t="n">
        <v>22.37</v>
      </c>
      <c r="E6" s="26" t="n">
        <v>2270549.1</v>
      </c>
      <c r="F6" s="7" t="n">
        <v>6.54</v>
      </c>
    </row>
    <row r="7">
      <c r="A7" s="3" t="inlineStr">
        <is>
          <t>MOB</t>
        </is>
      </c>
      <c r="B7" s="11" t="inlineStr">
        <is>
          <t>Mobilizacao e desmobilizacao</t>
        </is>
      </c>
      <c r="C7" s="17" t="n">
        <v>0</v>
      </c>
      <c r="D7" s="4" t="n">
        <v>22.37</v>
      </c>
      <c r="E7" s="17" t="n">
        <v>0</v>
      </c>
      <c r="F7" s="4" t="n">
        <v>0</v>
      </c>
    </row>
    <row r="9">
      <c r="A9" s="29" t="inlineStr">
        <is>
          <t>TOTAL INDIRETO</t>
        </is>
      </c>
      <c r="C9" s="30">
        <f>C3+C4+C5+C6+C7</f>
        <v/>
      </c>
      <c r="D9" s="37" t="n"/>
      <c r="E9" s="30">
        <f>E3+E4+E5+E6+E7</f>
        <v/>
      </c>
      <c r="F9" s="37" t="n"/>
    </row>
    <row r="12">
      <c r="A12" s="9" t="inlineStr">
        <is>
          <t>INDICADORES DE COMPOSIÇÃO DE CUSTO</t>
        </is>
      </c>
    </row>
    <row r="13">
      <c r="A13" s="38" t="inlineStr">
        <is>
          <t>TOTAL DIRETO (catálogo s/BDI)</t>
        </is>
      </c>
      <c r="B13" s="39" t="n"/>
      <c r="C13" s="40" t="n">
        <v>9207204.66</v>
      </c>
      <c r="D13" s="41" t="n"/>
      <c r="E13" s="41" t="n"/>
      <c r="F13" s="39" t="n"/>
    </row>
    <row r="14">
      <c r="A14" s="38" t="inlineStr">
        <is>
          <t>TOTAL INDIRETO s/BDI</t>
        </is>
      </c>
      <c r="B14" s="39" t="n"/>
      <c r="C14" s="40" t="n">
        <v>28373283.12</v>
      </c>
      <c r="D14" s="41" t="n"/>
      <c r="E14" s="41" t="n"/>
      <c r="F14" s="39" t="n"/>
    </row>
    <row r="15">
      <c r="A15" s="38" t="inlineStr">
        <is>
          <t>RAZÃO CI / CD</t>
        </is>
      </c>
      <c r="B15" s="39" t="n"/>
      <c r="C15" s="42" t="n">
        <v>308.16</v>
      </c>
      <c r="D15" s="41" t="n"/>
      <c r="E15" s="41" t="n"/>
      <c r="F15" s="39" t="n"/>
    </row>
    <row r="16">
      <c r="A16" s="38" t="inlineStr">
        <is>
          <t>PREÇO DE VENDA TOTAL</t>
        </is>
      </c>
      <c r="B16" s="39" t="n"/>
      <c r="C16" s="40" t="n">
        <v>12267741.44</v>
      </c>
      <c r="D16" s="41" t="n"/>
      <c r="E16" s="41" t="n"/>
      <c r="F16" s="39" t="n"/>
    </row>
    <row r="17">
      <c r="A17" s="38" t="inlineStr">
        <is>
          <t>CI / PVT</t>
        </is>
      </c>
      <c r="B17" s="39" t="n"/>
      <c r="C17" s="42" t="n">
        <v>231.28</v>
      </c>
      <c r="D17" s="41" t="n"/>
      <c r="E17" s="41" t="n"/>
      <c r="F17" s="39" t="n"/>
    </row>
  </sheetData>
  <mergeCells count="13">
    <mergeCell ref="C13:F13"/>
    <mergeCell ref="A16:B16"/>
    <mergeCell ref="C17:F17"/>
    <mergeCell ref="A15:B15"/>
    <mergeCell ref="A1:F1"/>
    <mergeCell ref="A13:B13"/>
    <mergeCell ref="A14:B14"/>
    <mergeCell ref="C15:F15"/>
    <mergeCell ref="A12:F12"/>
    <mergeCell ref="C16:F16"/>
    <mergeCell ref="A17:B17"/>
    <mergeCell ref="A9:B9"/>
    <mergeCell ref="C14:F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  <col width="12" customWidth="1" min="15" max="15"/>
  </cols>
  <sheetData>
    <row r="1">
      <c r="A1" s="1" t="inlineStr">
        <is>
          <t>PLANEJAMENTO — ORÇAMENTO POR EAP (COMPONENTES s/BDI e c/BDI)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 (R$)</t>
        </is>
      </c>
      <c r="F2" s="2" t="inlineStr">
        <is>
          <t>EQ s/BDI (R$)</t>
        </is>
      </c>
      <c r="G2" s="2" t="inlineStr">
        <is>
          <t>Comb. s/BDI (R$)</t>
        </is>
      </c>
      <c r="H2" s="2" t="inlineStr">
        <is>
          <t>MAT s/BDI (R$)</t>
        </is>
      </c>
      <c r="I2" s="2" t="inlineStr">
        <is>
          <t>Total s/BDI (R$)</t>
        </is>
      </c>
      <c r="J2" s="2" t="inlineStr">
        <is>
          <t>MO c/BDI (R$)</t>
        </is>
      </c>
      <c r="K2" s="2" t="inlineStr">
        <is>
          <t>EQ c/BDI (R$)</t>
        </is>
      </c>
      <c r="L2" s="2" t="inlineStr">
        <is>
          <t>Comb. c/BDI (R$)</t>
        </is>
      </c>
      <c r="M2" s="2" t="inlineStr">
        <is>
          <t>MAT c/BDI (R$)</t>
        </is>
      </c>
      <c r="N2" s="2" t="inlineStr">
        <is>
          <t>Total c/BDI (R$)</t>
        </is>
      </c>
      <c r="O2" s="2" t="inlineStr">
        <is>
          <t>Criticidade</t>
        </is>
      </c>
    </row>
    <row r="3">
      <c r="A3" s="43" t="inlineStr">
        <is>
          <t>eap-1_5</t>
        </is>
      </c>
      <c r="B3" s="43" t="inlineStr">
        <is>
          <t>Aterro Compactado a 100% PN</t>
        </is>
      </c>
      <c r="C3" s="43" t="inlineStr">
        <is>
          <t>m3</t>
        </is>
      </c>
      <c r="D3" s="44" t="n">
        <v>738881.15</v>
      </c>
      <c r="E3" s="45" t="n">
        <v>364553.18</v>
      </c>
      <c r="F3" s="45" t="n">
        <v>504533.68</v>
      </c>
      <c r="G3" s="45" t="n">
        <v>236438.91</v>
      </c>
      <c r="H3" s="45" t="n">
        <v>0</v>
      </c>
      <c r="I3" s="45" t="n">
        <v>1105525.77</v>
      </c>
      <c r="J3" s="45" t="n">
        <v>490307.62</v>
      </c>
      <c r="K3" s="45" t="n">
        <v>678575.09</v>
      </c>
      <c r="L3" s="45" t="n">
        <v>317999.7</v>
      </c>
      <c r="M3" s="45" t="n">
        <v>0</v>
      </c>
      <c r="N3" s="45" t="n">
        <v>1486882.41</v>
      </c>
      <c r="O3" s="43" t="inlineStr">
        <is>
          <t>A</t>
        </is>
      </c>
    </row>
    <row r="4">
      <c r="A4" s="43" t="inlineStr">
        <is>
          <t>eap-1_2</t>
        </is>
      </c>
      <c r="B4" s="43" t="inlineStr">
        <is>
          <t>Escavação, carga e transporte de material de 1ª categoria - DT Máximo de 1km</t>
        </is>
      </c>
      <c r="C4" s="43" t="inlineStr">
        <is>
          <t>m3</t>
        </is>
      </c>
      <c r="D4" s="44" t="n">
        <v>602697.47</v>
      </c>
      <c r="E4" s="45" t="n">
        <v>401653.64</v>
      </c>
      <c r="F4" s="45" t="n">
        <v>664005.45</v>
      </c>
      <c r="G4" s="45" t="n">
        <v>166117.4</v>
      </c>
      <c r="H4" s="45" t="n">
        <v>519128.74</v>
      </c>
      <c r="I4" s="45" t="n">
        <v>1750905.23</v>
      </c>
      <c r="J4" s="45" t="n">
        <v>540206.0699999999</v>
      </c>
      <c r="K4" s="45" t="n">
        <v>893057.4399999999</v>
      </c>
      <c r="L4" s="45" t="n">
        <v>223420.43</v>
      </c>
      <c r="M4" s="45" t="n">
        <v>622954.49</v>
      </c>
      <c r="N4" s="45" t="n">
        <v>2279638.44</v>
      </c>
      <c r="O4" s="43" t="inlineStr">
        <is>
          <t>A</t>
        </is>
      </c>
    </row>
    <row r="5">
      <c r="A5" s="46" t="inlineStr">
        <is>
          <t>eap-1_6</t>
        </is>
      </c>
      <c r="B5" s="46" t="inlineStr">
        <is>
          <t>Desmonte de rocha com escavadeira e rompedor hidráulico</t>
        </is>
      </c>
      <c r="C5" s="46" t="inlineStr">
        <is>
          <t>m3</t>
        </is>
      </c>
      <c r="D5" s="47" t="n">
        <v>9000</v>
      </c>
      <c r="E5" s="48" t="n">
        <v>465551.97</v>
      </c>
      <c r="F5" s="48" t="n">
        <v>1266950.13</v>
      </c>
      <c r="G5" s="48" t="n">
        <v>274574.21</v>
      </c>
      <c r="H5" s="48" t="n">
        <v>0</v>
      </c>
      <c r="I5" s="48" t="n">
        <v>2007076.31</v>
      </c>
      <c r="J5" s="48" t="n">
        <v>626146.45</v>
      </c>
      <c r="K5" s="48" t="n">
        <v>1703990.91</v>
      </c>
      <c r="L5" s="48" t="n">
        <v>369289.96</v>
      </c>
      <c r="M5" s="48" t="n">
        <v>0</v>
      </c>
      <c r="N5" s="48" t="n">
        <v>2699427.32</v>
      </c>
      <c r="O5" s="46" t="inlineStr">
        <is>
          <t>B</t>
        </is>
      </c>
    </row>
    <row r="6">
      <c r="A6" s="34" t="inlineStr">
        <is>
          <t>eap-1_4</t>
        </is>
      </c>
      <c r="B6" s="34" t="inlineStr">
        <is>
          <t>Regularização do subleito - 100% PN</t>
        </is>
      </c>
      <c r="C6" s="34" t="inlineStr">
        <is>
          <t>m2</t>
        </is>
      </c>
      <c r="D6" s="35" t="n">
        <v>487243.38</v>
      </c>
      <c r="E6" s="36" t="n">
        <v>172858.18</v>
      </c>
      <c r="F6" s="36" t="n">
        <v>259095.34</v>
      </c>
      <c r="G6" s="36" t="n">
        <v>83897.67</v>
      </c>
      <c r="H6" s="36" t="n">
        <v>0</v>
      </c>
      <c r="I6" s="36" t="n">
        <v>515851.19</v>
      </c>
      <c r="J6" s="36" t="n">
        <v>232486.47</v>
      </c>
      <c r="K6" s="36" t="n">
        <v>348471.57</v>
      </c>
      <c r="L6" s="36" t="n">
        <v>112838.59</v>
      </c>
      <c r="M6" s="36" t="n">
        <v>0</v>
      </c>
      <c r="N6" s="36" t="n">
        <v>693796.63</v>
      </c>
      <c r="O6" s="34" t="inlineStr">
        <is>
          <t>C</t>
        </is>
      </c>
    </row>
    <row r="7">
      <c r="A7" s="31" t="inlineStr">
        <is>
          <t>eap-1_3</t>
        </is>
      </c>
      <c r="B7" s="31" t="inlineStr">
        <is>
          <t>Escavação, carga e transporte de material de 1ª categoria - DMT 3,2km  - (JAZIDA)</t>
        </is>
      </c>
      <c r="C7" s="31" t="inlineStr">
        <is>
          <t>m3</t>
        </is>
      </c>
      <c r="D7" s="32" t="n">
        <v>136183.6800000001</v>
      </c>
      <c r="E7" s="33" t="n">
        <v>401653.64</v>
      </c>
      <c r="F7" s="33" t="n">
        <v>664005.45</v>
      </c>
      <c r="G7" s="33" t="n">
        <v>166117.4</v>
      </c>
      <c r="H7" s="33" t="n">
        <v>117300.75</v>
      </c>
      <c r="I7" s="33" t="n">
        <v>1349077.23</v>
      </c>
      <c r="J7" s="33" t="n">
        <v>540206.0699999999</v>
      </c>
      <c r="K7" s="33" t="n">
        <v>893057.4399999999</v>
      </c>
      <c r="L7" s="33" t="n">
        <v>223420.43</v>
      </c>
      <c r="M7" s="33" t="n">
        <v>140760.9</v>
      </c>
      <c r="N7" s="33" t="n">
        <v>1797444.84</v>
      </c>
      <c r="O7" s="31" t="inlineStr">
        <is>
          <t>C</t>
        </is>
      </c>
    </row>
    <row r="8">
      <c r="A8" s="46" t="inlineStr">
        <is>
          <t>eap-1_1</t>
        </is>
      </c>
      <c r="B8" s="46" t="inlineStr">
        <is>
          <t>Limpeza mecanizada de camada vegetal, incluso carga e transporte</t>
        </is>
      </c>
      <c r="C8" s="46" t="inlineStr">
        <is>
          <t>m2</t>
        </is>
      </c>
      <c r="D8" s="47" t="n">
        <v>487243.38</v>
      </c>
      <c r="E8" s="48" t="n">
        <v>248379</v>
      </c>
      <c r="F8" s="48" t="n">
        <v>508996.19</v>
      </c>
      <c r="G8" s="48" t="n">
        <v>137287.11</v>
      </c>
      <c r="H8" s="48" t="n">
        <v>148979.39</v>
      </c>
      <c r="I8" s="48" t="n">
        <v>1043641.69</v>
      </c>
      <c r="J8" s="48" t="n">
        <v>334058.58</v>
      </c>
      <c r="K8" s="48" t="n">
        <v>684576.97</v>
      </c>
      <c r="L8" s="48" t="n">
        <v>184644.98</v>
      </c>
      <c r="M8" s="48" t="n">
        <v>178775.26</v>
      </c>
      <c r="N8" s="48" t="n">
        <v>1382055.8</v>
      </c>
      <c r="O8" s="46" t="inlineStr">
        <is>
          <t>B</t>
        </is>
      </c>
    </row>
    <row r="9">
      <c r="A9" s="31" t="inlineStr">
        <is>
          <t>eap-4_2</t>
        </is>
      </c>
      <c r="B9" s="31" t="inlineStr">
        <is>
          <t>Topografia</t>
        </is>
      </c>
      <c r="C9" s="31" t="inlineStr">
        <is>
          <t>vb</t>
        </is>
      </c>
      <c r="D9" s="32" t="n">
        <v>1</v>
      </c>
      <c r="E9" s="33" t="n">
        <v>175935.43</v>
      </c>
      <c r="F9" s="33" t="n">
        <v>15787.2</v>
      </c>
      <c r="G9" s="33" t="n">
        <v>0</v>
      </c>
      <c r="H9" s="33" t="n">
        <v>0</v>
      </c>
      <c r="I9" s="33" t="n">
        <v>191722.63</v>
      </c>
      <c r="J9" s="33" t="n">
        <v>236625.23</v>
      </c>
      <c r="K9" s="33" t="n">
        <v>21233.07</v>
      </c>
      <c r="L9" s="33" t="n">
        <v>0</v>
      </c>
      <c r="M9" s="33" t="n">
        <v>0</v>
      </c>
      <c r="N9" s="33" t="n">
        <v>257858.31</v>
      </c>
      <c r="O9" s="31" t="inlineStr">
        <is>
          <t>C</t>
        </is>
      </c>
    </row>
    <row r="10">
      <c r="A10" s="34" t="inlineStr">
        <is>
          <t>eap-1_7</t>
        </is>
      </c>
      <c r="B10" s="34" t="inlineStr">
        <is>
          <t>Carga e transporte de material proveniente do desmonte com caminhão basculante de 12 m³ para rocha - rodovia em leito natural</t>
        </is>
      </c>
      <c r="C10" s="34" t="inlineStr">
        <is>
          <t>m3</t>
        </is>
      </c>
      <c r="D10" s="35" t="n">
        <v>13500</v>
      </c>
      <c r="E10" s="36" t="n">
        <v>401653.64</v>
      </c>
      <c r="F10" s="36" t="n">
        <v>664005.45</v>
      </c>
      <c r="G10" s="36" t="n">
        <v>166117.4</v>
      </c>
      <c r="H10" s="36" t="n">
        <v>11628.12</v>
      </c>
      <c r="I10" s="36" t="n">
        <v>1243404.61</v>
      </c>
      <c r="J10" s="36" t="n">
        <v>540206.0699999999</v>
      </c>
      <c r="K10" s="36" t="n">
        <v>893057.4399999999</v>
      </c>
      <c r="L10" s="36" t="n">
        <v>223420.43</v>
      </c>
      <c r="M10" s="36" t="n">
        <v>13953.74</v>
      </c>
      <c r="N10" s="36" t="n">
        <v>1670637.69</v>
      </c>
      <c r="O10" s="34" t="inlineStr">
        <is>
          <t>C</t>
        </is>
      </c>
    </row>
    <row r="12">
      <c r="A12" s="29" t="inlineStr">
        <is>
          <t>TOTAL</t>
        </is>
      </c>
      <c r="E12" s="30">
        <f>SUM(E3:E11)</f>
        <v/>
      </c>
      <c r="F12" s="30">
        <f>SUM(F3:F11)</f>
        <v/>
      </c>
      <c r="G12" s="30">
        <f>SUM(G3:G11)</f>
        <v/>
      </c>
      <c r="H12" s="30">
        <f>SUM(H3:H11)</f>
        <v/>
      </c>
      <c r="I12" s="30">
        <f>SUM(I3:I11)</f>
        <v/>
      </c>
      <c r="J12" s="30">
        <f>SUM(J3:J11)</f>
        <v/>
      </c>
      <c r="K12" s="30">
        <f>SUM(K3:K11)</f>
        <v/>
      </c>
      <c r="L12" s="30">
        <f>SUM(L3:L11)</f>
        <v/>
      </c>
      <c r="M12" s="30">
        <f>SUM(M3:M11)</f>
        <v/>
      </c>
      <c r="N12" s="30">
        <f>SUM(N3:N11)</f>
        <v/>
      </c>
      <c r="O12" s="30">
        <f>SUM(O3:O11)</f>
        <v/>
      </c>
    </row>
  </sheetData>
  <mergeCells count="2">
    <mergeCell ref="A1:O1"/>
    <mergeCell ref="A12:D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2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>
      <c r="A1" s="1" t="inlineStr">
        <is>
          <t>CRONOGRAMA SEMANAL — ACOMPANHAMENTO FÍSICO DE PRODUÇÃO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Métrica</t>
        </is>
      </c>
      <c r="E2" s="2" t="inlineStr">
        <is>
          <t>30/Dez</t>
        </is>
      </c>
      <c r="F2" s="2" t="inlineStr">
        <is>
          <t>06/Jan</t>
        </is>
      </c>
      <c r="G2" s="2" t="inlineStr">
        <is>
          <t>13/Jan</t>
        </is>
      </c>
      <c r="H2" s="2" t="inlineStr">
        <is>
          <t>20/Jan</t>
        </is>
      </c>
      <c r="I2" s="2" t="inlineStr">
        <is>
          <t>27/Jan</t>
        </is>
      </c>
      <c r="J2" s="2" t="inlineStr">
        <is>
          <t>03/Fev</t>
        </is>
      </c>
      <c r="K2" s="2" t="inlineStr">
        <is>
          <t>10/Fev</t>
        </is>
      </c>
      <c r="L2" s="2" t="inlineStr">
        <is>
          <t>17/Fev</t>
        </is>
      </c>
      <c r="M2" s="2" t="inlineStr">
        <is>
          <t>24/Fev</t>
        </is>
      </c>
      <c r="N2" s="2" t="inlineStr">
        <is>
          <t>03/Mar</t>
        </is>
      </c>
      <c r="O2" s="2" t="inlineStr">
        <is>
          <t>10/Mar</t>
        </is>
      </c>
      <c r="P2" s="2" t="inlineStr">
        <is>
          <t>17/Mar</t>
        </is>
      </c>
      <c r="Q2" s="2" t="inlineStr">
        <is>
          <t>24/Mar</t>
        </is>
      </c>
      <c r="R2" s="2" t="inlineStr">
        <is>
          <t>31/Mar</t>
        </is>
      </c>
      <c r="S2" s="2" t="inlineStr">
        <is>
          <t>07/Abr</t>
        </is>
      </c>
      <c r="T2" s="2" t="inlineStr">
        <is>
          <t>14/Abr</t>
        </is>
      </c>
      <c r="U2" s="2" t="inlineStr">
        <is>
          <t>21/Abr</t>
        </is>
      </c>
      <c r="V2" s="2" t="inlineStr">
        <is>
          <t>28/Abr</t>
        </is>
      </c>
      <c r="W2" s="2" t="inlineStr">
        <is>
          <t>05/Mai</t>
        </is>
      </c>
      <c r="X2" s="2" t="inlineStr">
        <is>
          <t>12/Mai</t>
        </is>
      </c>
      <c r="Y2" s="2" t="inlineStr">
        <is>
          <t>19/Mai</t>
        </is>
      </c>
      <c r="Z2" s="2" t="inlineStr">
        <is>
          <t>26/Mai</t>
        </is>
      </c>
      <c r="AA2" s="2" t="inlineStr">
        <is>
          <t>02/Jun</t>
        </is>
      </c>
      <c r="AB2" s="2" t="inlineStr">
        <is>
          <t>09/Jun</t>
        </is>
      </c>
      <c r="AC2" s="2" t="inlineStr">
        <is>
          <t>16/Jun</t>
        </is>
      </c>
      <c r="AD2" s="2" t="inlineStr">
        <is>
          <t>23/Jun</t>
        </is>
      </c>
      <c r="AE2" s="2" t="inlineStr">
        <is>
          <t>30/Jun</t>
        </is>
      </c>
    </row>
    <row r="3">
      <c r="A3" s="49" t="n"/>
      <c r="B3" s="49" t="n"/>
      <c r="C3" s="49" t="n"/>
      <c r="D3" s="50" t="inlineStr">
        <is>
          <t>Praticabilidade</t>
        </is>
      </c>
      <c r="E3" s="51" t="n">
        <v>0.8571</v>
      </c>
      <c r="F3" s="52" t="n">
        <v>1</v>
      </c>
      <c r="G3" s="51" t="n">
        <v>0.8571</v>
      </c>
      <c r="H3" s="51" t="n">
        <v>0.7143</v>
      </c>
      <c r="I3" s="51" t="n">
        <v>0.8571</v>
      </c>
      <c r="J3" s="51" t="n">
        <v>0.7143</v>
      </c>
      <c r="K3" s="51" t="n">
        <v>0.8571</v>
      </c>
      <c r="L3" s="51" t="n">
        <v>0.5714</v>
      </c>
      <c r="M3" s="51" t="n">
        <v>0.7143</v>
      </c>
      <c r="N3" s="51" t="n">
        <v>0.5714</v>
      </c>
      <c r="O3" s="51" t="n">
        <v>0.8571</v>
      </c>
      <c r="P3" s="51" t="n">
        <v>0.5714</v>
      </c>
      <c r="Q3" s="51" t="n">
        <v>0.5714</v>
      </c>
      <c r="R3" s="51" t="n">
        <v>0.8571</v>
      </c>
      <c r="S3" s="52" t="n">
        <v>1</v>
      </c>
      <c r="T3" s="51" t="n">
        <v>0.8571</v>
      </c>
      <c r="U3" s="51" t="n">
        <v>0.8571</v>
      </c>
      <c r="V3" s="51" t="n">
        <v>0.8571</v>
      </c>
      <c r="W3" s="51" t="n">
        <v>0.8571</v>
      </c>
      <c r="X3" s="52" t="n">
        <v>1</v>
      </c>
      <c r="Y3" s="51" t="n">
        <v>0.7143</v>
      </c>
      <c r="Z3" s="52" t="n">
        <v>1</v>
      </c>
      <c r="AA3" s="52" t="n">
        <v>1</v>
      </c>
      <c r="AB3" s="52" t="n">
        <v>1</v>
      </c>
      <c r="AC3" s="52" t="n">
        <v>1</v>
      </c>
      <c r="AD3" s="52" t="n">
        <v>1</v>
      </c>
      <c r="AE3" s="52" t="n">
        <v>1</v>
      </c>
    </row>
    <row r="4">
      <c r="A4" s="20" t="inlineStr">
        <is>
          <t>eap-1_5</t>
        </is>
      </c>
      <c r="B4" s="20" t="inlineStr">
        <is>
          <t>Aterro Compactado a 100% PN</t>
        </is>
      </c>
      <c r="C4" s="53" t="inlineStr">
        <is>
          <t>m3</t>
        </is>
      </c>
      <c r="D4" s="54" t="inlineStr">
        <is>
          <t>Dias Trabalhados</t>
        </is>
      </c>
      <c r="E4" s="55" t="n">
        <v>6</v>
      </c>
      <c r="F4" s="55" t="n">
        <v>6</v>
      </c>
      <c r="G4" s="55" t="n">
        <v>6</v>
      </c>
      <c r="H4" s="55" t="n">
        <v>6</v>
      </c>
      <c r="I4" s="55" t="n">
        <v>6</v>
      </c>
      <c r="J4" s="55" t="n">
        <v>6</v>
      </c>
      <c r="K4" s="55" t="n">
        <v>6</v>
      </c>
      <c r="L4" s="55" t="n">
        <v>6</v>
      </c>
      <c r="M4" s="55" t="n">
        <v>6</v>
      </c>
      <c r="N4" s="55" t="n">
        <v>6</v>
      </c>
      <c r="O4" s="55" t="n">
        <v>6</v>
      </c>
      <c r="P4" s="55" t="n">
        <v>6</v>
      </c>
      <c r="Q4" s="55" t="n">
        <v>6</v>
      </c>
      <c r="R4" s="55" t="n">
        <v>6</v>
      </c>
      <c r="S4" s="55" t="n">
        <v>6</v>
      </c>
      <c r="T4" s="55" t="n">
        <v>6</v>
      </c>
      <c r="U4" s="55" t="n">
        <v>6</v>
      </c>
      <c r="V4" s="55" t="n">
        <v>6</v>
      </c>
      <c r="W4" s="55" t="n">
        <v>6</v>
      </c>
      <c r="X4" s="55" t="n">
        <v>6</v>
      </c>
      <c r="Y4" s="55" t="n">
        <v>6</v>
      </c>
      <c r="Z4" s="55" t="n">
        <v>6</v>
      </c>
      <c r="AA4" s="55" t="n">
        <v>6</v>
      </c>
      <c r="AB4" s="55" t="n">
        <v>6</v>
      </c>
      <c r="AC4" s="55" t="n">
        <v>6</v>
      </c>
      <c r="AD4" s="55" t="n">
        <v>6</v>
      </c>
      <c r="AE4" s="56" t="n"/>
    </row>
    <row r="5">
      <c r="A5" s="11" t="n"/>
      <c r="B5" s="11" t="n"/>
      <c r="C5" s="18" t="n"/>
      <c r="D5" s="57" t="inlineStr">
        <is>
          <t>Nº De Equipes</t>
        </is>
      </c>
      <c r="E5" s="58" t="n">
        <v>5</v>
      </c>
      <c r="F5" s="58" t="n">
        <v>5</v>
      </c>
      <c r="G5" s="58" t="n">
        <v>5</v>
      </c>
      <c r="H5" s="58" t="n">
        <v>5</v>
      </c>
      <c r="I5" s="58" t="n">
        <v>5</v>
      </c>
      <c r="J5" s="58" t="n">
        <v>5</v>
      </c>
      <c r="K5" s="58" t="n">
        <v>5</v>
      </c>
      <c r="L5" s="58" t="n">
        <v>5</v>
      </c>
      <c r="M5" s="58" t="n">
        <v>5</v>
      </c>
      <c r="N5" s="58" t="n">
        <v>5</v>
      </c>
      <c r="O5" s="58" t="n">
        <v>5</v>
      </c>
      <c r="P5" s="58" t="n">
        <v>5</v>
      </c>
      <c r="Q5" s="58" t="n">
        <v>5</v>
      </c>
      <c r="R5" s="58" t="n">
        <v>5</v>
      </c>
      <c r="S5" s="58" t="n">
        <v>5</v>
      </c>
      <c r="T5" s="58" t="n">
        <v>5</v>
      </c>
      <c r="U5" s="58" t="n">
        <v>5</v>
      </c>
      <c r="V5" s="58" t="n">
        <v>5</v>
      </c>
      <c r="W5" s="58" t="n">
        <v>5</v>
      </c>
      <c r="X5" s="58" t="n">
        <v>5</v>
      </c>
      <c r="Y5" s="58" t="n">
        <v>5</v>
      </c>
      <c r="Z5" s="58" t="n">
        <v>5</v>
      </c>
      <c r="AA5" s="58" t="n">
        <v>5</v>
      </c>
      <c r="AB5" s="58" t="n">
        <v>5</v>
      </c>
      <c r="AC5" s="58" t="n">
        <v>5</v>
      </c>
      <c r="AD5" s="58" t="n">
        <v>5</v>
      </c>
      <c r="AE5" s="59" t="n"/>
    </row>
    <row r="6">
      <c r="A6" s="11" t="n"/>
      <c r="B6" s="11" t="n"/>
      <c r="C6" s="18" t="n"/>
      <c r="D6" s="57" t="inlineStr">
        <is>
          <t>Qtd. Planejada</t>
        </is>
      </c>
      <c r="E6" s="33" t="n">
        <v>33348.73</v>
      </c>
      <c r="F6" s="33" t="n">
        <v>38908.8</v>
      </c>
      <c r="G6" s="33" t="n">
        <v>33348.73</v>
      </c>
      <c r="H6" s="33" t="n">
        <v>27792.56</v>
      </c>
      <c r="I6" s="33" t="n">
        <v>33348.73</v>
      </c>
      <c r="J6" s="33" t="n">
        <v>27792.56</v>
      </c>
      <c r="K6" s="33" t="n">
        <v>33348.73</v>
      </c>
      <c r="L6" s="33" t="n">
        <v>22232.49</v>
      </c>
      <c r="M6" s="33" t="n">
        <v>27792.56</v>
      </c>
      <c r="N6" s="33" t="n">
        <v>22232.49</v>
      </c>
      <c r="O6" s="33" t="n">
        <v>33348.73</v>
      </c>
      <c r="P6" s="33" t="n">
        <v>22232.49</v>
      </c>
      <c r="Q6" s="33" t="n">
        <v>22232.49</v>
      </c>
      <c r="R6" s="33" t="n">
        <v>33348.73</v>
      </c>
      <c r="S6" s="33" t="n">
        <v>38908.8</v>
      </c>
      <c r="T6" s="33" t="n">
        <v>33348.73</v>
      </c>
      <c r="U6" s="33" t="n">
        <v>33348.73</v>
      </c>
      <c r="V6" s="33" t="n">
        <v>33348.73</v>
      </c>
      <c r="W6" s="33" t="n">
        <v>33348.73</v>
      </c>
      <c r="X6" s="33" t="n">
        <v>38908.8</v>
      </c>
      <c r="Y6" s="33" t="n">
        <v>27792.56</v>
      </c>
      <c r="Z6" s="33" t="n">
        <v>38908.8</v>
      </c>
      <c r="AA6" s="33" t="n">
        <v>38908.8</v>
      </c>
      <c r="AB6" s="33" t="n">
        <v>10749.65</v>
      </c>
      <c r="AC6" s="59" t="n"/>
      <c r="AD6" s="59" t="n"/>
      <c r="AE6" s="59" t="n"/>
    </row>
    <row r="7">
      <c r="A7" s="11" t="n"/>
      <c r="B7" s="11" t="n"/>
      <c r="C7" s="18" t="n"/>
      <c r="D7" s="57" t="inlineStr">
        <is>
          <t>Qtd Plan. Acumulada</t>
        </is>
      </c>
      <c r="E7" s="33" t="n">
        <v>33348.73</v>
      </c>
      <c r="F7" s="33" t="n">
        <v>72257.53</v>
      </c>
      <c r="G7" s="33" t="n">
        <v>105606.26</v>
      </c>
      <c r="H7" s="33" t="n">
        <v>133398.82</v>
      </c>
      <c r="I7" s="33" t="n">
        <v>166747.55</v>
      </c>
      <c r="J7" s="33" t="n">
        <v>194540.11</v>
      </c>
      <c r="K7" s="33" t="n">
        <v>227888.84</v>
      </c>
      <c r="L7" s="33" t="n">
        <v>250121.33</v>
      </c>
      <c r="M7" s="33" t="n">
        <v>277913.89</v>
      </c>
      <c r="N7" s="33" t="n">
        <v>300146.37</v>
      </c>
      <c r="O7" s="33" t="n">
        <v>333495.11</v>
      </c>
      <c r="P7" s="33" t="n">
        <v>355727.59</v>
      </c>
      <c r="Q7" s="33" t="n">
        <v>377960.08</v>
      </c>
      <c r="R7" s="33" t="n">
        <v>411308.82</v>
      </c>
      <c r="S7" s="33" t="n">
        <v>450217.62</v>
      </c>
      <c r="T7" s="33" t="n">
        <v>483566.35</v>
      </c>
      <c r="U7" s="33" t="n">
        <v>516915.08</v>
      </c>
      <c r="V7" s="33" t="n">
        <v>550263.8100000001</v>
      </c>
      <c r="W7" s="33" t="n">
        <v>583612.55</v>
      </c>
      <c r="X7" s="33" t="n">
        <v>622521.35</v>
      </c>
      <c r="Y7" s="33" t="n">
        <v>650313.9</v>
      </c>
      <c r="Z7" s="33" t="n">
        <v>689222.7</v>
      </c>
      <c r="AA7" s="33" t="n">
        <v>728131.5</v>
      </c>
      <c r="AB7" s="33" t="n">
        <v>738881.15</v>
      </c>
      <c r="AC7" s="33" t="n">
        <v>738881.15</v>
      </c>
      <c r="AD7" s="33" t="n">
        <v>738881.15</v>
      </c>
      <c r="AE7" s="33" t="n">
        <v>738881.15</v>
      </c>
    </row>
    <row r="8">
      <c r="A8" s="11" t="n"/>
      <c r="B8" s="11" t="n"/>
      <c r="C8" s="18" t="n"/>
      <c r="D8" s="57" t="inlineStr">
        <is>
          <t>Eficiência</t>
        </is>
      </c>
      <c r="E8" s="60" t="n">
        <v>0.8571</v>
      </c>
      <c r="F8" s="60" t="n">
        <v>1</v>
      </c>
      <c r="G8" s="60" t="n">
        <v>0.8571</v>
      </c>
      <c r="H8" s="60" t="n">
        <v>0.7143</v>
      </c>
      <c r="I8" s="60" t="n">
        <v>0.8571</v>
      </c>
      <c r="J8" s="60" t="n">
        <v>0.7143</v>
      </c>
      <c r="K8" s="60" t="n">
        <v>0.8571</v>
      </c>
      <c r="L8" s="60" t="n">
        <v>0.5714</v>
      </c>
      <c r="M8" s="60" t="n">
        <v>0.7143</v>
      </c>
      <c r="N8" s="60" t="n">
        <v>0.5714</v>
      </c>
      <c r="O8" s="60" t="n">
        <v>0.8571</v>
      </c>
      <c r="P8" s="60" t="n">
        <v>0.5714</v>
      </c>
      <c r="Q8" s="60" t="n">
        <v>0.5714</v>
      </c>
      <c r="R8" s="60" t="n">
        <v>0.8571</v>
      </c>
      <c r="S8" s="60" t="n">
        <v>1</v>
      </c>
      <c r="T8" s="60" t="n">
        <v>0.8571</v>
      </c>
      <c r="U8" s="60" t="n">
        <v>0.8571</v>
      </c>
      <c r="V8" s="60" t="n">
        <v>0.8571</v>
      </c>
      <c r="W8" s="60" t="n">
        <v>0.8571</v>
      </c>
      <c r="X8" s="60" t="n">
        <v>1</v>
      </c>
      <c r="Y8" s="60" t="n">
        <v>0.7143</v>
      </c>
      <c r="Z8" s="60" t="n">
        <v>1</v>
      </c>
      <c r="AA8" s="60" t="n">
        <v>1</v>
      </c>
      <c r="AB8" s="60" t="n">
        <v>1</v>
      </c>
      <c r="AC8" s="60" t="n">
        <v>1</v>
      </c>
      <c r="AD8" s="60" t="n">
        <v>1</v>
      </c>
      <c r="AE8" s="59" t="n"/>
    </row>
    <row r="9">
      <c r="A9" s="61" t="inlineStr">
        <is>
          <t>eap-1_2</t>
        </is>
      </c>
      <c r="B9" s="61" t="inlineStr">
        <is>
          <t>Escavação, carga e transporte de material de 1ª categoria - DT Máximo de 1km</t>
        </is>
      </c>
      <c r="C9" s="62" t="inlineStr">
        <is>
          <t>m3</t>
        </is>
      </c>
      <c r="D9" s="63" t="inlineStr">
        <is>
          <t>Dias Trabalhados</t>
        </is>
      </c>
      <c r="E9" s="64" t="n">
        <v>6</v>
      </c>
      <c r="F9" s="64" t="n">
        <v>6</v>
      </c>
      <c r="G9" s="64" t="n">
        <v>6</v>
      </c>
      <c r="H9" s="64" t="n">
        <v>6</v>
      </c>
      <c r="I9" s="64" t="n">
        <v>6</v>
      </c>
      <c r="J9" s="64" t="n">
        <v>6</v>
      </c>
      <c r="K9" s="64" t="n">
        <v>6</v>
      </c>
      <c r="L9" s="64" t="n">
        <v>6</v>
      </c>
      <c r="M9" s="64" t="n">
        <v>6</v>
      </c>
      <c r="N9" s="64" t="n">
        <v>6</v>
      </c>
      <c r="O9" s="64" t="n">
        <v>6</v>
      </c>
      <c r="P9" s="64" t="n">
        <v>6</v>
      </c>
      <c r="Q9" s="64" t="n">
        <v>6</v>
      </c>
      <c r="R9" s="64" t="n">
        <v>6</v>
      </c>
      <c r="S9" s="64" t="n">
        <v>6</v>
      </c>
      <c r="T9" s="64" t="n">
        <v>6</v>
      </c>
      <c r="U9" s="64" t="n">
        <v>6</v>
      </c>
      <c r="V9" s="64" t="n">
        <v>6</v>
      </c>
      <c r="W9" s="64" t="n">
        <v>6</v>
      </c>
      <c r="X9" s="64" t="n">
        <v>6</v>
      </c>
      <c r="Y9" s="64" t="n">
        <v>6</v>
      </c>
      <c r="Z9" s="64" t="n">
        <v>6</v>
      </c>
      <c r="AA9" s="64" t="n">
        <v>6</v>
      </c>
      <c r="AB9" s="64" t="n">
        <v>6</v>
      </c>
      <c r="AC9" s="64" t="n">
        <v>6</v>
      </c>
      <c r="AD9" s="64" t="n">
        <v>6</v>
      </c>
      <c r="AE9" s="65" t="n"/>
    </row>
    <row r="10">
      <c r="A10" s="13" t="n"/>
      <c r="B10" s="13" t="n"/>
      <c r="C10" s="27" t="n"/>
      <c r="D10" s="66" t="inlineStr">
        <is>
          <t>Nº De Equipes</t>
        </is>
      </c>
      <c r="E10" s="67" t="n">
        <v>4</v>
      </c>
      <c r="F10" s="67" t="n">
        <v>4</v>
      </c>
      <c r="G10" s="67" t="n">
        <v>4</v>
      </c>
      <c r="H10" s="67" t="n">
        <v>4</v>
      </c>
      <c r="I10" s="67" t="n">
        <v>4</v>
      </c>
      <c r="J10" s="67" t="n">
        <v>4</v>
      </c>
      <c r="K10" s="67" t="n">
        <v>4</v>
      </c>
      <c r="L10" s="67" t="n">
        <v>4</v>
      </c>
      <c r="M10" s="67" t="n">
        <v>4</v>
      </c>
      <c r="N10" s="67" t="n">
        <v>4</v>
      </c>
      <c r="O10" s="67" t="n">
        <v>4</v>
      </c>
      <c r="P10" s="67" t="n">
        <v>4</v>
      </c>
      <c r="Q10" s="67" t="n">
        <v>4</v>
      </c>
      <c r="R10" s="67" t="n">
        <v>4</v>
      </c>
      <c r="S10" s="67" t="n">
        <v>4</v>
      </c>
      <c r="T10" s="67" t="n">
        <v>4</v>
      </c>
      <c r="U10" s="67" t="n">
        <v>4</v>
      </c>
      <c r="V10" s="67" t="n">
        <v>4</v>
      </c>
      <c r="W10" s="67" t="n">
        <v>4</v>
      </c>
      <c r="X10" s="67" t="n">
        <v>4</v>
      </c>
      <c r="Y10" s="67" t="n">
        <v>4</v>
      </c>
      <c r="Z10" s="67" t="n">
        <v>4</v>
      </c>
      <c r="AA10" s="67" t="n">
        <v>4</v>
      </c>
      <c r="AB10" s="67" t="n">
        <v>4</v>
      </c>
      <c r="AC10" s="67" t="n">
        <v>4</v>
      </c>
      <c r="AD10" s="67" t="n">
        <v>4</v>
      </c>
      <c r="AE10" s="68" t="n"/>
    </row>
    <row r="11">
      <c r="A11" s="13" t="n"/>
      <c r="B11" s="13" t="n"/>
      <c r="C11" s="27" t="n"/>
      <c r="D11" s="66" t="inlineStr">
        <is>
          <t>Qtd. Planejada</t>
        </is>
      </c>
      <c r="E11" s="36" t="n">
        <v>26269.22</v>
      </c>
      <c r="F11" s="36" t="n">
        <v>30648.96</v>
      </c>
      <c r="G11" s="36" t="n">
        <v>26269.22</v>
      </c>
      <c r="H11" s="36" t="n">
        <v>21892.55</v>
      </c>
      <c r="I11" s="36" t="n">
        <v>26269.22</v>
      </c>
      <c r="J11" s="36" t="n">
        <v>21892.55</v>
      </c>
      <c r="K11" s="36" t="n">
        <v>26269.22</v>
      </c>
      <c r="L11" s="36" t="n">
        <v>17512.82</v>
      </c>
      <c r="M11" s="36" t="n">
        <v>21892.55</v>
      </c>
      <c r="N11" s="36" t="n">
        <v>17512.82</v>
      </c>
      <c r="O11" s="36" t="n">
        <v>26269.22</v>
      </c>
      <c r="P11" s="36" t="n">
        <v>17512.82</v>
      </c>
      <c r="Q11" s="36" t="n">
        <v>17512.82</v>
      </c>
      <c r="R11" s="36" t="n">
        <v>26269.22</v>
      </c>
      <c r="S11" s="36" t="n">
        <v>30648.96</v>
      </c>
      <c r="T11" s="36" t="n">
        <v>26269.22</v>
      </c>
      <c r="U11" s="36" t="n">
        <v>26269.22</v>
      </c>
      <c r="V11" s="36" t="n">
        <v>26269.22</v>
      </c>
      <c r="W11" s="36" t="n">
        <v>26269.22</v>
      </c>
      <c r="X11" s="36" t="n">
        <v>30648.96</v>
      </c>
      <c r="Y11" s="36" t="n">
        <v>21892.55</v>
      </c>
      <c r="Z11" s="36" t="n">
        <v>30648.96</v>
      </c>
      <c r="AA11" s="36" t="n">
        <v>30648.96</v>
      </c>
      <c r="AB11" s="36" t="n">
        <v>29138.96</v>
      </c>
      <c r="AC11" s="68" t="n"/>
      <c r="AD11" s="68" t="n"/>
      <c r="AE11" s="68" t="n"/>
    </row>
    <row r="12">
      <c r="A12" s="13" t="n"/>
      <c r="B12" s="13" t="n"/>
      <c r="C12" s="27" t="n"/>
      <c r="D12" s="66" t="inlineStr">
        <is>
          <t>Qtd Plan. Acumulada</t>
        </is>
      </c>
      <c r="E12" s="36" t="n">
        <v>26269.22</v>
      </c>
      <c r="F12" s="36" t="n">
        <v>56918.18</v>
      </c>
      <c r="G12" s="36" t="n">
        <v>83187.41</v>
      </c>
      <c r="H12" s="36" t="n">
        <v>105079.96</v>
      </c>
      <c r="I12" s="36" t="n">
        <v>131349.18</v>
      </c>
      <c r="J12" s="36" t="n">
        <v>153241.74</v>
      </c>
      <c r="K12" s="36" t="n">
        <v>179510.96</v>
      </c>
      <c r="L12" s="36" t="n">
        <v>197023.77</v>
      </c>
      <c r="M12" s="36" t="n">
        <v>218916.33</v>
      </c>
      <c r="N12" s="36" t="n">
        <v>236429.14</v>
      </c>
      <c r="O12" s="36" t="n">
        <v>262698.37</v>
      </c>
      <c r="P12" s="36" t="n">
        <v>280211.18</v>
      </c>
      <c r="Q12" s="36" t="n">
        <v>297724</v>
      </c>
      <c r="R12" s="36" t="n">
        <v>323993.22</v>
      </c>
      <c r="S12" s="36" t="n">
        <v>354642.18</v>
      </c>
      <c r="T12" s="36" t="n">
        <v>380911.4</v>
      </c>
      <c r="U12" s="36" t="n">
        <v>407180.63</v>
      </c>
      <c r="V12" s="36" t="n">
        <v>433449.85</v>
      </c>
      <c r="W12" s="36" t="n">
        <v>459719.08</v>
      </c>
      <c r="X12" s="36" t="n">
        <v>490368.04</v>
      </c>
      <c r="Y12" s="36" t="n">
        <v>512260.59</v>
      </c>
      <c r="Z12" s="36" t="n">
        <v>542909.55</v>
      </c>
      <c r="AA12" s="36" t="n">
        <v>573558.51</v>
      </c>
      <c r="AB12" s="36" t="n">
        <v>602697.47</v>
      </c>
      <c r="AC12" s="36" t="n">
        <v>602697.47</v>
      </c>
      <c r="AD12" s="36" t="n">
        <v>602697.47</v>
      </c>
      <c r="AE12" s="36" t="n">
        <v>602697.47</v>
      </c>
    </row>
    <row r="13">
      <c r="A13" s="13" t="n"/>
      <c r="B13" s="13" t="n"/>
      <c r="C13" s="27" t="n"/>
      <c r="D13" s="66" t="inlineStr">
        <is>
          <t>Eficiência</t>
        </is>
      </c>
      <c r="E13" s="69" t="n">
        <v>0.8571</v>
      </c>
      <c r="F13" s="69" t="n">
        <v>1</v>
      </c>
      <c r="G13" s="69" t="n">
        <v>0.8571</v>
      </c>
      <c r="H13" s="69" t="n">
        <v>0.7143</v>
      </c>
      <c r="I13" s="69" t="n">
        <v>0.8571</v>
      </c>
      <c r="J13" s="69" t="n">
        <v>0.7143</v>
      </c>
      <c r="K13" s="69" t="n">
        <v>0.8571</v>
      </c>
      <c r="L13" s="69" t="n">
        <v>0.5714</v>
      </c>
      <c r="M13" s="69" t="n">
        <v>0.7143</v>
      </c>
      <c r="N13" s="69" t="n">
        <v>0.5714</v>
      </c>
      <c r="O13" s="69" t="n">
        <v>0.8571</v>
      </c>
      <c r="P13" s="69" t="n">
        <v>0.5714</v>
      </c>
      <c r="Q13" s="69" t="n">
        <v>0.5714</v>
      </c>
      <c r="R13" s="69" t="n">
        <v>0.8571</v>
      </c>
      <c r="S13" s="69" t="n">
        <v>1</v>
      </c>
      <c r="T13" s="69" t="n">
        <v>0.8571</v>
      </c>
      <c r="U13" s="69" t="n">
        <v>0.8571</v>
      </c>
      <c r="V13" s="69" t="n">
        <v>0.8571</v>
      </c>
      <c r="W13" s="69" t="n">
        <v>0.8571</v>
      </c>
      <c r="X13" s="69" t="n">
        <v>1</v>
      </c>
      <c r="Y13" s="69" t="n">
        <v>0.7143</v>
      </c>
      <c r="Z13" s="69" t="n">
        <v>1</v>
      </c>
      <c r="AA13" s="69" t="n">
        <v>1</v>
      </c>
      <c r="AB13" s="69" t="n">
        <v>1</v>
      </c>
      <c r="AC13" s="69" t="n">
        <v>1</v>
      </c>
      <c r="AD13" s="69" t="n">
        <v>1</v>
      </c>
      <c r="AE13" s="68" t="n"/>
    </row>
    <row r="14">
      <c r="A14" s="20" t="inlineStr">
        <is>
          <t>eap-1_6</t>
        </is>
      </c>
      <c r="B14" s="20" t="inlineStr">
        <is>
          <t>Desmonte de rocha com escavadeira e rompedor hidráulico</t>
        </is>
      </c>
      <c r="C14" s="53" t="inlineStr">
        <is>
          <t>m3</t>
        </is>
      </c>
      <c r="D14" s="54" t="inlineStr">
        <is>
          <t>Dias Trabalhados</t>
        </is>
      </c>
      <c r="E14" s="55" t="n">
        <v>6</v>
      </c>
      <c r="F14" s="55" t="n">
        <v>6</v>
      </c>
      <c r="G14" s="55" t="n">
        <v>6</v>
      </c>
      <c r="H14" s="55" t="n">
        <v>6</v>
      </c>
      <c r="I14" s="55" t="n">
        <v>6</v>
      </c>
      <c r="J14" s="55" t="n">
        <v>6</v>
      </c>
      <c r="K14" s="55" t="n">
        <v>6</v>
      </c>
      <c r="L14" s="55" t="n">
        <v>6</v>
      </c>
      <c r="M14" s="55" t="n">
        <v>6</v>
      </c>
      <c r="N14" s="55" t="n">
        <v>6</v>
      </c>
      <c r="O14" s="55" t="n">
        <v>6</v>
      </c>
      <c r="P14" s="55" t="n">
        <v>6</v>
      </c>
      <c r="Q14" s="55" t="n">
        <v>6</v>
      </c>
      <c r="R14" s="55" t="n">
        <v>6</v>
      </c>
      <c r="S14" s="55" t="n">
        <v>6</v>
      </c>
      <c r="T14" s="55" t="n">
        <v>6</v>
      </c>
      <c r="U14" s="55" t="n">
        <v>6</v>
      </c>
      <c r="V14" s="55" t="n">
        <v>6</v>
      </c>
      <c r="W14" s="55" t="n">
        <v>6</v>
      </c>
      <c r="X14" s="55" t="n">
        <v>6</v>
      </c>
      <c r="Y14" s="55" t="n">
        <v>6</v>
      </c>
      <c r="Z14" s="55" t="n">
        <v>6</v>
      </c>
      <c r="AA14" s="55" t="n">
        <v>6</v>
      </c>
      <c r="AB14" s="55" t="n">
        <v>6</v>
      </c>
      <c r="AC14" s="55" t="n">
        <v>6</v>
      </c>
      <c r="AD14" s="55" t="n">
        <v>6</v>
      </c>
      <c r="AE14" s="56" t="n"/>
    </row>
    <row r="15">
      <c r="A15" s="11" t="n"/>
      <c r="B15" s="11" t="n"/>
      <c r="C15" s="18" t="n"/>
      <c r="D15" s="57" t="inlineStr">
        <is>
          <t>Nº De Equipes</t>
        </is>
      </c>
      <c r="E15" s="58" t="n">
        <v>1</v>
      </c>
      <c r="F15" s="58" t="n">
        <v>1</v>
      </c>
      <c r="G15" s="58" t="n">
        <v>1</v>
      </c>
      <c r="H15" s="58" t="n">
        <v>1</v>
      </c>
      <c r="I15" s="58" t="n">
        <v>1</v>
      </c>
      <c r="J15" s="58" t="n">
        <v>1</v>
      </c>
      <c r="K15" s="58" t="n">
        <v>1</v>
      </c>
      <c r="L15" s="58" t="n">
        <v>1</v>
      </c>
      <c r="M15" s="58" t="n">
        <v>1</v>
      </c>
      <c r="N15" s="58" t="n">
        <v>1</v>
      </c>
      <c r="O15" s="58" t="n">
        <v>1</v>
      </c>
      <c r="P15" s="58" t="n">
        <v>1</v>
      </c>
      <c r="Q15" s="58" t="n">
        <v>1</v>
      </c>
      <c r="R15" s="58" t="n">
        <v>1</v>
      </c>
      <c r="S15" s="58" t="n">
        <v>1</v>
      </c>
      <c r="T15" s="58" t="n">
        <v>1</v>
      </c>
      <c r="U15" s="58" t="n">
        <v>1</v>
      </c>
      <c r="V15" s="58" t="n">
        <v>1</v>
      </c>
      <c r="W15" s="58" t="n">
        <v>1</v>
      </c>
      <c r="X15" s="58" t="n">
        <v>1</v>
      </c>
      <c r="Y15" s="58" t="n">
        <v>1</v>
      </c>
      <c r="Z15" s="58" t="n">
        <v>1</v>
      </c>
      <c r="AA15" s="58" t="n">
        <v>1</v>
      </c>
      <c r="AB15" s="58" t="n">
        <v>1</v>
      </c>
      <c r="AC15" s="58" t="n">
        <v>1</v>
      </c>
      <c r="AD15" s="58" t="n">
        <v>1</v>
      </c>
      <c r="AE15" s="59" t="n"/>
    </row>
    <row r="16">
      <c r="A16" s="11" t="n"/>
      <c r="B16" s="11" t="n"/>
      <c r="C16" s="18" t="n"/>
      <c r="D16" s="57" t="inlineStr">
        <is>
          <t>Qtd. Planejada</t>
        </is>
      </c>
      <c r="E16" s="33" t="n">
        <v>6818.68</v>
      </c>
      <c r="F16" s="33" t="n">
        <v>2181.32</v>
      </c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  <c r="AA16" s="59" t="n"/>
      <c r="AB16" s="59" t="n"/>
      <c r="AC16" s="59" t="n"/>
      <c r="AD16" s="59" t="n"/>
      <c r="AE16" s="59" t="n"/>
    </row>
    <row r="17">
      <c r="A17" s="11" t="n"/>
      <c r="B17" s="11" t="n"/>
      <c r="C17" s="18" t="n"/>
      <c r="D17" s="57" t="inlineStr">
        <is>
          <t>Qtd Plan. Acumulada</t>
        </is>
      </c>
      <c r="E17" s="33" t="n">
        <v>6818.68</v>
      </c>
      <c r="F17" s="33" t="n">
        <v>9000</v>
      </c>
      <c r="G17" s="33" t="n">
        <v>9000</v>
      </c>
      <c r="H17" s="33" t="n">
        <v>9000</v>
      </c>
      <c r="I17" s="33" t="n">
        <v>9000</v>
      </c>
      <c r="J17" s="33" t="n">
        <v>9000</v>
      </c>
      <c r="K17" s="33" t="n">
        <v>9000</v>
      </c>
      <c r="L17" s="33" t="n">
        <v>9000</v>
      </c>
      <c r="M17" s="33" t="n">
        <v>9000</v>
      </c>
      <c r="N17" s="33" t="n">
        <v>9000</v>
      </c>
      <c r="O17" s="33" t="n">
        <v>9000</v>
      </c>
      <c r="P17" s="33" t="n">
        <v>9000</v>
      </c>
      <c r="Q17" s="33" t="n">
        <v>9000</v>
      </c>
      <c r="R17" s="33" t="n">
        <v>9000</v>
      </c>
      <c r="S17" s="33" t="n">
        <v>9000</v>
      </c>
      <c r="T17" s="33" t="n">
        <v>9000</v>
      </c>
      <c r="U17" s="33" t="n">
        <v>9000</v>
      </c>
      <c r="V17" s="33" t="n">
        <v>9000</v>
      </c>
      <c r="W17" s="33" t="n">
        <v>9000</v>
      </c>
      <c r="X17" s="33" t="n">
        <v>9000</v>
      </c>
      <c r="Y17" s="33" t="n">
        <v>9000</v>
      </c>
      <c r="Z17" s="33" t="n">
        <v>9000</v>
      </c>
      <c r="AA17" s="33" t="n">
        <v>9000</v>
      </c>
      <c r="AB17" s="33" t="n">
        <v>9000</v>
      </c>
      <c r="AC17" s="33" t="n">
        <v>9000</v>
      </c>
      <c r="AD17" s="33" t="n">
        <v>9000</v>
      </c>
      <c r="AE17" s="33" t="n">
        <v>9000</v>
      </c>
    </row>
    <row r="18">
      <c r="A18" s="11" t="n"/>
      <c r="B18" s="11" t="n"/>
      <c r="C18" s="18" t="n"/>
      <c r="D18" s="57" t="inlineStr">
        <is>
          <t>Eficiência</t>
        </is>
      </c>
      <c r="E18" s="60" t="n">
        <v>0.8571</v>
      </c>
      <c r="F18" s="60" t="n">
        <v>1</v>
      </c>
      <c r="G18" s="60" t="n">
        <v>0.8571</v>
      </c>
      <c r="H18" s="60" t="n">
        <v>0.7143</v>
      </c>
      <c r="I18" s="60" t="n">
        <v>0.8571</v>
      </c>
      <c r="J18" s="60" t="n">
        <v>0.7143</v>
      </c>
      <c r="K18" s="60" t="n">
        <v>0.8571</v>
      </c>
      <c r="L18" s="60" t="n">
        <v>0.5714</v>
      </c>
      <c r="M18" s="60" t="n">
        <v>0.7143</v>
      </c>
      <c r="N18" s="60" t="n">
        <v>0.5714</v>
      </c>
      <c r="O18" s="60" t="n">
        <v>0.8571</v>
      </c>
      <c r="P18" s="60" t="n">
        <v>0.5714</v>
      </c>
      <c r="Q18" s="60" t="n">
        <v>0.5714</v>
      </c>
      <c r="R18" s="60" t="n">
        <v>0.8571</v>
      </c>
      <c r="S18" s="60" t="n">
        <v>1</v>
      </c>
      <c r="T18" s="60" t="n">
        <v>0.8571</v>
      </c>
      <c r="U18" s="60" t="n">
        <v>0.8571</v>
      </c>
      <c r="V18" s="60" t="n">
        <v>0.8571</v>
      </c>
      <c r="W18" s="60" t="n">
        <v>0.8571</v>
      </c>
      <c r="X18" s="60" t="n">
        <v>1</v>
      </c>
      <c r="Y18" s="60" t="n">
        <v>0.7143</v>
      </c>
      <c r="Z18" s="60" t="n">
        <v>1</v>
      </c>
      <c r="AA18" s="60" t="n">
        <v>1</v>
      </c>
      <c r="AB18" s="60" t="n">
        <v>1</v>
      </c>
      <c r="AC18" s="60" t="n">
        <v>1</v>
      </c>
      <c r="AD18" s="60" t="n">
        <v>1</v>
      </c>
      <c r="AE18" s="59" t="n"/>
    </row>
    <row r="19">
      <c r="A19" s="61" t="inlineStr">
        <is>
          <t>eap-1_4</t>
        </is>
      </c>
      <c r="B19" s="61" t="inlineStr">
        <is>
          <t>Regularização do subleito - 100% PN</t>
        </is>
      </c>
      <c r="C19" s="62" t="inlineStr">
        <is>
          <t>m2</t>
        </is>
      </c>
      <c r="D19" s="63" t="inlineStr">
        <is>
          <t>Dias Trabalhados</t>
        </is>
      </c>
      <c r="E19" s="64" t="n">
        <v>6</v>
      </c>
      <c r="F19" s="64" t="n">
        <v>6</v>
      </c>
      <c r="G19" s="64" t="n">
        <v>6</v>
      </c>
      <c r="H19" s="64" t="n">
        <v>6</v>
      </c>
      <c r="I19" s="64" t="n">
        <v>6</v>
      </c>
      <c r="J19" s="64" t="n">
        <v>6</v>
      </c>
      <c r="K19" s="64" t="n">
        <v>6</v>
      </c>
      <c r="L19" s="64" t="n">
        <v>6</v>
      </c>
      <c r="M19" s="64" t="n">
        <v>6</v>
      </c>
      <c r="N19" s="64" t="n">
        <v>6</v>
      </c>
      <c r="O19" s="64" t="n">
        <v>6</v>
      </c>
      <c r="P19" s="64" t="n">
        <v>6</v>
      </c>
      <c r="Q19" s="64" t="n">
        <v>6</v>
      </c>
      <c r="R19" s="64" t="n">
        <v>6</v>
      </c>
      <c r="S19" s="64" t="n">
        <v>6</v>
      </c>
      <c r="T19" s="64" t="n">
        <v>6</v>
      </c>
      <c r="U19" s="64" t="n">
        <v>6</v>
      </c>
      <c r="V19" s="64" t="n">
        <v>6</v>
      </c>
      <c r="W19" s="64" t="n">
        <v>6</v>
      </c>
      <c r="X19" s="64" t="n">
        <v>6</v>
      </c>
      <c r="Y19" s="64" t="n">
        <v>6</v>
      </c>
      <c r="Z19" s="64" t="n">
        <v>6</v>
      </c>
      <c r="AA19" s="64" t="n">
        <v>6</v>
      </c>
      <c r="AB19" s="64" t="n">
        <v>6</v>
      </c>
      <c r="AC19" s="64" t="n">
        <v>6</v>
      </c>
      <c r="AD19" s="64" t="n">
        <v>6</v>
      </c>
      <c r="AE19" s="65" t="n"/>
    </row>
    <row r="20">
      <c r="A20" s="13" t="n"/>
      <c r="B20" s="13" t="n"/>
      <c r="C20" s="27" t="n"/>
      <c r="D20" s="66" t="inlineStr">
        <is>
          <t>Nº De Equipes</t>
        </is>
      </c>
      <c r="E20" s="67" t="n">
        <v>3</v>
      </c>
      <c r="F20" s="67" t="n">
        <v>3</v>
      </c>
      <c r="G20" s="67" t="n">
        <v>3</v>
      </c>
      <c r="H20" s="67" t="n">
        <v>3</v>
      </c>
      <c r="I20" s="67" t="n">
        <v>3</v>
      </c>
      <c r="J20" s="67" t="n">
        <v>3</v>
      </c>
      <c r="K20" s="67" t="n">
        <v>3</v>
      </c>
      <c r="L20" s="67" t="n">
        <v>3</v>
      </c>
      <c r="M20" s="67" t="n">
        <v>3</v>
      </c>
      <c r="N20" s="67" t="n">
        <v>3</v>
      </c>
      <c r="O20" s="67" t="n">
        <v>3</v>
      </c>
      <c r="P20" s="67" t="n">
        <v>3</v>
      </c>
      <c r="Q20" s="67" t="n">
        <v>3</v>
      </c>
      <c r="R20" s="67" t="n">
        <v>3</v>
      </c>
      <c r="S20" s="67" t="n">
        <v>3</v>
      </c>
      <c r="T20" s="67" t="n">
        <v>3</v>
      </c>
      <c r="U20" s="67" t="n">
        <v>3</v>
      </c>
      <c r="V20" s="67" t="n">
        <v>3</v>
      </c>
      <c r="W20" s="67" t="n">
        <v>3</v>
      </c>
      <c r="X20" s="67" t="n">
        <v>3</v>
      </c>
      <c r="Y20" s="67" t="n">
        <v>3</v>
      </c>
      <c r="Z20" s="67" t="n">
        <v>3</v>
      </c>
      <c r="AA20" s="67" t="n">
        <v>3</v>
      </c>
      <c r="AB20" s="67" t="n">
        <v>3</v>
      </c>
      <c r="AC20" s="67" t="n">
        <v>3</v>
      </c>
      <c r="AD20" s="67" t="n">
        <v>3</v>
      </c>
      <c r="AE20" s="68" t="n"/>
    </row>
    <row r="21">
      <c r="A21" s="13" t="n"/>
      <c r="B21" s="13" t="n"/>
      <c r="C21" s="27" t="n"/>
      <c r="D21" s="66" t="inlineStr">
        <is>
          <t>Qtd. Planejada</t>
        </is>
      </c>
      <c r="E21" s="36" t="n">
        <v>27152.93</v>
      </c>
      <c r="F21" s="36" t="n">
        <v>31680</v>
      </c>
      <c r="G21" s="36" t="n">
        <v>27152.93</v>
      </c>
      <c r="H21" s="36" t="n">
        <v>22629.02</v>
      </c>
      <c r="I21" s="36" t="n">
        <v>27152.93</v>
      </c>
      <c r="J21" s="36" t="n">
        <v>22629.02</v>
      </c>
      <c r="K21" s="36" t="n">
        <v>27152.93</v>
      </c>
      <c r="L21" s="36" t="n">
        <v>18101.95</v>
      </c>
      <c r="M21" s="36" t="n">
        <v>22629.02</v>
      </c>
      <c r="N21" s="36" t="n">
        <v>18101.95</v>
      </c>
      <c r="O21" s="36" t="n">
        <v>27152.93</v>
      </c>
      <c r="P21" s="36" t="n">
        <v>18101.95</v>
      </c>
      <c r="Q21" s="36" t="n">
        <v>18101.95</v>
      </c>
      <c r="R21" s="36" t="n">
        <v>27152.93</v>
      </c>
      <c r="S21" s="36" t="n">
        <v>31680</v>
      </c>
      <c r="T21" s="36" t="n">
        <v>27152.93</v>
      </c>
      <c r="U21" s="36" t="n">
        <v>27152.93</v>
      </c>
      <c r="V21" s="36" t="n">
        <v>27152.93</v>
      </c>
      <c r="W21" s="36" t="n">
        <v>27152.93</v>
      </c>
      <c r="X21" s="36" t="n">
        <v>12059.22</v>
      </c>
      <c r="Y21" s="68" t="n"/>
      <c r="Z21" s="68" t="n"/>
      <c r="AA21" s="68" t="n"/>
      <c r="AB21" s="68" t="n"/>
      <c r="AC21" s="68" t="n"/>
      <c r="AD21" s="68" t="n"/>
      <c r="AE21" s="68" t="n"/>
    </row>
    <row r="22">
      <c r="A22" s="13" t="n"/>
      <c r="B22" s="13" t="n"/>
      <c r="C22" s="27" t="n"/>
      <c r="D22" s="66" t="inlineStr">
        <is>
          <t>Qtd Plan. Acumulada</t>
        </is>
      </c>
      <c r="E22" s="36" t="n">
        <v>27152.93</v>
      </c>
      <c r="F22" s="36" t="n">
        <v>58832.93</v>
      </c>
      <c r="G22" s="36" t="n">
        <v>85985.86</v>
      </c>
      <c r="H22" s="36" t="n">
        <v>108614.88</v>
      </c>
      <c r="I22" s="36" t="n">
        <v>135767.81</v>
      </c>
      <c r="J22" s="36" t="n">
        <v>158396.83</v>
      </c>
      <c r="K22" s="36" t="n">
        <v>185549.76</v>
      </c>
      <c r="L22" s="36" t="n">
        <v>203651.71</v>
      </c>
      <c r="M22" s="36" t="n">
        <v>226280.74</v>
      </c>
      <c r="N22" s="36" t="n">
        <v>244382.69</v>
      </c>
      <c r="O22" s="36" t="n">
        <v>271535.62</v>
      </c>
      <c r="P22" s="36" t="n">
        <v>289637.57</v>
      </c>
      <c r="Q22" s="36" t="n">
        <v>307739.52</v>
      </c>
      <c r="R22" s="36" t="n">
        <v>334892.45</v>
      </c>
      <c r="S22" s="36" t="n">
        <v>366572.45</v>
      </c>
      <c r="T22" s="36" t="n">
        <v>393725.38</v>
      </c>
      <c r="U22" s="36" t="n">
        <v>420878.3</v>
      </c>
      <c r="V22" s="36" t="n">
        <v>448031.23</v>
      </c>
      <c r="W22" s="36" t="n">
        <v>475184.16</v>
      </c>
      <c r="X22" s="36" t="n">
        <v>487243.38</v>
      </c>
      <c r="Y22" s="36" t="n">
        <v>487243.38</v>
      </c>
      <c r="Z22" s="36" t="n">
        <v>487243.38</v>
      </c>
      <c r="AA22" s="36" t="n">
        <v>487243.38</v>
      </c>
      <c r="AB22" s="36" t="n">
        <v>487243.38</v>
      </c>
      <c r="AC22" s="36" t="n">
        <v>487243.38</v>
      </c>
      <c r="AD22" s="36" t="n">
        <v>487243.38</v>
      </c>
      <c r="AE22" s="36" t="n">
        <v>487243.38</v>
      </c>
    </row>
    <row r="23">
      <c r="A23" s="13" t="n"/>
      <c r="B23" s="13" t="n"/>
      <c r="C23" s="27" t="n"/>
      <c r="D23" s="66" t="inlineStr">
        <is>
          <t>Eficiência</t>
        </is>
      </c>
      <c r="E23" s="69" t="n">
        <v>0.8571</v>
      </c>
      <c r="F23" s="69" t="n">
        <v>1</v>
      </c>
      <c r="G23" s="69" t="n">
        <v>0.8571</v>
      </c>
      <c r="H23" s="69" t="n">
        <v>0.7143</v>
      </c>
      <c r="I23" s="69" t="n">
        <v>0.8571</v>
      </c>
      <c r="J23" s="69" t="n">
        <v>0.7143</v>
      </c>
      <c r="K23" s="69" t="n">
        <v>0.8571</v>
      </c>
      <c r="L23" s="69" t="n">
        <v>0.5714</v>
      </c>
      <c r="M23" s="69" t="n">
        <v>0.7143</v>
      </c>
      <c r="N23" s="69" t="n">
        <v>0.5714</v>
      </c>
      <c r="O23" s="69" t="n">
        <v>0.8571</v>
      </c>
      <c r="P23" s="69" t="n">
        <v>0.5714</v>
      </c>
      <c r="Q23" s="69" t="n">
        <v>0.5714</v>
      </c>
      <c r="R23" s="69" t="n">
        <v>0.8571</v>
      </c>
      <c r="S23" s="69" t="n">
        <v>1</v>
      </c>
      <c r="T23" s="69" t="n">
        <v>0.8571</v>
      </c>
      <c r="U23" s="69" t="n">
        <v>0.8571</v>
      </c>
      <c r="V23" s="69" t="n">
        <v>0.8571</v>
      </c>
      <c r="W23" s="69" t="n">
        <v>0.8571</v>
      </c>
      <c r="X23" s="69" t="n">
        <v>1</v>
      </c>
      <c r="Y23" s="69" t="n">
        <v>0.7143</v>
      </c>
      <c r="Z23" s="69" t="n">
        <v>1</v>
      </c>
      <c r="AA23" s="69" t="n">
        <v>1</v>
      </c>
      <c r="AB23" s="69" t="n">
        <v>1</v>
      </c>
      <c r="AC23" s="69" t="n">
        <v>1</v>
      </c>
      <c r="AD23" s="69" t="n">
        <v>1</v>
      </c>
      <c r="AE23" s="68" t="n"/>
    </row>
    <row r="24">
      <c r="A24" s="20" t="inlineStr">
        <is>
          <t>eap-1_3</t>
        </is>
      </c>
      <c r="B24" s="20" t="inlineStr">
        <is>
          <t>Escavação, carga e transporte de material de 1ª categoria - DMT 3,2km  - (JAZIDA)</t>
        </is>
      </c>
      <c r="C24" s="53" t="inlineStr">
        <is>
          <t>m3</t>
        </is>
      </c>
      <c r="D24" s="54" t="inlineStr">
        <is>
          <t>Dias Trabalhados</t>
        </is>
      </c>
      <c r="E24" s="55" t="n">
        <v>6</v>
      </c>
      <c r="F24" s="55" t="n">
        <v>6</v>
      </c>
      <c r="G24" s="55" t="n">
        <v>6</v>
      </c>
      <c r="H24" s="55" t="n">
        <v>6</v>
      </c>
      <c r="I24" s="55" t="n">
        <v>6</v>
      </c>
      <c r="J24" s="55" t="n">
        <v>6</v>
      </c>
      <c r="K24" s="55" t="n">
        <v>6</v>
      </c>
      <c r="L24" s="55" t="n">
        <v>6</v>
      </c>
      <c r="M24" s="55" t="n">
        <v>6</v>
      </c>
      <c r="N24" s="55" t="n">
        <v>6</v>
      </c>
      <c r="O24" s="55" t="n">
        <v>6</v>
      </c>
      <c r="P24" s="55" t="n">
        <v>6</v>
      </c>
      <c r="Q24" s="55" t="n">
        <v>6</v>
      </c>
      <c r="R24" s="55" t="n">
        <v>6</v>
      </c>
      <c r="S24" s="55" t="n">
        <v>6</v>
      </c>
      <c r="T24" s="55" t="n">
        <v>6</v>
      </c>
      <c r="U24" s="55" t="n">
        <v>6</v>
      </c>
      <c r="V24" s="55" t="n">
        <v>6</v>
      </c>
      <c r="W24" s="55" t="n">
        <v>6</v>
      </c>
      <c r="X24" s="55" t="n">
        <v>6</v>
      </c>
      <c r="Y24" s="55" t="n">
        <v>6</v>
      </c>
      <c r="Z24" s="55" t="n">
        <v>6</v>
      </c>
      <c r="AA24" s="55" t="n">
        <v>6</v>
      </c>
      <c r="AB24" s="55" t="n">
        <v>6</v>
      </c>
      <c r="AC24" s="55" t="n">
        <v>6</v>
      </c>
      <c r="AD24" s="55" t="n">
        <v>6</v>
      </c>
      <c r="AE24" s="56" t="n"/>
    </row>
    <row r="25">
      <c r="A25" s="11" t="n"/>
      <c r="B25" s="11" t="n"/>
      <c r="C25" s="18" t="n"/>
      <c r="D25" s="57" t="inlineStr">
        <is>
          <t>Nº De Equipes</t>
        </is>
      </c>
      <c r="E25" s="58" t="n">
        <v>1</v>
      </c>
      <c r="F25" s="58" t="n">
        <v>1</v>
      </c>
      <c r="G25" s="58" t="n">
        <v>1</v>
      </c>
      <c r="H25" s="58" t="n">
        <v>1</v>
      </c>
      <c r="I25" s="58" t="n">
        <v>1</v>
      </c>
      <c r="J25" s="58" t="n">
        <v>1</v>
      </c>
      <c r="K25" s="58" t="n">
        <v>1</v>
      </c>
      <c r="L25" s="58" t="n">
        <v>1</v>
      </c>
      <c r="M25" s="58" t="n">
        <v>1</v>
      </c>
      <c r="N25" s="58" t="n">
        <v>1</v>
      </c>
      <c r="O25" s="58" t="n">
        <v>1</v>
      </c>
      <c r="P25" s="58" t="n">
        <v>1</v>
      </c>
      <c r="Q25" s="58" t="n">
        <v>1</v>
      </c>
      <c r="R25" s="58" t="n">
        <v>1</v>
      </c>
      <c r="S25" s="58" t="n">
        <v>1</v>
      </c>
      <c r="T25" s="58" t="n">
        <v>1</v>
      </c>
      <c r="U25" s="58" t="n">
        <v>1</v>
      </c>
      <c r="V25" s="58" t="n">
        <v>1</v>
      </c>
      <c r="W25" s="58" t="n">
        <v>1</v>
      </c>
      <c r="X25" s="58" t="n">
        <v>1</v>
      </c>
      <c r="Y25" s="58" t="n">
        <v>1</v>
      </c>
      <c r="Z25" s="58" t="n">
        <v>1</v>
      </c>
      <c r="AA25" s="58" t="n">
        <v>1</v>
      </c>
      <c r="AB25" s="58" t="n">
        <v>1</v>
      </c>
      <c r="AC25" s="58" t="n">
        <v>1</v>
      </c>
      <c r="AD25" s="58" t="n">
        <v>1</v>
      </c>
      <c r="AE25" s="59" t="n"/>
    </row>
    <row r="26">
      <c r="A26" s="11" t="n"/>
      <c r="B26" s="11" t="n"/>
      <c r="C26" s="18" t="n"/>
      <c r="D26" s="57" t="inlineStr">
        <is>
          <t>Qtd. Planejada</t>
        </is>
      </c>
      <c r="E26" s="33" t="n">
        <v>6567.31</v>
      </c>
      <c r="F26" s="33" t="n">
        <v>7662.24</v>
      </c>
      <c r="G26" s="33" t="n">
        <v>6567.31</v>
      </c>
      <c r="H26" s="33" t="n">
        <v>5473.14</v>
      </c>
      <c r="I26" s="33" t="n">
        <v>6567.31</v>
      </c>
      <c r="J26" s="33" t="n">
        <v>5473.14</v>
      </c>
      <c r="K26" s="33" t="n">
        <v>6567.31</v>
      </c>
      <c r="L26" s="33" t="n">
        <v>4378.2</v>
      </c>
      <c r="M26" s="33" t="n">
        <v>5473.14</v>
      </c>
      <c r="N26" s="33" t="n">
        <v>4378.2</v>
      </c>
      <c r="O26" s="33" t="n">
        <v>6567.31</v>
      </c>
      <c r="P26" s="33" t="n">
        <v>4378.2</v>
      </c>
      <c r="Q26" s="33" t="n">
        <v>4378.2</v>
      </c>
      <c r="R26" s="33" t="n">
        <v>6567.31</v>
      </c>
      <c r="S26" s="33" t="n">
        <v>7662.24</v>
      </c>
      <c r="T26" s="33" t="n">
        <v>6567.31</v>
      </c>
      <c r="U26" s="33" t="n">
        <v>6567.31</v>
      </c>
      <c r="V26" s="33" t="n">
        <v>6567.31</v>
      </c>
      <c r="W26" s="33" t="n">
        <v>6567.31</v>
      </c>
      <c r="X26" s="33" t="n">
        <v>7662.24</v>
      </c>
      <c r="Y26" s="33" t="n">
        <v>5473.14</v>
      </c>
      <c r="Z26" s="33" t="n">
        <v>7662.24</v>
      </c>
      <c r="AA26" s="33" t="n">
        <v>456.29</v>
      </c>
      <c r="AB26" s="59" t="n"/>
      <c r="AC26" s="59" t="n"/>
      <c r="AD26" s="59" t="n"/>
      <c r="AE26" s="59" t="n"/>
    </row>
    <row r="27">
      <c r="A27" s="11" t="n"/>
      <c r="B27" s="11" t="n"/>
      <c r="C27" s="18" t="n"/>
      <c r="D27" s="57" t="inlineStr">
        <is>
          <t>Qtd Plan. Acumulada</t>
        </is>
      </c>
      <c r="E27" s="33" t="n">
        <v>6567.31</v>
      </c>
      <c r="F27" s="33" t="n">
        <v>14229.55</v>
      </c>
      <c r="G27" s="33" t="n">
        <v>20796.85</v>
      </c>
      <c r="H27" s="33" t="n">
        <v>26269.99</v>
      </c>
      <c r="I27" s="33" t="n">
        <v>32837.3</v>
      </c>
      <c r="J27" s="33" t="n">
        <v>38310.43</v>
      </c>
      <c r="K27" s="33" t="n">
        <v>44877.74</v>
      </c>
      <c r="L27" s="33" t="n">
        <v>49255.94</v>
      </c>
      <c r="M27" s="33" t="n">
        <v>54729.08</v>
      </c>
      <c r="N27" s="33" t="n">
        <v>59107.29</v>
      </c>
      <c r="O27" s="33" t="n">
        <v>65674.59</v>
      </c>
      <c r="P27" s="33" t="n">
        <v>70052.8</v>
      </c>
      <c r="Q27" s="33" t="n">
        <v>74431</v>
      </c>
      <c r="R27" s="33" t="n">
        <v>80998.31</v>
      </c>
      <c r="S27" s="33" t="n">
        <v>88660.55</v>
      </c>
      <c r="T27" s="33" t="n">
        <v>95227.85000000001</v>
      </c>
      <c r="U27" s="33" t="n">
        <v>101795.16</v>
      </c>
      <c r="V27" s="33" t="n">
        <v>108362.46</v>
      </c>
      <c r="W27" s="33" t="n">
        <v>114929.77</v>
      </c>
      <c r="X27" s="33" t="n">
        <v>122592.01</v>
      </c>
      <c r="Y27" s="33" t="n">
        <v>128065.15</v>
      </c>
      <c r="Z27" s="33" t="n">
        <v>135727.39</v>
      </c>
      <c r="AA27" s="33" t="n">
        <v>136183.68</v>
      </c>
      <c r="AB27" s="33" t="n">
        <v>136183.68</v>
      </c>
      <c r="AC27" s="33" t="n">
        <v>136183.68</v>
      </c>
      <c r="AD27" s="33" t="n">
        <v>136183.68</v>
      </c>
      <c r="AE27" s="33" t="n">
        <v>136183.68</v>
      </c>
    </row>
    <row r="28">
      <c r="A28" s="11" t="n"/>
      <c r="B28" s="11" t="n"/>
      <c r="C28" s="18" t="n"/>
      <c r="D28" s="57" t="inlineStr">
        <is>
          <t>Eficiência</t>
        </is>
      </c>
      <c r="E28" s="60" t="n">
        <v>0.8571</v>
      </c>
      <c r="F28" s="60" t="n">
        <v>1</v>
      </c>
      <c r="G28" s="60" t="n">
        <v>0.8571</v>
      </c>
      <c r="H28" s="60" t="n">
        <v>0.7143</v>
      </c>
      <c r="I28" s="60" t="n">
        <v>0.8571</v>
      </c>
      <c r="J28" s="60" t="n">
        <v>0.7143</v>
      </c>
      <c r="K28" s="60" t="n">
        <v>0.8571</v>
      </c>
      <c r="L28" s="60" t="n">
        <v>0.5714</v>
      </c>
      <c r="M28" s="60" t="n">
        <v>0.7143</v>
      </c>
      <c r="N28" s="60" t="n">
        <v>0.5714</v>
      </c>
      <c r="O28" s="60" t="n">
        <v>0.8571</v>
      </c>
      <c r="P28" s="60" t="n">
        <v>0.5714</v>
      </c>
      <c r="Q28" s="60" t="n">
        <v>0.5714</v>
      </c>
      <c r="R28" s="60" t="n">
        <v>0.8571</v>
      </c>
      <c r="S28" s="60" t="n">
        <v>1</v>
      </c>
      <c r="T28" s="60" t="n">
        <v>0.8571</v>
      </c>
      <c r="U28" s="60" t="n">
        <v>0.8571</v>
      </c>
      <c r="V28" s="60" t="n">
        <v>0.8571</v>
      </c>
      <c r="W28" s="60" t="n">
        <v>0.8571</v>
      </c>
      <c r="X28" s="60" t="n">
        <v>1</v>
      </c>
      <c r="Y28" s="60" t="n">
        <v>0.7143</v>
      </c>
      <c r="Z28" s="60" t="n">
        <v>1</v>
      </c>
      <c r="AA28" s="60" t="n">
        <v>1</v>
      </c>
      <c r="AB28" s="60" t="n">
        <v>1</v>
      </c>
      <c r="AC28" s="60" t="n">
        <v>1</v>
      </c>
      <c r="AD28" s="60" t="n">
        <v>1</v>
      </c>
      <c r="AE28" s="59" t="n"/>
    </row>
    <row r="29">
      <c r="A29" s="61" t="inlineStr">
        <is>
          <t>eap-1_1</t>
        </is>
      </c>
      <c r="B29" s="61" t="inlineStr">
        <is>
          <t>Limpeza mecanizada de camada vegetal, incluso carga e transporte</t>
        </is>
      </c>
      <c r="C29" s="62" t="inlineStr">
        <is>
          <t>m2</t>
        </is>
      </c>
      <c r="D29" s="63" t="inlineStr">
        <is>
          <t>Dias Trabalhados</t>
        </is>
      </c>
      <c r="E29" s="64" t="n">
        <v>6</v>
      </c>
      <c r="F29" s="64" t="n">
        <v>6</v>
      </c>
      <c r="G29" s="64" t="n">
        <v>6</v>
      </c>
      <c r="H29" s="64" t="n">
        <v>6</v>
      </c>
      <c r="I29" s="64" t="n">
        <v>6</v>
      </c>
      <c r="J29" s="64" t="n">
        <v>6</v>
      </c>
      <c r="K29" s="64" t="n">
        <v>6</v>
      </c>
      <c r="L29" s="64" t="n">
        <v>6</v>
      </c>
      <c r="M29" s="64" t="n">
        <v>6</v>
      </c>
      <c r="N29" s="64" t="n">
        <v>6</v>
      </c>
      <c r="O29" s="64" t="n">
        <v>6</v>
      </c>
      <c r="P29" s="64" t="n">
        <v>6</v>
      </c>
      <c r="Q29" s="64" t="n">
        <v>6</v>
      </c>
      <c r="R29" s="64" t="n">
        <v>6</v>
      </c>
      <c r="S29" s="64" t="n">
        <v>6</v>
      </c>
      <c r="T29" s="64" t="n">
        <v>6</v>
      </c>
      <c r="U29" s="64" t="n">
        <v>6</v>
      </c>
      <c r="V29" s="64" t="n">
        <v>6</v>
      </c>
      <c r="W29" s="64" t="n">
        <v>6</v>
      </c>
      <c r="X29" s="64" t="n">
        <v>6</v>
      </c>
      <c r="Y29" s="64" t="n">
        <v>6</v>
      </c>
      <c r="Z29" s="64" t="n">
        <v>6</v>
      </c>
      <c r="AA29" s="64" t="n">
        <v>6</v>
      </c>
      <c r="AB29" s="64" t="n">
        <v>6</v>
      </c>
      <c r="AC29" s="64" t="n">
        <v>6</v>
      </c>
      <c r="AD29" s="64" t="n">
        <v>6</v>
      </c>
      <c r="AE29" s="65" t="n"/>
    </row>
    <row r="30">
      <c r="A30" s="13" t="n"/>
      <c r="B30" s="13" t="n"/>
      <c r="C30" s="27" t="n"/>
      <c r="D30" s="66" t="inlineStr">
        <is>
          <t>Nº De Equipes</t>
        </is>
      </c>
      <c r="E30" s="67" t="n">
        <v>2</v>
      </c>
      <c r="F30" s="67" t="n">
        <v>2</v>
      </c>
      <c r="G30" s="67" t="n">
        <v>2</v>
      </c>
      <c r="H30" s="67" t="n">
        <v>2</v>
      </c>
      <c r="I30" s="67" t="n">
        <v>2</v>
      </c>
      <c r="J30" s="67" t="n">
        <v>2</v>
      </c>
      <c r="K30" s="67" t="n">
        <v>2</v>
      </c>
      <c r="L30" s="67" t="n">
        <v>2</v>
      </c>
      <c r="M30" s="67" t="n">
        <v>2</v>
      </c>
      <c r="N30" s="67" t="n">
        <v>2</v>
      </c>
      <c r="O30" s="67" t="n">
        <v>2</v>
      </c>
      <c r="P30" s="67" t="n">
        <v>2</v>
      </c>
      <c r="Q30" s="67" t="n">
        <v>2</v>
      </c>
      <c r="R30" s="67" t="n">
        <v>2</v>
      </c>
      <c r="S30" s="67" t="n">
        <v>2</v>
      </c>
      <c r="T30" s="67" t="n">
        <v>2</v>
      </c>
      <c r="U30" s="67" t="n">
        <v>2</v>
      </c>
      <c r="V30" s="67" t="n">
        <v>2</v>
      </c>
      <c r="W30" s="67" t="n">
        <v>2</v>
      </c>
      <c r="X30" s="67" t="n">
        <v>2</v>
      </c>
      <c r="Y30" s="67" t="n">
        <v>2</v>
      </c>
      <c r="Z30" s="67" t="n">
        <v>2</v>
      </c>
      <c r="AA30" s="67" t="n">
        <v>2</v>
      </c>
      <c r="AB30" s="67" t="n">
        <v>2</v>
      </c>
      <c r="AC30" s="67" t="n">
        <v>2</v>
      </c>
      <c r="AD30" s="67" t="n">
        <v>2</v>
      </c>
      <c r="AE30" s="68" t="n"/>
    </row>
    <row r="31">
      <c r="A31" s="13" t="n"/>
      <c r="B31" s="13" t="n"/>
      <c r="C31" s="27" t="n"/>
      <c r="D31" s="66" t="inlineStr">
        <is>
          <t>Qtd. Planejada</t>
        </is>
      </c>
      <c r="E31" s="36" t="n">
        <v>28798.56</v>
      </c>
      <c r="F31" s="36" t="n">
        <v>33600</v>
      </c>
      <c r="G31" s="36" t="n">
        <v>28798.56</v>
      </c>
      <c r="H31" s="36" t="n">
        <v>24000.48</v>
      </c>
      <c r="I31" s="36" t="n">
        <v>28798.56</v>
      </c>
      <c r="J31" s="36" t="n">
        <v>24000.48</v>
      </c>
      <c r="K31" s="36" t="n">
        <v>28798.56</v>
      </c>
      <c r="L31" s="36" t="n">
        <v>19199.04</v>
      </c>
      <c r="M31" s="36" t="n">
        <v>24000.48</v>
      </c>
      <c r="N31" s="36" t="n">
        <v>19199.04</v>
      </c>
      <c r="O31" s="36" t="n">
        <v>28798.56</v>
      </c>
      <c r="P31" s="36" t="n">
        <v>19199.04</v>
      </c>
      <c r="Q31" s="36" t="n">
        <v>19199.04</v>
      </c>
      <c r="R31" s="36" t="n">
        <v>28798.56</v>
      </c>
      <c r="S31" s="36" t="n">
        <v>33600</v>
      </c>
      <c r="T31" s="36" t="n">
        <v>28798.56</v>
      </c>
      <c r="U31" s="36" t="n">
        <v>28798.56</v>
      </c>
      <c r="V31" s="36" t="n">
        <v>28798.56</v>
      </c>
      <c r="W31" s="36" t="n">
        <v>12058.74</v>
      </c>
      <c r="X31" s="68" t="n"/>
      <c r="Y31" s="68" t="n"/>
      <c r="Z31" s="68" t="n"/>
      <c r="AA31" s="68" t="n"/>
      <c r="AB31" s="68" t="n"/>
      <c r="AC31" s="68" t="n"/>
      <c r="AD31" s="68" t="n"/>
      <c r="AE31" s="68" t="n"/>
    </row>
    <row r="32">
      <c r="A32" s="13" t="n"/>
      <c r="B32" s="13" t="n"/>
      <c r="C32" s="27" t="n"/>
      <c r="D32" s="66" t="inlineStr">
        <is>
          <t>Qtd Plan. Acumulada</t>
        </is>
      </c>
      <c r="E32" s="36" t="n">
        <v>28798.56</v>
      </c>
      <c r="F32" s="36" t="n">
        <v>62398.56</v>
      </c>
      <c r="G32" s="36" t="n">
        <v>91197.12</v>
      </c>
      <c r="H32" s="36" t="n">
        <v>115197.6</v>
      </c>
      <c r="I32" s="36" t="n">
        <v>143996.16</v>
      </c>
      <c r="J32" s="36" t="n">
        <v>167996.64</v>
      </c>
      <c r="K32" s="36" t="n">
        <v>196795.2</v>
      </c>
      <c r="L32" s="36" t="n">
        <v>215994.24</v>
      </c>
      <c r="M32" s="36" t="n">
        <v>239994.72</v>
      </c>
      <c r="N32" s="36" t="n">
        <v>259193.76</v>
      </c>
      <c r="O32" s="36" t="n">
        <v>287992.32</v>
      </c>
      <c r="P32" s="36" t="n">
        <v>307191.36</v>
      </c>
      <c r="Q32" s="36" t="n">
        <v>326390.4</v>
      </c>
      <c r="R32" s="36" t="n">
        <v>355188.96</v>
      </c>
      <c r="S32" s="36" t="n">
        <v>388788.96</v>
      </c>
      <c r="T32" s="36" t="n">
        <v>417587.52</v>
      </c>
      <c r="U32" s="36" t="n">
        <v>446386.08</v>
      </c>
      <c r="V32" s="36" t="n">
        <v>475184.64</v>
      </c>
      <c r="W32" s="36" t="n">
        <v>487243.38</v>
      </c>
      <c r="X32" s="36" t="n">
        <v>487243.38</v>
      </c>
      <c r="Y32" s="36" t="n">
        <v>487243.38</v>
      </c>
      <c r="Z32" s="36" t="n">
        <v>487243.38</v>
      </c>
      <c r="AA32" s="36" t="n">
        <v>487243.38</v>
      </c>
      <c r="AB32" s="36" t="n">
        <v>487243.38</v>
      </c>
      <c r="AC32" s="36" t="n">
        <v>487243.38</v>
      </c>
      <c r="AD32" s="36" t="n">
        <v>487243.38</v>
      </c>
      <c r="AE32" s="36" t="n">
        <v>487243.38</v>
      </c>
    </row>
    <row r="33">
      <c r="A33" s="13" t="n"/>
      <c r="B33" s="13" t="n"/>
      <c r="C33" s="27" t="n"/>
      <c r="D33" s="66" t="inlineStr">
        <is>
          <t>Eficiência</t>
        </is>
      </c>
      <c r="E33" s="69" t="n">
        <v>0.8571</v>
      </c>
      <c r="F33" s="69" t="n">
        <v>1</v>
      </c>
      <c r="G33" s="69" t="n">
        <v>0.8571</v>
      </c>
      <c r="H33" s="69" t="n">
        <v>0.7143</v>
      </c>
      <c r="I33" s="69" t="n">
        <v>0.8571</v>
      </c>
      <c r="J33" s="69" t="n">
        <v>0.7143</v>
      </c>
      <c r="K33" s="69" t="n">
        <v>0.8571</v>
      </c>
      <c r="L33" s="69" t="n">
        <v>0.5714</v>
      </c>
      <c r="M33" s="69" t="n">
        <v>0.7143</v>
      </c>
      <c r="N33" s="69" t="n">
        <v>0.5714</v>
      </c>
      <c r="O33" s="69" t="n">
        <v>0.8571</v>
      </c>
      <c r="P33" s="69" t="n">
        <v>0.5714</v>
      </c>
      <c r="Q33" s="69" t="n">
        <v>0.5714</v>
      </c>
      <c r="R33" s="69" t="n">
        <v>0.8571</v>
      </c>
      <c r="S33" s="69" t="n">
        <v>1</v>
      </c>
      <c r="T33" s="69" t="n">
        <v>0.8571</v>
      </c>
      <c r="U33" s="69" t="n">
        <v>0.8571</v>
      </c>
      <c r="V33" s="69" t="n">
        <v>0.8571</v>
      </c>
      <c r="W33" s="69" t="n">
        <v>0.8571</v>
      </c>
      <c r="X33" s="69" t="n">
        <v>1</v>
      </c>
      <c r="Y33" s="69" t="n">
        <v>0.7143</v>
      </c>
      <c r="Z33" s="69" t="n">
        <v>1</v>
      </c>
      <c r="AA33" s="69" t="n">
        <v>1</v>
      </c>
      <c r="AB33" s="69" t="n">
        <v>1</v>
      </c>
      <c r="AC33" s="69" t="n">
        <v>1</v>
      </c>
      <c r="AD33" s="69" t="n">
        <v>1</v>
      </c>
      <c r="AE33" s="68" t="n"/>
    </row>
    <row r="34">
      <c r="A34" s="20" t="inlineStr">
        <is>
          <t>eap-4_2</t>
        </is>
      </c>
      <c r="B34" s="20" t="inlineStr">
        <is>
          <t>Topografia</t>
        </is>
      </c>
      <c r="C34" s="53" t="inlineStr">
        <is>
          <t>vb</t>
        </is>
      </c>
      <c r="D34" s="54" t="inlineStr">
        <is>
          <t>Dias Trabalhados</t>
        </is>
      </c>
      <c r="E34" s="55" t="n">
        <v>6</v>
      </c>
      <c r="F34" s="55" t="n">
        <v>6</v>
      </c>
      <c r="G34" s="55" t="n">
        <v>6</v>
      </c>
      <c r="H34" s="55" t="n">
        <v>6</v>
      </c>
      <c r="I34" s="55" t="n">
        <v>6</v>
      </c>
      <c r="J34" s="55" t="n">
        <v>6</v>
      </c>
      <c r="K34" s="55" t="n">
        <v>6</v>
      </c>
      <c r="L34" s="55" t="n">
        <v>6</v>
      </c>
      <c r="M34" s="55" t="n">
        <v>6</v>
      </c>
      <c r="N34" s="55" t="n">
        <v>6</v>
      </c>
      <c r="O34" s="55" t="n">
        <v>6</v>
      </c>
      <c r="P34" s="55" t="n">
        <v>6</v>
      </c>
      <c r="Q34" s="55" t="n">
        <v>6</v>
      </c>
      <c r="R34" s="55" t="n">
        <v>6</v>
      </c>
      <c r="S34" s="55" t="n">
        <v>6</v>
      </c>
      <c r="T34" s="55" t="n">
        <v>6</v>
      </c>
      <c r="U34" s="55" t="n">
        <v>6</v>
      </c>
      <c r="V34" s="55" t="n">
        <v>6</v>
      </c>
      <c r="W34" s="55" t="n">
        <v>6</v>
      </c>
      <c r="X34" s="55" t="n">
        <v>6</v>
      </c>
      <c r="Y34" s="55" t="n">
        <v>6</v>
      </c>
      <c r="Z34" s="55" t="n">
        <v>6</v>
      </c>
      <c r="AA34" s="55" t="n">
        <v>6</v>
      </c>
      <c r="AB34" s="55" t="n">
        <v>6</v>
      </c>
      <c r="AC34" s="55" t="n">
        <v>6</v>
      </c>
      <c r="AD34" s="55" t="n">
        <v>6</v>
      </c>
      <c r="AE34" s="56" t="n"/>
    </row>
    <row r="35">
      <c r="A35" s="11" t="n"/>
      <c r="B35" s="11" t="n"/>
      <c r="C35" s="18" t="n"/>
      <c r="D35" s="57" t="inlineStr">
        <is>
          <t>Nº De Equipes</t>
        </is>
      </c>
      <c r="E35" s="58" t="n">
        <v>1</v>
      </c>
      <c r="F35" s="58" t="n">
        <v>1</v>
      </c>
      <c r="G35" s="58" t="n">
        <v>1</v>
      </c>
      <c r="H35" s="58" t="n">
        <v>1</v>
      </c>
      <c r="I35" s="58" t="n">
        <v>1</v>
      </c>
      <c r="J35" s="58" t="n">
        <v>1</v>
      </c>
      <c r="K35" s="58" t="n">
        <v>1</v>
      </c>
      <c r="L35" s="58" t="n">
        <v>1</v>
      </c>
      <c r="M35" s="58" t="n">
        <v>1</v>
      </c>
      <c r="N35" s="58" t="n">
        <v>1</v>
      </c>
      <c r="O35" s="58" t="n">
        <v>1</v>
      </c>
      <c r="P35" s="58" t="n">
        <v>1</v>
      </c>
      <c r="Q35" s="58" t="n">
        <v>1</v>
      </c>
      <c r="R35" s="58" t="n">
        <v>1</v>
      </c>
      <c r="S35" s="58" t="n">
        <v>1</v>
      </c>
      <c r="T35" s="58" t="n">
        <v>1</v>
      </c>
      <c r="U35" s="58" t="n">
        <v>1</v>
      </c>
      <c r="V35" s="58" t="n">
        <v>1</v>
      </c>
      <c r="W35" s="58" t="n">
        <v>1</v>
      </c>
      <c r="X35" s="58" t="n">
        <v>1</v>
      </c>
      <c r="Y35" s="58" t="n">
        <v>1</v>
      </c>
      <c r="Z35" s="58" t="n">
        <v>1</v>
      </c>
      <c r="AA35" s="58" t="n">
        <v>1</v>
      </c>
      <c r="AB35" s="58" t="n">
        <v>1</v>
      </c>
      <c r="AC35" s="58" t="n">
        <v>1</v>
      </c>
      <c r="AD35" s="58" t="n">
        <v>1</v>
      </c>
      <c r="AE35" s="59" t="n"/>
    </row>
    <row r="36">
      <c r="A36" s="11" t="n"/>
      <c r="B36" s="11" t="n"/>
      <c r="C36" s="18" t="n"/>
      <c r="D36" s="57" t="inlineStr">
        <is>
          <t>Qtd. Planejada</t>
        </is>
      </c>
      <c r="E36" s="33" t="n">
        <v>1</v>
      </c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  <c r="AA36" s="59" t="n"/>
      <c r="AB36" s="59" t="n"/>
      <c r="AC36" s="59" t="n"/>
      <c r="AD36" s="59" t="n"/>
      <c r="AE36" s="59" t="n"/>
    </row>
    <row r="37">
      <c r="A37" s="11" t="n"/>
      <c r="B37" s="11" t="n"/>
      <c r="C37" s="18" t="n"/>
      <c r="D37" s="57" t="inlineStr">
        <is>
          <t>Qtd Plan. Acumulada</t>
        </is>
      </c>
      <c r="E37" s="33" t="n">
        <v>1</v>
      </c>
      <c r="F37" s="33" t="n">
        <v>1</v>
      </c>
      <c r="G37" s="33" t="n">
        <v>1</v>
      </c>
      <c r="H37" s="33" t="n">
        <v>1</v>
      </c>
      <c r="I37" s="33" t="n">
        <v>1</v>
      </c>
      <c r="J37" s="33" t="n">
        <v>1</v>
      </c>
      <c r="K37" s="33" t="n">
        <v>1</v>
      </c>
      <c r="L37" s="33" t="n">
        <v>1</v>
      </c>
      <c r="M37" s="33" t="n">
        <v>1</v>
      </c>
      <c r="N37" s="33" t="n">
        <v>1</v>
      </c>
      <c r="O37" s="33" t="n">
        <v>1</v>
      </c>
      <c r="P37" s="33" t="n">
        <v>1</v>
      </c>
      <c r="Q37" s="33" t="n">
        <v>1</v>
      </c>
      <c r="R37" s="33" t="n">
        <v>1</v>
      </c>
      <c r="S37" s="33" t="n">
        <v>1</v>
      </c>
      <c r="T37" s="33" t="n">
        <v>1</v>
      </c>
      <c r="U37" s="33" t="n">
        <v>1</v>
      </c>
      <c r="V37" s="33" t="n">
        <v>1</v>
      </c>
      <c r="W37" s="33" t="n">
        <v>1</v>
      </c>
      <c r="X37" s="33" t="n">
        <v>1</v>
      </c>
      <c r="Y37" s="33" t="n">
        <v>1</v>
      </c>
      <c r="Z37" s="33" t="n">
        <v>1</v>
      </c>
      <c r="AA37" s="33" t="n">
        <v>1</v>
      </c>
      <c r="AB37" s="33" t="n">
        <v>1</v>
      </c>
      <c r="AC37" s="33" t="n">
        <v>1</v>
      </c>
      <c r="AD37" s="33" t="n">
        <v>1</v>
      </c>
      <c r="AE37" s="33" t="n">
        <v>1</v>
      </c>
    </row>
    <row r="38">
      <c r="A38" s="11" t="n"/>
      <c r="B38" s="11" t="n"/>
      <c r="C38" s="18" t="n"/>
      <c r="D38" s="57" t="inlineStr">
        <is>
          <t>Eficiência</t>
        </is>
      </c>
      <c r="E38" s="60" t="n">
        <v>0.8571</v>
      </c>
      <c r="F38" s="60" t="n">
        <v>1</v>
      </c>
      <c r="G38" s="60" t="n">
        <v>0.8571</v>
      </c>
      <c r="H38" s="60" t="n">
        <v>0.7143</v>
      </c>
      <c r="I38" s="60" t="n">
        <v>0.8571</v>
      </c>
      <c r="J38" s="60" t="n">
        <v>0.7143</v>
      </c>
      <c r="K38" s="60" t="n">
        <v>0.8571</v>
      </c>
      <c r="L38" s="60" t="n">
        <v>0.5714</v>
      </c>
      <c r="M38" s="60" t="n">
        <v>0.7143</v>
      </c>
      <c r="N38" s="60" t="n">
        <v>0.5714</v>
      </c>
      <c r="O38" s="60" t="n">
        <v>0.8571</v>
      </c>
      <c r="P38" s="60" t="n">
        <v>0.5714</v>
      </c>
      <c r="Q38" s="60" t="n">
        <v>0.5714</v>
      </c>
      <c r="R38" s="60" t="n">
        <v>0.8571</v>
      </c>
      <c r="S38" s="60" t="n">
        <v>1</v>
      </c>
      <c r="T38" s="60" t="n">
        <v>0.8571</v>
      </c>
      <c r="U38" s="60" t="n">
        <v>0.8571</v>
      </c>
      <c r="V38" s="60" t="n">
        <v>0.8571</v>
      </c>
      <c r="W38" s="60" t="n">
        <v>0.8571</v>
      </c>
      <c r="X38" s="60" t="n">
        <v>1</v>
      </c>
      <c r="Y38" s="60" t="n">
        <v>0.7143</v>
      </c>
      <c r="Z38" s="60" t="n">
        <v>1</v>
      </c>
      <c r="AA38" s="60" t="n">
        <v>1</v>
      </c>
      <c r="AB38" s="60" t="n">
        <v>1</v>
      </c>
      <c r="AC38" s="60" t="n">
        <v>1</v>
      </c>
      <c r="AD38" s="60" t="n">
        <v>1</v>
      </c>
      <c r="AE38" s="59" t="n"/>
    </row>
    <row r="39">
      <c r="A39" s="61" t="inlineStr">
        <is>
          <t>eap-1_7</t>
        </is>
      </c>
      <c r="B39" s="61" t="inlineStr">
        <is>
          <t>Carga e transporte de material proveniente do desmonte com caminhão basculante de 12 m³ para rocha - rodovia em leito natural</t>
        </is>
      </c>
      <c r="C39" s="62" t="inlineStr">
        <is>
          <t>m3</t>
        </is>
      </c>
      <c r="D39" s="63" t="inlineStr">
        <is>
          <t>Dias Trabalhados</t>
        </is>
      </c>
      <c r="E39" s="64" t="n">
        <v>6</v>
      </c>
      <c r="F39" s="64" t="n">
        <v>6</v>
      </c>
      <c r="G39" s="64" t="n">
        <v>6</v>
      </c>
      <c r="H39" s="64" t="n">
        <v>6</v>
      </c>
      <c r="I39" s="64" t="n">
        <v>6</v>
      </c>
      <c r="J39" s="64" t="n">
        <v>6</v>
      </c>
      <c r="K39" s="64" t="n">
        <v>6</v>
      </c>
      <c r="L39" s="64" t="n">
        <v>6</v>
      </c>
      <c r="M39" s="64" t="n">
        <v>6</v>
      </c>
      <c r="N39" s="64" t="n">
        <v>6</v>
      </c>
      <c r="O39" s="64" t="n">
        <v>6</v>
      </c>
      <c r="P39" s="64" t="n">
        <v>6</v>
      </c>
      <c r="Q39" s="64" t="n">
        <v>6</v>
      </c>
      <c r="R39" s="64" t="n">
        <v>6</v>
      </c>
      <c r="S39" s="64" t="n">
        <v>6</v>
      </c>
      <c r="T39" s="64" t="n">
        <v>6</v>
      </c>
      <c r="U39" s="64" t="n">
        <v>6</v>
      </c>
      <c r="V39" s="64" t="n">
        <v>6</v>
      </c>
      <c r="W39" s="64" t="n">
        <v>6</v>
      </c>
      <c r="X39" s="64" t="n">
        <v>6</v>
      </c>
      <c r="Y39" s="64" t="n">
        <v>6</v>
      </c>
      <c r="Z39" s="64" t="n">
        <v>6</v>
      </c>
      <c r="AA39" s="64" t="n">
        <v>6</v>
      </c>
      <c r="AB39" s="64" t="n">
        <v>6</v>
      </c>
      <c r="AC39" s="64" t="n">
        <v>6</v>
      </c>
      <c r="AD39" s="64" t="n">
        <v>6</v>
      </c>
      <c r="AE39" s="65" t="n"/>
    </row>
    <row r="40">
      <c r="A40" s="13" t="n"/>
      <c r="B40" s="13" t="n"/>
      <c r="C40" s="27" t="n"/>
      <c r="D40" s="66" t="inlineStr">
        <is>
          <t>Nº De Equipes</t>
        </is>
      </c>
      <c r="E40" s="67" t="n">
        <v>1</v>
      </c>
      <c r="F40" s="67" t="n">
        <v>1</v>
      </c>
      <c r="G40" s="67" t="n">
        <v>1</v>
      </c>
      <c r="H40" s="67" t="n">
        <v>1</v>
      </c>
      <c r="I40" s="67" t="n">
        <v>1</v>
      </c>
      <c r="J40" s="67" t="n">
        <v>1</v>
      </c>
      <c r="K40" s="67" t="n">
        <v>1</v>
      </c>
      <c r="L40" s="67" t="n">
        <v>1</v>
      </c>
      <c r="M40" s="67" t="n">
        <v>1</v>
      </c>
      <c r="N40" s="67" t="n">
        <v>1</v>
      </c>
      <c r="O40" s="67" t="n">
        <v>1</v>
      </c>
      <c r="P40" s="67" t="n">
        <v>1</v>
      </c>
      <c r="Q40" s="67" t="n">
        <v>1</v>
      </c>
      <c r="R40" s="67" t="n">
        <v>1</v>
      </c>
      <c r="S40" s="67" t="n">
        <v>1</v>
      </c>
      <c r="T40" s="67" t="n">
        <v>1</v>
      </c>
      <c r="U40" s="67" t="n">
        <v>1</v>
      </c>
      <c r="V40" s="67" t="n">
        <v>1</v>
      </c>
      <c r="W40" s="67" t="n">
        <v>1</v>
      </c>
      <c r="X40" s="67" t="n">
        <v>1</v>
      </c>
      <c r="Y40" s="67" t="n">
        <v>1</v>
      </c>
      <c r="Z40" s="67" t="n">
        <v>1</v>
      </c>
      <c r="AA40" s="67" t="n">
        <v>1</v>
      </c>
      <c r="AB40" s="67" t="n">
        <v>1</v>
      </c>
      <c r="AC40" s="67" t="n">
        <v>1</v>
      </c>
      <c r="AD40" s="67" t="n">
        <v>1</v>
      </c>
      <c r="AE40" s="68" t="n"/>
    </row>
    <row r="41">
      <c r="A41" s="13" t="n"/>
      <c r="B41" s="13" t="n"/>
      <c r="C41" s="27" t="n"/>
      <c r="D41" s="66" t="inlineStr">
        <is>
          <t>Qtd. Planejada</t>
        </is>
      </c>
      <c r="E41" s="36" t="n">
        <v>6567.31</v>
      </c>
      <c r="F41" s="36" t="n">
        <v>6932.69</v>
      </c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  <c r="AA41" s="68" t="n"/>
      <c r="AB41" s="68" t="n"/>
      <c r="AC41" s="68" t="n"/>
      <c r="AD41" s="68" t="n"/>
      <c r="AE41" s="68" t="n"/>
    </row>
    <row r="42">
      <c r="A42" s="13" t="n"/>
      <c r="B42" s="13" t="n"/>
      <c r="C42" s="27" t="n"/>
      <c r="D42" s="66" t="inlineStr">
        <is>
          <t>Qtd Plan. Acumulada</t>
        </is>
      </c>
      <c r="E42" s="36" t="n">
        <v>6567.31</v>
      </c>
      <c r="F42" s="36" t="n">
        <v>13500</v>
      </c>
      <c r="G42" s="36" t="n">
        <v>13500</v>
      </c>
      <c r="H42" s="36" t="n">
        <v>13500</v>
      </c>
      <c r="I42" s="36" t="n">
        <v>13500</v>
      </c>
      <c r="J42" s="36" t="n">
        <v>13500</v>
      </c>
      <c r="K42" s="36" t="n">
        <v>13500</v>
      </c>
      <c r="L42" s="36" t="n">
        <v>13500</v>
      </c>
      <c r="M42" s="36" t="n">
        <v>13500</v>
      </c>
      <c r="N42" s="36" t="n">
        <v>13500</v>
      </c>
      <c r="O42" s="36" t="n">
        <v>13500</v>
      </c>
      <c r="P42" s="36" t="n">
        <v>13500</v>
      </c>
      <c r="Q42" s="36" t="n">
        <v>13500</v>
      </c>
      <c r="R42" s="36" t="n">
        <v>13500</v>
      </c>
      <c r="S42" s="36" t="n">
        <v>13500</v>
      </c>
      <c r="T42" s="36" t="n">
        <v>13500</v>
      </c>
      <c r="U42" s="36" t="n">
        <v>13500</v>
      </c>
      <c r="V42" s="36" t="n">
        <v>13500</v>
      </c>
      <c r="W42" s="36" t="n">
        <v>13500</v>
      </c>
      <c r="X42" s="36" t="n">
        <v>13500</v>
      </c>
      <c r="Y42" s="36" t="n">
        <v>13500</v>
      </c>
      <c r="Z42" s="36" t="n">
        <v>13500</v>
      </c>
      <c r="AA42" s="36" t="n">
        <v>13500</v>
      </c>
      <c r="AB42" s="36" t="n">
        <v>13500</v>
      </c>
      <c r="AC42" s="36" t="n">
        <v>13500</v>
      </c>
      <c r="AD42" s="36" t="n">
        <v>13500</v>
      </c>
      <c r="AE42" s="36" t="n">
        <v>13500</v>
      </c>
    </row>
    <row r="43">
      <c r="A43" s="13" t="n"/>
      <c r="B43" s="13" t="n"/>
      <c r="C43" s="27" t="n"/>
      <c r="D43" s="66" t="inlineStr">
        <is>
          <t>Eficiência</t>
        </is>
      </c>
      <c r="E43" s="69" t="n">
        <v>0.8571</v>
      </c>
      <c r="F43" s="69" t="n">
        <v>1</v>
      </c>
      <c r="G43" s="69" t="n">
        <v>0.8571</v>
      </c>
      <c r="H43" s="69" t="n">
        <v>0.7143</v>
      </c>
      <c r="I43" s="69" t="n">
        <v>0.8571</v>
      </c>
      <c r="J43" s="69" t="n">
        <v>0.7143</v>
      </c>
      <c r="K43" s="69" t="n">
        <v>0.8571</v>
      </c>
      <c r="L43" s="69" t="n">
        <v>0.5714</v>
      </c>
      <c r="M43" s="69" t="n">
        <v>0.7143</v>
      </c>
      <c r="N43" s="69" t="n">
        <v>0.5714</v>
      </c>
      <c r="O43" s="69" t="n">
        <v>0.8571</v>
      </c>
      <c r="P43" s="69" t="n">
        <v>0.5714</v>
      </c>
      <c r="Q43" s="69" t="n">
        <v>0.5714</v>
      </c>
      <c r="R43" s="69" t="n">
        <v>0.8571</v>
      </c>
      <c r="S43" s="69" t="n">
        <v>1</v>
      </c>
      <c r="T43" s="69" t="n">
        <v>0.8571</v>
      </c>
      <c r="U43" s="69" t="n">
        <v>0.8571</v>
      </c>
      <c r="V43" s="69" t="n">
        <v>0.8571</v>
      </c>
      <c r="W43" s="69" t="n">
        <v>0.8571</v>
      </c>
      <c r="X43" s="69" t="n">
        <v>1</v>
      </c>
      <c r="Y43" s="69" t="n">
        <v>0.7143</v>
      </c>
      <c r="Z43" s="69" t="n">
        <v>1</v>
      </c>
      <c r="AA43" s="69" t="n">
        <v>1</v>
      </c>
      <c r="AB43" s="69" t="n">
        <v>1</v>
      </c>
      <c r="AC43" s="69" t="n">
        <v>1</v>
      </c>
      <c r="AD43" s="69" t="n">
        <v>1</v>
      </c>
      <c r="AE43" s="68" t="n"/>
    </row>
  </sheetData>
  <mergeCells count="1">
    <mergeCell ref="A1:A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4" ySplit="2" topLeftCell="E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CRONOGRAMA RESUMIDO — PRODUÇÃO MENSAL POR EAP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Total Qtd</t>
        </is>
      </c>
      <c r="E2" s="2" t="inlineStr">
        <is>
          <t>Dez/24</t>
        </is>
      </c>
      <c r="F2" s="2" t="inlineStr">
        <is>
          <t>Jan/25</t>
        </is>
      </c>
      <c r="G2" s="2" t="inlineStr">
        <is>
          <t>Fev/25</t>
        </is>
      </c>
      <c r="H2" s="2" t="inlineStr">
        <is>
          <t>Mar/25</t>
        </is>
      </c>
      <c r="I2" s="2" t="inlineStr">
        <is>
          <t>Abr/25</t>
        </is>
      </c>
      <c r="J2" s="2" t="inlineStr">
        <is>
          <t>Mai/25</t>
        </is>
      </c>
      <c r="K2" s="2" t="inlineStr">
        <is>
          <t>Jun/25</t>
        </is>
      </c>
    </row>
    <row r="3">
      <c r="A3" s="11" t="inlineStr">
        <is>
          <t>eap-1_5</t>
        </is>
      </c>
      <c r="B3" s="70" t="inlineStr">
        <is>
          <t>Aterro Compactado a 100% PN</t>
        </is>
      </c>
      <c r="C3" s="18" t="inlineStr">
        <is>
          <t>m3</t>
        </is>
      </c>
      <c r="D3" s="32" t="n">
        <v>738881.15</v>
      </c>
      <c r="E3" s="32" t="n">
        <v>33348.73</v>
      </c>
      <c r="F3" s="32" t="n">
        <v>133398.82</v>
      </c>
      <c r="G3" s="32" t="n">
        <v>111166.34</v>
      </c>
      <c r="H3" s="32" t="n">
        <v>133394.93</v>
      </c>
      <c r="I3" s="32" t="n">
        <v>138954.99</v>
      </c>
      <c r="J3" s="32" t="n">
        <v>138958.89</v>
      </c>
      <c r="K3" s="32" t="n">
        <v>49658.45</v>
      </c>
    </row>
    <row r="4">
      <c r="A4" s="13" t="inlineStr">
        <is>
          <t>eap-1_2</t>
        </is>
      </c>
      <c r="B4" s="71" t="inlineStr">
        <is>
          <t>Escavação, carga e transporte de material de 1ª categoria - DT Máximo de 1km</t>
        </is>
      </c>
      <c r="C4" s="27" t="inlineStr">
        <is>
          <t>m3</t>
        </is>
      </c>
      <c r="D4" s="35" t="n">
        <v>602697.47</v>
      </c>
      <c r="E4" s="35" t="n">
        <v>26269.22</v>
      </c>
      <c r="F4" s="35" t="n">
        <v>105079.95</v>
      </c>
      <c r="G4" s="35" t="n">
        <v>87567.14</v>
      </c>
      <c r="H4" s="35" t="n">
        <v>105076.9</v>
      </c>
      <c r="I4" s="35" t="n">
        <v>109456.62</v>
      </c>
      <c r="J4" s="35" t="n">
        <v>109459.69</v>
      </c>
      <c r="K4" s="35" t="n">
        <v>59787.92</v>
      </c>
    </row>
    <row r="5">
      <c r="A5" s="11" t="inlineStr">
        <is>
          <t>eap-1_6</t>
        </is>
      </c>
      <c r="B5" s="70" t="inlineStr">
        <is>
          <t>Desmonte de rocha com escavadeira e rompedor hidráulico</t>
        </is>
      </c>
      <c r="C5" s="18" t="inlineStr">
        <is>
          <t>m3</t>
        </is>
      </c>
      <c r="D5" s="32" t="n">
        <v>9000</v>
      </c>
      <c r="E5" s="32" t="n">
        <v>6818.68</v>
      </c>
      <c r="F5" s="32" t="n">
        <v>2181.32</v>
      </c>
      <c r="G5" s="12" t="n"/>
      <c r="H5" s="12" t="n"/>
      <c r="I5" s="12" t="n"/>
      <c r="J5" s="12" t="n"/>
      <c r="K5" s="12" t="n"/>
    </row>
    <row r="6">
      <c r="A6" s="13" t="inlineStr">
        <is>
          <t>eap-1_4</t>
        </is>
      </c>
      <c r="B6" s="71" t="inlineStr">
        <is>
          <t>Regularização do subleito - 100% PN</t>
        </is>
      </c>
      <c r="C6" s="27" t="inlineStr">
        <is>
          <t>m2</t>
        </is>
      </c>
      <c r="D6" s="35" t="n">
        <v>487243.38</v>
      </c>
      <c r="E6" s="35" t="n">
        <v>27152.93</v>
      </c>
      <c r="F6" s="35" t="n">
        <v>108614.88</v>
      </c>
      <c r="G6" s="35" t="n">
        <v>90512.92</v>
      </c>
      <c r="H6" s="35" t="n">
        <v>108611.71</v>
      </c>
      <c r="I6" s="35" t="n">
        <v>113138.79</v>
      </c>
      <c r="J6" s="35" t="n">
        <v>39212.15</v>
      </c>
      <c r="K6" s="14" t="n"/>
    </row>
    <row r="7">
      <c r="A7" s="11" t="inlineStr">
        <is>
          <t>eap-1_3</t>
        </is>
      </c>
      <c r="B7" s="70" t="inlineStr">
        <is>
          <t>Escavação, carga e transporte de material de 1ª categoria - DMT 3,2km  - (JAZIDA)</t>
        </is>
      </c>
      <c r="C7" s="18" t="inlineStr">
        <is>
          <t>m3</t>
        </is>
      </c>
      <c r="D7" s="32" t="n">
        <v>136183.6800000001</v>
      </c>
      <c r="E7" s="32" t="n">
        <v>6567.31</v>
      </c>
      <c r="F7" s="32" t="n">
        <v>26270</v>
      </c>
      <c r="G7" s="32" t="n">
        <v>21891.79</v>
      </c>
      <c r="H7" s="32" t="n">
        <v>26269.22</v>
      </c>
      <c r="I7" s="32" t="n">
        <v>27364.17</v>
      </c>
      <c r="J7" s="32" t="n">
        <v>27364.93</v>
      </c>
      <c r="K7" s="32" t="n">
        <v>456.29</v>
      </c>
    </row>
    <row r="8">
      <c r="A8" s="13" t="inlineStr">
        <is>
          <t>eap-1_1</t>
        </is>
      </c>
      <c r="B8" s="71" t="inlineStr">
        <is>
          <t>Limpeza mecanizada de camada vegetal, incluso carga e transporte</t>
        </is>
      </c>
      <c r="C8" s="27" t="inlineStr">
        <is>
          <t>m2</t>
        </is>
      </c>
      <c r="D8" s="35" t="n">
        <v>487243.38</v>
      </c>
      <c r="E8" s="35" t="n">
        <v>28798.56</v>
      </c>
      <c r="F8" s="35" t="n">
        <v>115197.6</v>
      </c>
      <c r="G8" s="35" t="n">
        <v>95998.56</v>
      </c>
      <c r="H8" s="35" t="n">
        <v>115194.24</v>
      </c>
      <c r="I8" s="35" t="n">
        <v>119995.68</v>
      </c>
      <c r="J8" s="35" t="n">
        <v>12058.74</v>
      </c>
      <c r="K8" s="14" t="n"/>
    </row>
    <row r="9">
      <c r="A9" s="11" t="inlineStr">
        <is>
          <t>eap-4_2</t>
        </is>
      </c>
      <c r="B9" s="70" t="inlineStr">
        <is>
          <t>Topografia</t>
        </is>
      </c>
      <c r="C9" s="18" t="inlineStr">
        <is>
          <t>vb</t>
        </is>
      </c>
      <c r="D9" s="32" t="n">
        <v>1</v>
      </c>
      <c r="E9" s="32" t="n">
        <v>1</v>
      </c>
      <c r="F9" s="12" t="n"/>
      <c r="G9" s="12" t="n"/>
      <c r="H9" s="12" t="n"/>
      <c r="I9" s="12" t="n"/>
      <c r="J9" s="12" t="n"/>
      <c r="K9" s="12" t="n"/>
    </row>
    <row r="10">
      <c r="A10" s="13" t="inlineStr">
        <is>
          <t>eap-1_7</t>
        </is>
      </c>
      <c r="B10" s="71" t="inlineStr">
        <is>
          <t>Carga e transporte de material proveniente do desmonte com caminhão basculante de 12 m³ para rocha - rodovia em leito natural</t>
        </is>
      </c>
      <c r="C10" s="27" t="inlineStr">
        <is>
          <t>m3</t>
        </is>
      </c>
      <c r="D10" s="35" t="n">
        <v>13500</v>
      </c>
      <c r="E10" s="35" t="n">
        <v>6567.31</v>
      </c>
      <c r="F10" s="35" t="n">
        <v>6932.69</v>
      </c>
      <c r="G10" s="14" t="n"/>
      <c r="H10" s="14" t="n"/>
      <c r="I10" s="14" t="n"/>
      <c r="J10" s="14" t="n"/>
      <c r="K10" s="14" t="n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8" customWidth="1" min="4" max="4"/>
    <col width="6" customWidth="1" min="5" max="5"/>
    <col width="18" customWidth="1" min="6" max="6"/>
    <col width="10" customWidth="1" min="7" max="7"/>
    <col width="8" customWidth="1" min="8" max="8"/>
    <col width="18" customWidth="1" min="9" max="9"/>
  </cols>
  <sheetData>
    <row r="1">
      <c r="A1" s="1" t="inlineStr">
        <is>
          <t>EQUIPE — COMPOSIÇÃO DE RECURSOS DIRETOS POR ATIVIDADE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Nome / Tipo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Nº Eq.</t>
        </is>
      </c>
      <c r="I2" s="2" t="inlineStr">
        <is>
          <t>Custo Total (R$)</t>
        </is>
      </c>
    </row>
    <row r="3">
      <c r="A3" s="9" t="inlineStr">
        <is>
          <t>eap-1_5 — Aterro Compactado a 100% PN</t>
        </is>
      </c>
    </row>
    <row r="4">
      <c r="A4" s="11" t="inlineStr">
        <is>
          <t>eap-1_5</t>
        </is>
      </c>
      <c r="B4" s="11" t="inlineStr">
        <is>
          <t>CPU-TERRA-ATI-017</t>
        </is>
      </c>
      <c r="C4" s="11" t="inlineStr">
        <is>
          <t>Operador de Motoniveladora</t>
        </is>
      </c>
      <c r="D4" s="15" t="inlineStr">
        <is>
          <t>DIRETO</t>
        </is>
      </c>
      <c r="E4" s="16" t="n">
        <v>1</v>
      </c>
      <c r="F4" s="17" t="n">
        <v>17356.25</v>
      </c>
      <c r="G4" s="16" t="n">
        <v>5.98</v>
      </c>
      <c r="H4" s="16" t="n">
        <v>1</v>
      </c>
      <c r="I4" s="17" t="n">
        <v>103790.38</v>
      </c>
    </row>
    <row r="5">
      <c r="A5" s="11" t="inlineStr">
        <is>
          <t>eap-1_5</t>
        </is>
      </c>
      <c r="B5" s="11" t="inlineStr">
        <is>
          <t>CPU-TERRA-ATI-017</t>
        </is>
      </c>
      <c r="C5" s="11" t="inlineStr">
        <is>
          <t>Operador de Rolo Compactador</t>
        </is>
      </c>
      <c r="D5" s="15" t="inlineStr">
        <is>
          <t>DIRETO</t>
        </is>
      </c>
      <c r="E5" s="16" t="n">
        <v>1</v>
      </c>
      <c r="F5" s="17" t="n">
        <v>10685.34</v>
      </c>
      <c r="G5" s="16" t="n">
        <v>5.98</v>
      </c>
      <c r="H5" s="16" t="n">
        <v>1</v>
      </c>
      <c r="I5" s="17" t="n">
        <v>63898.33</v>
      </c>
    </row>
    <row r="6">
      <c r="A6" s="11" t="inlineStr">
        <is>
          <t>eap-1_5</t>
        </is>
      </c>
      <c r="B6" s="11" t="inlineStr">
        <is>
          <t>CPU-TERRA-ATI-017</t>
        </is>
      </c>
      <c r="C6" s="11" t="inlineStr">
        <is>
          <t>Motorista de Caminhão Pipa</t>
        </is>
      </c>
      <c r="D6" s="15" t="inlineStr">
        <is>
          <t>DIRETO</t>
        </is>
      </c>
      <c r="E6" s="16" t="n">
        <v>1</v>
      </c>
      <c r="F6" s="17" t="n">
        <v>10685.34</v>
      </c>
      <c r="G6" s="16" t="n">
        <v>5.98</v>
      </c>
      <c r="H6" s="16" t="n">
        <v>1</v>
      </c>
      <c r="I6" s="17" t="n">
        <v>63898.33</v>
      </c>
    </row>
    <row r="7">
      <c r="A7" s="11" t="inlineStr">
        <is>
          <t>eap-1_5</t>
        </is>
      </c>
      <c r="B7" s="11" t="inlineStr">
        <is>
          <t>CPU-TERRA-ATI-017</t>
        </is>
      </c>
      <c r="C7" s="11" t="inlineStr">
        <is>
          <t>Operador de Rolo Compactador</t>
        </is>
      </c>
      <c r="D7" s="15" t="inlineStr">
        <is>
          <t>DIRETO</t>
        </is>
      </c>
      <c r="E7" s="16" t="n">
        <v>1</v>
      </c>
      <c r="F7" s="17" t="n">
        <v>10685.34</v>
      </c>
      <c r="G7" s="16" t="n">
        <v>5.98</v>
      </c>
      <c r="H7" s="16" t="n">
        <v>1</v>
      </c>
      <c r="I7" s="17" t="n">
        <v>63898.33</v>
      </c>
    </row>
    <row r="8">
      <c r="A8" s="11" t="inlineStr">
        <is>
          <t>eap-1_5</t>
        </is>
      </c>
      <c r="B8" s="11" t="inlineStr">
        <is>
          <t>CPU-TERRA-ATI-017</t>
        </is>
      </c>
      <c r="C8" s="11" t="inlineStr">
        <is>
          <t>Encarregado de Terraplenagem</t>
        </is>
      </c>
      <c r="D8" s="15" t="inlineStr">
        <is>
          <t>DIRETO</t>
        </is>
      </c>
      <c r="E8" s="16" t="n">
        <v>1</v>
      </c>
      <c r="F8" s="17" t="n">
        <v>11549.8</v>
      </c>
      <c r="G8" s="16" t="n">
        <v>5.98</v>
      </c>
      <c r="H8" s="16" t="n">
        <v>1</v>
      </c>
      <c r="I8" s="17" t="n">
        <v>69067.8</v>
      </c>
    </row>
    <row r="9">
      <c r="A9" s="11" t="inlineStr">
        <is>
          <t>eap-1_5</t>
        </is>
      </c>
      <c r="B9" s="11" t="inlineStr">
        <is>
          <t>EQ-E0029</t>
        </is>
      </c>
      <c r="C9" s="11" t="inlineStr">
        <is>
          <t>Motoniveladora 140HP [EQ]</t>
        </is>
      </c>
      <c r="D9" s="72" t="inlineStr">
        <is>
          <t>EQ</t>
        </is>
      </c>
      <c r="E9" s="16" t="n">
        <v>1</v>
      </c>
      <c r="F9" s="17" t="n">
        <v>43326.98</v>
      </c>
      <c r="G9" s="16" t="n">
        <v>5.98</v>
      </c>
      <c r="H9" s="16" t="n">
        <v>1</v>
      </c>
      <c r="I9" s="17" t="n">
        <v>259095.34</v>
      </c>
    </row>
    <row r="10">
      <c r="A10" s="11" t="inlineStr">
        <is>
          <t>eap-1_5</t>
        </is>
      </c>
      <c r="B10" s="11" t="inlineStr">
        <is>
          <t>EQ-E0029</t>
        </is>
      </c>
      <c r="C10" s="19" t="inlineStr">
        <is>
          <t>Diesel — Motoniveladora 140HP</t>
        </is>
      </c>
      <c r="D10" s="73" t="inlineStr">
        <is>
          <t>COMB</t>
        </is>
      </c>
      <c r="E10" s="16" t="n">
        <v>1</v>
      </c>
      <c r="F10" s="17" t="n">
        <v>14029.71</v>
      </c>
      <c r="G10" s="16" t="n">
        <v>5.98</v>
      </c>
      <c r="H10" s="16" t="n">
        <v>1</v>
      </c>
      <c r="I10" s="17" t="n">
        <v>83897.67</v>
      </c>
    </row>
    <row r="11">
      <c r="A11" s="11" t="inlineStr">
        <is>
          <t>eap-1_5</t>
        </is>
      </c>
      <c r="B11" s="11" t="inlineStr">
        <is>
          <t>EQ-E0035</t>
        </is>
      </c>
      <c r="C11" s="11" t="inlineStr">
        <is>
          <t>Trator de esteiras 20T [EQ]</t>
        </is>
      </c>
      <c r="D11" s="72" t="inlineStr">
        <is>
          <t>EQ</t>
        </is>
      </c>
      <c r="E11" s="16" t="n">
        <v>1</v>
      </c>
      <c r="F11" s="17" t="n">
        <v>21683.2</v>
      </c>
      <c r="G11" s="16" t="n">
        <v>5.98</v>
      </c>
      <c r="H11" s="16" t="n">
        <v>1</v>
      </c>
      <c r="I11" s="17" t="n">
        <v>129665.54</v>
      </c>
    </row>
    <row r="12">
      <c r="A12" s="11" t="inlineStr">
        <is>
          <t>eap-1_5</t>
        </is>
      </c>
      <c r="B12" s="11" t="inlineStr">
        <is>
          <t>EQ-E0035</t>
        </is>
      </c>
      <c r="C12" s="19" t="inlineStr">
        <is>
          <t>Diesel — Trator de esteiras 20T</t>
        </is>
      </c>
      <c r="D12" s="73" t="inlineStr">
        <is>
          <t>COMB</t>
        </is>
      </c>
      <c r="E12" s="16" t="n">
        <v>1</v>
      </c>
      <c r="F12" s="17" t="n">
        <v>22957.71</v>
      </c>
      <c r="G12" s="16" t="n">
        <v>5.98</v>
      </c>
      <c r="H12" s="16" t="n">
        <v>1</v>
      </c>
      <c r="I12" s="17" t="n">
        <v>137287.11</v>
      </c>
    </row>
    <row r="13">
      <c r="A13" s="11" t="inlineStr">
        <is>
          <t>eap-1_5</t>
        </is>
      </c>
      <c r="B13" s="11" t="inlineStr">
        <is>
          <t>EQ-E0010</t>
        </is>
      </c>
      <c r="C13" s="11" t="inlineStr">
        <is>
          <t>Caminhão Pipa 10.000L [EQ]</t>
        </is>
      </c>
      <c r="D13" s="72" t="inlineStr">
        <is>
          <t>EQ</t>
        </is>
      </c>
      <c r="E13" s="16" t="n">
        <v>1</v>
      </c>
      <c r="F13" s="17" t="n">
        <v>19360</v>
      </c>
      <c r="G13" s="16" t="n">
        <v>5.98</v>
      </c>
      <c r="H13" s="16" t="n">
        <v>1</v>
      </c>
      <c r="I13" s="17" t="n">
        <v>115772.8</v>
      </c>
    </row>
    <row r="14">
      <c r="A14" s="11" t="inlineStr">
        <is>
          <t>eap-1_5</t>
        </is>
      </c>
      <c r="B14" s="11" t="inlineStr">
        <is>
          <t>EQ-E0010</t>
        </is>
      </c>
      <c r="C14" s="19" t="inlineStr">
        <is>
          <t>Diesel — Caminhão Pipa 10.000L</t>
        </is>
      </c>
      <c r="D14" s="73" t="inlineStr">
        <is>
          <t>COMB</t>
        </is>
      </c>
      <c r="E14" s="16" t="n">
        <v>1</v>
      </c>
      <c r="F14" s="17" t="n">
        <v>2550.86</v>
      </c>
      <c r="G14" s="16" t="n">
        <v>5.98</v>
      </c>
      <c r="H14" s="16" t="n">
        <v>1</v>
      </c>
      <c r="I14" s="17" t="n">
        <v>15254.14</v>
      </c>
    </row>
    <row r="15">
      <c r="A15" s="20" t="inlineStr">
        <is>
          <t>Subtotal eap-1_5</t>
        </is>
      </c>
      <c r="B15" s="21" t="n"/>
      <c r="C15" s="21" t="n"/>
      <c r="D15" s="21" t="n"/>
      <c r="E15" s="21" t="n"/>
      <c r="F15" s="21" t="n"/>
      <c r="G15" s="21" t="n"/>
      <c r="H15" s="21" t="n"/>
      <c r="I15" s="22" t="n">
        <v>5527407.75</v>
      </c>
    </row>
    <row r="16">
      <c r="A16" s="9" t="inlineStr">
        <is>
          <t>eap-1_2 — Escavação, carga e transporte de material de 1ª categoria - DT Máximo de 1km</t>
        </is>
      </c>
    </row>
    <row r="17">
      <c r="A17" s="13" t="inlineStr">
        <is>
          <t>eap-1_2</t>
        </is>
      </c>
      <c r="B17" s="13" t="inlineStr">
        <is>
          <t>CPU-TERRA-ATI-011</t>
        </is>
      </c>
      <c r="C17" s="13" t="inlineStr">
        <is>
          <t>Operador de Escavadeira</t>
        </is>
      </c>
      <c r="D17" s="24" t="inlineStr">
        <is>
          <t>DIRETO</t>
        </is>
      </c>
      <c r="E17" s="25" t="n">
        <v>1</v>
      </c>
      <c r="F17" s="26" t="n">
        <v>12875</v>
      </c>
      <c r="G17" s="25" t="n">
        <v>5.98</v>
      </c>
      <c r="H17" s="25" t="n">
        <v>1</v>
      </c>
      <c r="I17" s="26" t="n">
        <v>76992.5</v>
      </c>
    </row>
    <row r="18">
      <c r="A18" s="13" t="inlineStr">
        <is>
          <t>eap-1_2</t>
        </is>
      </c>
      <c r="B18" s="13" t="inlineStr">
        <is>
          <t>CPU-TERRA-ATI-011</t>
        </is>
      </c>
      <c r="C18" s="13" t="inlineStr">
        <is>
          <t>Motorista de Caminhão Basculante</t>
        </is>
      </c>
      <c r="D18" s="24" t="inlineStr">
        <is>
          <t>DIRETO</t>
        </is>
      </c>
      <c r="E18" s="25" t="n">
        <v>3</v>
      </c>
      <c r="F18" s="26" t="n">
        <v>32056.02</v>
      </c>
      <c r="G18" s="25" t="n">
        <v>5.98</v>
      </c>
      <c r="H18" s="25" t="n">
        <v>1</v>
      </c>
      <c r="I18" s="26" t="n">
        <v>191695</v>
      </c>
    </row>
    <row r="19">
      <c r="A19" s="13" t="inlineStr">
        <is>
          <t>eap-1_2</t>
        </is>
      </c>
      <c r="B19" s="13" t="inlineStr">
        <is>
          <t>CPU-TERRA-ATI-011</t>
        </is>
      </c>
      <c r="C19" s="13" t="inlineStr">
        <is>
          <t>Motorista de Caminhão Basculante</t>
        </is>
      </c>
      <c r="D19" s="24" t="inlineStr">
        <is>
          <t>DIRETO</t>
        </is>
      </c>
      <c r="E19" s="25" t="n">
        <v>1</v>
      </c>
      <c r="F19" s="26" t="n">
        <v>10685.34</v>
      </c>
      <c r="G19" s="25" t="n">
        <v>5.98</v>
      </c>
      <c r="H19" s="25" t="n">
        <v>1</v>
      </c>
      <c r="I19" s="26" t="n">
        <v>63898.33</v>
      </c>
    </row>
    <row r="20">
      <c r="A20" s="13" t="inlineStr">
        <is>
          <t>eap-1_2</t>
        </is>
      </c>
      <c r="B20" s="13" t="inlineStr">
        <is>
          <t>CPU-TERRA-ATI-011</t>
        </is>
      </c>
      <c r="C20" s="13" t="inlineStr">
        <is>
          <t>Encarregado de Terraplenagem</t>
        </is>
      </c>
      <c r="D20" s="24" t="inlineStr">
        <is>
          <t>DIRETO</t>
        </is>
      </c>
      <c r="E20" s="25" t="n">
        <v>1</v>
      </c>
      <c r="F20" s="26" t="n">
        <v>11549.8</v>
      </c>
      <c r="G20" s="25" t="n">
        <v>5.98</v>
      </c>
      <c r="H20" s="25" t="n">
        <v>1</v>
      </c>
      <c r="I20" s="26" t="n">
        <v>69067.8</v>
      </c>
    </row>
    <row r="21">
      <c r="A21" s="13" t="inlineStr">
        <is>
          <t>eap-1_2</t>
        </is>
      </c>
      <c r="B21" s="13" t="inlineStr">
        <is>
          <t>EQ-E0016</t>
        </is>
      </c>
      <c r="C21" s="13" t="inlineStr">
        <is>
          <t>Escavadeira Hidráulica 22t [EQ]</t>
        </is>
      </c>
      <c r="D21" s="74" t="inlineStr">
        <is>
          <t>EQ</t>
        </is>
      </c>
      <c r="E21" s="25" t="n">
        <v>1</v>
      </c>
      <c r="F21" s="26" t="n">
        <v>35639.3</v>
      </c>
      <c r="G21" s="25" t="n">
        <v>5.98</v>
      </c>
      <c r="H21" s="25" t="n">
        <v>1</v>
      </c>
      <c r="I21" s="26" t="n">
        <v>213123.01</v>
      </c>
    </row>
    <row r="22">
      <c r="A22" s="13" t="inlineStr">
        <is>
          <t>eap-1_2</t>
        </is>
      </c>
      <c r="B22" s="13" t="inlineStr">
        <is>
          <t>EQ-E0007</t>
        </is>
      </c>
      <c r="C22" s="13" t="inlineStr">
        <is>
          <t>Caminhão Basculante 14m³ [EQ]</t>
        </is>
      </c>
      <c r="D22" s="74" t="inlineStr">
        <is>
          <t>EQ</t>
        </is>
      </c>
      <c r="E22" s="25" t="n">
        <v>3</v>
      </c>
      <c r="F22" s="26" t="n">
        <v>25132.8</v>
      </c>
      <c r="G22" s="25" t="n">
        <v>5.98</v>
      </c>
      <c r="H22" s="25" t="n">
        <v>1</v>
      </c>
      <c r="I22" s="26" t="n">
        <v>150294.14</v>
      </c>
    </row>
    <row r="23">
      <c r="A23" s="13" t="inlineStr">
        <is>
          <t>eap-1_2</t>
        </is>
      </c>
      <c r="B23" s="13" t="inlineStr">
        <is>
          <t>EQ-E0007</t>
        </is>
      </c>
      <c r="C23" s="28" t="inlineStr">
        <is>
          <t>Diesel — Caminhão Basculante 14m³</t>
        </is>
      </c>
      <c r="D23" s="75" t="inlineStr">
        <is>
          <t>COMB</t>
        </is>
      </c>
      <c r="E23" s="25" t="n">
        <v>3</v>
      </c>
      <c r="F23" s="26" t="n">
        <v>9259.610000000001</v>
      </c>
      <c r="G23" s="25" t="n">
        <v>5.98</v>
      </c>
      <c r="H23" s="25" t="n">
        <v>1</v>
      </c>
      <c r="I23" s="26" t="n">
        <v>55372.47</v>
      </c>
    </row>
    <row r="24">
      <c r="A24" s="20" t="inlineStr">
        <is>
          <t>Subtotal eap-1_2</t>
        </is>
      </c>
      <c r="B24" s="21" t="n"/>
      <c r="C24" s="21" t="n"/>
      <c r="D24" s="21" t="n"/>
      <c r="E24" s="21" t="n"/>
      <c r="F24" s="21" t="n"/>
      <c r="G24" s="21" t="n"/>
      <c r="H24" s="21" t="n"/>
      <c r="I24" s="22" t="n">
        <v>4926908.87</v>
      </c>
    </row>
    <row r="25">
      <c r="A25" s="9" t="inlineStr">
        <is>
          <t>eap-1_6 — Desmonte de rocha com escavadeira e rompedor hidráulico</t>
        </is>
      </c>
    </row>
    <row r="26">
      <c r="A26" s="11" t="inlineStr">
        <is>
          <t>eap-1_6</t>
        </is>
      </c>
      <c r="B26" s="11" t="inlineStr">
        <is>
          <t>CPU-TERRA-ATI-014</t>
        </is>
      </c>
      <c r="C26" s="11" t="inlineStr">
        <is>
          <t>Operador de Escavadeira</t>
        </is>
      </c>
      <c r="D26" s="15" t="inlineStr">
        <is>
          <t>DIRETO</t>
        </is>
      </c>
      <c r="E26" s="16" t="n">
        <v>1</v>
      </c>
      <c r="F26" s="17" t="n">
        <v>12875</v>
      </c>
      <c r="G26" s="16" t="n">
        <v>5.98</v>
      </c>
      <c r="H26" s="16" t="n">
        <v>1</v>
      </c>
      <c r="I26" s="17" t="n">
        <v>76992.5</v>
      </c>
    </row>
    <row r="27">
      <c r="A27" s="11" t="inlineStr">
        <is>
          <t>eap-1_6</t>
        </is>
      </c>
      <c r="B27" s="11" t="inlineStr">
        <is>
          <t>CPU-TERRA-ATI-014</t>
        </is>
      </c>
      <c r="C27" s="11" t="inlineStr">
        <is>
          <t>Motorista de Caminhão Basculante</t>
        </is>
      </c>
      <c r="D27" s="15" t="inlineStr">
        <is>
          <t>DIRETO</t>
        </is>
      </c>
      <c r="E27" s="16" t="n">
        <v>4</v>
      </c>
      <c r="F27" s="17" t="n">
        <v>42741.36</v>
      </c>
      <c r="G27" s="16" t="n">
        <v>5.98</v>
      </c>
      <c r="H27" s="16" t="n">
        <v>1</v>
      </c>
      <c r="I27" s="17" t="n">
        <v>255593.33</v>
      </c>
    </row>
    <row r="28">
      <c r="A28" s="11" t="inlineStr">
        <is>
          <t>eap-1_6</t>
        </is>
      </c>
      <c r="B28" s="11" t="inlineStr">
        <is>
          <t>CPU-TERRA-ATI-014</t>
        </is>
      </c>
      <c r="C28" s="11" t="inlineStr">
        <is>
          <t>Motorista de Caminhão Basculante</t>
        </is>
      </c>
      <c r="D28" s="15" t="inlineStr">
        <is>
          <t>DIRETO</t>
        </is>
      </c>
      <c r="E28" s="16" t="n">
        <v>1</v>
      </c>
      <c r="F28" s="17" t="n">
        <v>10685.34</v>
      </c>
      <c r="G28" s="16" t="n">
        <v>5.98</v>
      </c>
      <c r="H28" s="16" t="n">
        <v>1</v>
      </c>
      <c r="I28" s="17" t="n">
        <v>63898.33</v>
      </c>
    </row>
    <row r="29">
      <c r="A29" s="11" t="inlineStr">
        <is>
          <t>eap-1_6</t>
        </is>
      </c>
      <c r="B29" s="11" t="inlineStr">
        <is>
          <t>CPU-TERRA-ATI-014</t>
        </is>
      </c>
      <c r="C29" s="11" t="inlineStr">
        <is>
          <t>Encarregado de Terraplenagem</t>
        </is>
      </c>
      <c r="D29" s="15" t="inlineStr">
        <is>
          <t>DIRETO</t>
        </is>
      </c>
      <c r="E29" s="16" t="n">
        <v>1</v>
      </c>
      <c r="F29" s="17" t="n">
        <v>11549.8</v>
      </c>
      <c r="G29" s="16" t="n">
        <v>5.98</v>
      </c>
      <c r="H29" s="16" t="n">
        <v>1</v>
      </c>
      <c r="I29" s="17" t="n">
        <v>69067.8</v>
      </c>
    </row>
    <row r="30">
      <c r="A30" s="11" t="inlineStr">
        <is>
          <t>eap-1_6</t>
        </is>
      </c>
      <c r="B30" s="11" t="inlineStr">
        <is>
          <t>EQ-E0018</t>
        </is>
      </c>
      <c r="C30" s="11" t="inlineStr">
        <is>
          <t>Escavadeira Hidráulica 38t [EQ]</t>
        </is>
      </c>
      <c r="D30" s="72" t="inlineStr">
        <is>
          <t>EQ</t>
        </is>
      </c>
      <c r="E30" s="16" t="n">
        <v>1</v>
      </c>
      <c r="F30" s="17" t="n">
        <v>51527.17</v>
      </c>
      <c r="G30" s="16" t="n">
        <v>5.98</v>
      </c>
      <c r="H30" s="16" t="n">
        <v>1</v>
      </c>
      <c r="I30" s="17" t="n">
        <v>308132.48</v>
      </c>
    </row>
    <row r="31">
      <c r="A31" s="11" t="inlineStr">
        <is>
          <t>eap-1_6</t>
        </is>
      </c>
      <c r="B31" s="11" t="inlineStr">
        <is>
          <t>EQ-E0018</t>
        </is>
      </c>
      <c r="C31" s="19" t="inlineStr">
        <is>
          <t>Diesel — Escavadeira Hidráulica 38t</t>
        </is>
      </c>
      <c r="D31" s="73" t="inlineStr">
        <is>
          <t>COMB</t>
        </is>
      </c>
      <c r="E31" s="16" t="n">
        <v>1</v>
      </c>
      <c r="F31" s="17" t="n">
        <v>33161.14</v>
      </c>
      <c r="G31" s="16" t="n">
        <v>5.98</v>
      </c>
      <c r="H31" s="16" t="n">
        <v>1</v>
      </c>
      <c r="I31" s="17" t="n">
        <v>198303.62</v>
      </c>
    </row>
    <row r="32">
      <c r="A32" s="11" t="inlineStr">
        <is>
          <t>eap-1_6</t>
        </is>
      </c>
      <c r="B32" s="11" t="inlineStr">
        <is>
          <t>EQ-E0008</t>
        </is>
      </c>
      <c r="C32" s="11" t="inlineStr">
        <is>
          <t>Caminhão Basculante 16m³ [EQ]</t>
        </is>
      </c>
      <c r="D32" s="72" t="inlineStr">
        <is>
          <t>EQ</t>
        </is>
      </c>
      <c r="E32" s="16" t="n">
        <v>4</v>
      </c>
      <c r="F32" s="17" t="n">
        <v>40084.35</v>
      </c>
      <c r="G32" s="16" t="n">
        <v>5.98</v>
      </c>
      <c r="H32" s="16" t="n">
        <v>1</v>
      </c>
      <c r="I32" s="17" t="n">
        <v>239704.41</v>
      </c>
    </row>
    <row r="33">
      <c r="A33" s="11" t="inlineStr">
        <is>
          <t>eap-1_6</t>
        </is>
      </c>
      <c r="B33" s="11" t="inlineStr">
        <is>
          <t>EQ-E0008</t>
        </is>
      </c>
      <c r="C33" s="19" t="inlineStr">
        <is>
          <t>Diesel — Caminhão Basculante 16m³</t>
        </is>
      </c>
      <c r="D33" s="73" t="inlineStr">
        <is>
          <t>COMB</t>
        </is>
      </c>
      <c r="E33" s="16" t="n">
        <v>4</v>
      </c>
      <c r="F33" s="17" t="n">
        <v>3188.57</v>
      </c>
      <c r="G33" s="16" t="n">
        <v>5.98</v>
      </c>
      <c r="H33" s="16" t="n">
        <v>1</v>
      </c>
      <c r="I33" s="17" t="n">
        <v>19067.65</v>
      </c>
    </row>
    <row r="34">
      <c r="A34" s="20" t="inlineStr">
        <is>
          <t>Subtotal eap-1_6</t>
        </is>
      </c>
      <c r="B34" s="21" t="n"/>
      <c r="C34" s="21" t="n"/>
      <c r="D34" s="21" t="n"/>
      <c r="E34" s="21" t="n"/>
      <c r="F34" s="21" t="n"/>
      <c r="G34" s="21" t="n"/>
      <c r="H34" s="21" t="n"/>
      <c r="I34" s="22" t="n">
        <v>2006996.03</v>
      </c>
    </row>
    <row r="35">
      <c r="A35" s="9" t="inlineStr">
        <is>
          <t>eap-1_4 — Regularização do subleito - 100% PN</t>
        </is>
      </c>
    </row>
    <row r="36">
      <c r="A36" s="13" t="inlineStr">
        <is>
          <t>eap-1_4</t>
        </is>
      </c>
      <c r="B36" s="13" t="inlineStr">
        <is>
          <t>CPU-TERRA-ATI-019-M2</t>
        </is>
      </c>
      <c r="C36" s="13" t="inlineStr">
        <is>
          <t>Operador de Motoniveladora</t>
        </is>
      </c>
      <c r="D36" s="24" t="inlineStr">
        <is>
          <t>DIRETO</t>
        </is>
      </c>
      <c r="E36" s="25" t="n">
        <v>1</v>
      </c>
      <c r="F36" s="26" t="n">
        <v>17356.25</v>
      </c>
      <c r="G36" s="25" t="n">
        <v>5.98</v>
      </c>
      <c r="H36" s="25" t="n">
        <v>1</v>
      </c>
      <c r="I36" s="26" t="n">
        <v>103790.38</v>
      </c>
    </row>
    <row r="37">
      <c r="A37" s="13" t="inlineStr">
        <is>
          <t>eap-1_4</t>
        </is>
      </c>
      <c r="B37" s="13" t="inlineStr">
        <is>
          <t>CPU-TERRA-ATI-019-M2</t>
        </is>
      </c>
      <c r="C37" s="13" t="inlineStr">
        <is>
          <t>Encarregado de Terraplenagem</t>
        </is>
      </c>
      <c r="D37" s="24" t="inlineStr">
        <is>
          <t>DIRETO</t>
        </is>
      </c>
      <c r="E37" s="25" t="n">
        <v>1</v>
      </c>
      <c r="F37" s="26" t="n">
        <v>11549.8</v>
      </c>
      <c r="G37" s="25" t="n">
        <v>5.98</v>
      </c>
      <c r="H37" s="25" t="n">
        <v>1</v>
      </c>
      <c r="I37" s="26" t="n">
        <v>69067.8</v>
      </c>
    </row>
    <row r="38">
      <c r="A38" s="13" t="inlineStr">
        <is>
          <t>eap-1_4</t>
        </is>
      </c>
      <c r="B38" s="13" t="inlineStr">
        <is>
          <t>EQ-E0029</t>
        </is>
      </c>
      <c r="C38" s="13" t="inlineStr">
        <is>
          <t>Motoniveladora 140HP [EQ]</t>
        </is>
      </c>
      <c r="D38" s="74" t="inlineStr">
        <is>
          <t>EQ</t>
        </is>
      </c>
      <c r="E38" s="25" t="n">
        <v>1</v>
      </c>
      <c r="F38" s="26" t="n">
        <v>43326.98</v>
      </c>
      <c r="G38" s="25" t="n">
        <v>5.98</v>
      </c>
      <c r="H38" s="25" t="n">
        <v>1</v>
      </c>
      <c r="I38" s="26" t="n">
        <v>259095.34</v>
      </c>
    </row>
    <row r="39">
      <c r="A39" s="13" t="inlineStr">
        <is>
          <t>eap-1_4</t>
        </is>
      </c>
      <c r="B39" s="13" t="inlineStr">
        <is>
          <t>EQ-E0029</t>
        </is>
      </c>
      <c r="C39" s="28" t="inlineStr">
        <is>
          <t>Diesel — Motoniveladora 140HP</t>
        </is>
      </c>
      <c r="D39" s="75" t="inlineStr">
        <is>
          <t>COMB</t>
        </is>
      </c>
      <c r="E39" s="25" t="n">
        <v>1</v>
      </c>
      <c r="F39" s="26" t="n">
        <v>14029.71</v>
      </c>
      <c r="G39" s="25" t="n">
        <v>5.98</v>
      </c>
      <c r="H39" s="25" t="n">
        <v>1</v>
      </c>
      <c r="I39" s="26" t="n">
        <v>83897.67</v>
      </c>
    </row>
    <row r="40">
      <c r="A40" s="20" t="inlineStr">
        <is>
          <t>Subtotal eap-1_4</t>
        </is>
      </c>
      <c r="B40" s="21" t="n"/>
      <c r="C40" s="21" t="n"/>
      <c r="D40" s="21" t="n"/>
      <c r="E40" s="21" t="n"/>
      <c r="F40" s="21" t="n"/>
      <c r="G40" s="21" t="n"/>
      <c r="H40" s="21" t="n"/>
      <c r="I40" s="22" t="n">
        <v>1547491.66</v>
      </c>
    </row>
    <row r="41">
      <c r="A41" s="9" t="inlineStr">
        <is>
          <t>eap-1_3 — Escavação, carga e transporte de material de 1ª categoria - DMT 3,2km  - (JAZIDA)</t>
        </is>
      </c>
    </row>
    <row r="42">
      <c r="A42" s="11" t="inlineStr">
        <is>
          <t>eap-1_3</t>
        </is>
      </c>
      <c r="B42" s="11" t="inlineStr">
        <is>
          <t>CPU-TERRA-ATI-011</t>
        </is>
      </c>
      <c r="C42" s="11" t="inlineStr">
        <is>
          <t>Operador de Escavadeira</t>
        </is>
      </c>
      <c r="D42" s="15" t="inlineStr">
        <is>
          <t>DIRETO</t>
        </is>
      </c>
      <c r="E42" s="16" t="n">
        <v>1</v>
      </c>
      <c r="F42" s="17" t="n">
        <v>12875</v>
      </c>
      <c r="G42" s="16" t="n">
        <v>5.98</v>
      </c>
      <c r="H42" s="16" t="n">
        <v>1</v>
      </c>
      <c r="I42" s="17" t="n">
        <v>76992.5</v>
      </c>
    </row>
    <row r="43">
      <c r="A43" s="11" t="inlineStr">
        <is>
          <t>eap-1_3</t>
        </is>
      </c>
      <c r="B43" s="11" t="inlineStr">
        <is>
          <t>CPU-TERRA-ATI-011</t>
        </is>
      </c>
      <c r="C43" s="11" t="inlineStr">
        <is>
          <t>Motorista de Caminhão Basculante</t>
        </is>
      </c>
      <c r="D43" s="15" t="inlineStr">
        <is>
          <t>DIRETO</t>
        </is>
      </c>
      <c r="E43" s="16" t="n">
        <v>3</v>
      </c>
      <c r="F43" s="17" t="n">
        <v>32056.02</v>
      </c>
      <c r="G43" s="16" t="n">
        <v>5.98</v>
      </c>
      <c r="H43" s="16" t="n">
        <v>1</v>
      </c>
      <c r="I43" s="17" t="n">
        <v>191695</v>
      </c>
    </row>
    <row r="44">
      <c r="A44" s="11" t="inlineStr">
        <is>
          <t>eap-1_3</t>
        </is>
      </c>
      <c r="B44" s="11" t="inlineStr">
        <is>
          <t>CPU-TERRA-ATI-011</t>
        </is>
      </c>
      <c r="C44" s="11" t="inlineStr">
        <is>
          <t>Motorista de Caminhão Basculante</t>
        </is>
      </c>
      <c r="D44" s="15" t="inlineStr">
        <is>
          <t>DIRETO</t>
        </is>
      </c>
      <c r="E44" s="16" t="n">
        <v>1</v>
      </c>
      <c r="F44" s="17" t="n">
        <v>10685.34</v>
      </c>
      <c r="G44" s="16" t="n">
        <v>5.98</v>
      </c>
      <c r="H44" s="16" t="n">
        <v>1</v>
      </c>
      <c r="I44" s="17" t="n">
        <v>63898.33</v>
      </c>
    </row>
    <row r="45">
      <c r="A45" s="11" t="inlineStr">
        <is>
          <t>eap-1_3</t>
        </is>
      </c>
      <c r="B45" s="11" t="inlineStr">
        <is>
          <t>CPU-TERRA-ATI-011</t>
        </is>
      </c>
      <c r="C45" s="11" t="inlineStr">
        <is>
          <t>Encarregado de Terraplenagem</t>
        </is>
      </c>
      <c r="D45" s="15" t="inlineStr">
        <is>
          <t>DIRETO</t>
        </is>
      </c>
      <c r="E45" s="16" t="n">
        <v>1</v>
      </c>
      <c r="F45" s="17" t="n">
        <v>11549.8</v>
      </c>
      <c r="G45" s="16" t="n">
        <v>5.98</v>
      </c>
      <c r="H45" s="16" t="n">
        <v>1</v>
      </c>
      <c r="I45" s="17" t="n">
        <v>69067.8</v>
      </c>
    </row>
    <row r="46">
      <c r="A46" s="11" t="inlineStr">
        <is>
          <t>eap-1_3</t>
        </is>
      </c>
      <c r="B46" s="11" t="inlineStr">
        <is>
          <t>EQ-E0016</t>
        </is>
      </c>
      <c r="C46" s="11" t="inlineStr">
        <is>
          <t>Escavadeira Hidráulica 22t [EQ]</t>
        </is>
      </c>
      <c r="D46" s="72" t="inlineStr">
        <is>
          <t>EQ</t>
        </is>
      </c>
      <c r="E46" s="16" t="n">
        <v>1</v>
      </c>
      <c r="F46" s="17" t="n">
        <v>35639.3</v>
      </c>
      <c r="G46" s="16" t="n">
        <v>5.98</v>
      </c>
      <c r="H46" s="16" t="n">
        <v>1</v>
      </c>
      <c r="I46" s="17" t="n">
        <v>213123.01</v>
      </c>
    </row>
    <row r="47">
      <c r="A47" s="11" t="inlineStr">
        <is>
          <t>eap-1_3</t>
        </is>
      </c>
      <c r="B47" s="11" t="inlineStr">
        <is>
          <t>EQ-E0007</t>
        </is>
      </c>
      <c r="C47" s="11" t="inlineStr">
        <is>
          <t>Caminhão Basculante 14m³ [EQ]</t>
        </is>
      </c>
      <c r="D47" s="72" t="inlineStr">
        <is>
          <t>EQ</t>
        </is>
      </c>
      <c r="E47" s="16" t="n">
        <v>3</v>
      </c>
      <c r="F47" s="17" t="n">
        <v>25132.8</v>
      </c>
      <c r="G47" s="16" t="n">
        <v>5.98</v>
      </c>
      <c r="H47" s="16" t="n">
        <v>1</v>
      </c>
      <c r="I47" s="17" t="n">
        <v>150294.14</v>
      </c>
    </row>
    <row r="48">
      <c r="A48" s="11" t="inlineStr">
        <is>
          <t>eap-1_3</t>
        </is>
      </c>
      <c r="B48" s="11" t="inlineStr">
        <is>
          <t>EQ-E0007</t>
        </is>
      </c>
      <c r="C48" s="19" t="inlineStr">
        <is>
          <t>Diesel — Caminhão Basculante 14m³</t>
        </is>
      </c>
      <c r="D48" s="73" t="inlineStr">
        <is>
          <t>COMB</t>
        </is>
      </c>
      <c r="E48" s="16" t="n">
        <v>3</v>
      </c>
      <c r="F48" s="17" t="n">
        <v>9259.610000000001</v>
      </c>
      <c r="G48" s="16" t="n">
        <v>5.98</v>
      </c>
      <c r="H48" s="16" t="n">
        <v>1</v>
      </c>
      <c r="I48" s="17" t="n">
        <v>55372.47</v>
      </c>
    </row>
    <row r="49">
      <c r="A49" s="20" t="inlineStr">
        <is>
          <t>Subtotal eap-1_3</t>
        </is>
      </c>
      <c r="B49" s="21" t="n"/>
      <c r="C49" s="21" t="n"/>
      <c r="D49" s="21" t="n"/>
      <c r="E49" s="21" t="n"/>
      <c r="F49" s="21" t="n"/>
      <c r="G49" s="21" t="n"/>
      <c r="H49" s="21" t="n"/>
      <c r="I49" s="22" t="n">
        <v>1231727.22</v>
      </c>
    </row>
    <row r="50">
      <c r="A50" s="9" t="inlineStr">
        <is>
          <t>eap-1_1 — Limpeza mecanizada de camada vegetal, incluso carga e transporte</t>
        </is>
      </c>
    </row>
    <row r="51">
      <c r="A51" s="13" t="inlineStr">
        <is>
          <t>eap-1_1</t>
        </is>
      </c>
      <c r="B51" s="13" t="inlineStr">
        <is>
          <t>CPU-TERRA-ATI-003</t>
        </is>
      </c>
      <c r="C51" s="13" t="inlineStr">
        <is>
          <t>Operador de Escavadeira</t>
        </is>
      </c>
      <c r="D51" s="24" t="inlineStr">
        <is>
          <t>DIRETO</t>
        </is>
      </c>
      <c r="E51" s="25" t="n">
        <v>1</v>
      </c>
      <c r="F51" s="26" t="n">
        <v>12875</v>
      </c>
      <c r="G51" s="25" t="n">
        <v>5.98</v>
      </c>
      <c r="H51" s="25" t="n">
        <v>1</v>
      </c>
      <c r="I51" s="26" t="n">
        <v>76992.5</v>
      </c>
    </row>
    <row r="52">
      <c r="A52" s="13" t="inlineStr">
        <is>
          <t>eap-1_1</t>
        </is>
      </c>
      <c r="B52" s="13" t="inlineStr">
        <is>
          <t>CPU-TERRA-ATI-003</t>
        </is>
      </c>
      <c r="C52" s="13" t="inlineStr">
        <is>
          <t>Operador de Trator de Esteiras</t>
        </is>
      </c>
      <c r="D52" s="24" t="inlineStr">
        <is>
          <t>DIRETO</t>
        </is>
      </c>
      <c r="E52" s="25" t="n">
        <v>1</v>
      </c>
      <c r="F52" s="26" t="n">
        <v>12875</v>
      </c>
      <c r="G52" s="25" t="n">
        <v>5.98</v>
      </c>
      <c r="H52" s="25" t="n">
        <v>1</v>
      </c>
      <c r="I52" s="26" t="n">
        <v>76992.5</v>
      </c>
    </row>
    <row r="53">
      <c r="A53" s="13" t="inlineStr">
        <is>
          <t>eap-1_1</t>
        </is>
      </c>
      <c r="B53" s="13" t="inlineStr">
        <is>
          <t>CPU-TERRA-ATI-003</t>
        </is>
      </c>
      <c r="C53" s="13" t="inlineStr">
        <is>
          <t>Ajudante</t>
        </is>
      </c>
      <c r="D53" s="24" t="inlineStr">
        <is>
          <t>DIRETO</t>
        </is>
      </c>
      <c r="E53" s="25" t="n">
        <v>3</v>
      </c>
      <c r="F53" s="26" t="n">
        <v>15784.95</v>
      </c>
      <c r="G53" s="25" t="n">
        <v>5.98</v>
      </c>
      <c r="H53" s="25" t="n">
        <v>1</v>
      </c>
      <c r="I53" s="26" t="n">
        <v>94394</v>
      </c>
    </row>
    <row r="54">
      <c r="A54" s="13" t="inlineStr">
        <is>
          <t>eap-1_1</t>
        </is>
      </c>
      <c r="B54" s="13" t="inlineStr">
        <is>
          <t>EQ-E0016</t>
        </is>
      </c>
      <c r="C54" s="13" t="inlineStr">
        <is>
          <t>Escavadeira Hidráulica 22t [EQ]</t>
        </is>
      </c>
      <c r="D54" s="74" t="inlineStr">
        <is>
          <t>EQ</t>
        </is>
      </c>
      <c r="E54" s="25" t="n">
        <v>1</v>
      </c>
      <c r="F54" s="26" t="n">
        <v>35639.3</v>
      </c>
      <c r="G54" s="25" t="n">
        <v>5.98</v>
      </c>
      <c r="H54" s="25" t="n">
        <v>1</v>
      </c>
      <c r="I54" s="26" t="n">
        <v>213123.01</v>
      </c>
    </row>
    <row r="55">
      <c r="A55" s="13" t="inlineStr">
        <is>
          <t>eap-1_1</t>
        </is>
      </c>
      <c r="B55" s="13" t="inlineStr">
        <is>
          <t>EQ-E0024</t>
        </is>
      </c>
      <c r="C55" s="13" t="inlineStr">
        <is>
          <t>Trator de Esteiras 20t (300HP) [EQ]</t>
        </is>
      </c>
      <c r="D55" s="74" t="inlineStr">
        <is>
          <t>EQ</t>
        </is>
      </c>
      <c r="E55" s="25" t="n">
        <v>1</v>
      </c>
      <c r="F55" s="26" t="n">
        <v>49477.12</v>
      </c>
      <c r="G55" s="25" t="n">
        <v>5.98</v>
      </c>
      <c r="H55" s="25" t="n">
        <v>1</v>
      </c>
      <c r="I55" s="26" t="n">
        <v>295873.18</v>
      </c>
    </row>
    <row r="56">
      <c r="A56" s="13" t="inlineStr">
        <is>
          <t>eap-1_1</t>
        </is>
      </c>
      <c r="B56" s="13" t="inlineStr">
        <is>
          <t>EQ-E0024</t>
        </is>
      </c>
      <c r="C56" s="28" t="inlineStr">
        <is>
          <t>Diesel — Trator de Esteiras 20t (300HP)</t>
        </is>
      </c>
      <c r="D56" s="75" t="inlineStr">
        <is>
          <t>COMB</t>
        </is>
      </c>
      <c r="E56" s="25" t="n">
        <v>1</v>
      </c>
      <c r="F56" s="26" t="n">
        <v>22957.71</v>
      </c>
      <c r="G56" s="25" t="n">
        <v>5.98</v>
      </c>
      <c r="H56" s="25" t="n">
        <v>1</v>
      </c>
      <c r="I56" s="26" t="n">
        <v>137287.11</v>
      </c>
    </row>
    <row r="57">
      <c r="A57" s="20" t="inlineStr">
        <is>
          <t>Subtotal eap-1_1</t>
        </is>
      </c>
      <c r="B57" s="21" t="n"/>
      <c r="C57" s="21" t="n"/>
      <c r="D57" s="21" t="n"/>
      <c r="E57" s="21" t="n"/>
      <c r="F57" s="21" t="n"/>
      <c r="G57" s="21" t="n"/>
      <c r="H57" s="21" t="n"/>
      <c r="I57" s="22" t="n">
        <v>1789253.03</v>
      </c>
    </row>
    <row r="58">
      <c r="A58" s="9" t="inlineStr">
        <is>
          <t>eap-4_2 — Topografia</t>
        </is>
      </c>
    </row>
    <row r="59">
      <c r="A59" s="11" t="inlineStr">
        <is>
          <t>eap-4_2</t>
        </is>
      </c>
      <c r="B59" s="11" t="inlineStr">
        <is>
          <t>CPU-TERRA-ATI-005</t>
        </is>
      </c>
      <c r="C59" s="11" t="inlineStr">
        <is>
          <t>Topógrafo</t>
        </is>
      </c>
      <c r="D59" s="15" t="inlineStr">
        <is>
          <t>DIRETO</t>
        </is>
      </c>
      <c r="E59" s="16" t="n">
        <v>1</v>
      </c>
      <c r="F59" s="17" t="n">
        <v>18000</v>
      </c>
      <c r="G59" s="16" t="n">
        <v>5.98</v>
      </c>
      <c r="H59" s="16" t="n">
        <v>1</v>
      </c>
      <c r="I59" s="17" t="n">
        <v>107640</v>
      </c>
    </row>
    <row r="60">
      <c r="A60" s="11" t="inlineStr">
        <is>
          <t>eap-4_2</t>
        </is>
      </c>
      <c r="B60" s="11" t="inlineStr">
        <is>
          <t>CPU-TERRA-ATI-005</t>
        </is>
      </c>
      <c r="C60" s="11" t="inlineStr">
        <is>
          <t>Auxiliar de topografia</t>
        </is>
      </c>
      <c r="D60" s="15" t="inlineStr">
        <is>
          <t>DIRETO</t>
        </is>
      </c>
      <c r="E60" s="16" t="n">
        <v>2</v>
      </c>
      <c r="F60" s="17" t="n">
        <v>11420.64</v>
      </c>
      <c r="G60" s="16" t="n">
        <v>5.98</v>
      </c>
      <c r="H60" s="16" t="n">
        <v>1</v>
      </c>
      <c r="I60" s="17" t="n">
        <v>68295.42999999999</v>
      </c>
    </row>
    <row r="61">
      <c r="A61" s="11" t="inlineStr">
        <is>
          <t>eap-4_2</t>
        </is>
      </c>
      <c r="B61" s="11" t="inlineStr">
        <is>
          <t>EQ-ESTACAO-TOTAL</t>
        </is>
      </c>
      <c r="C61" s="11" t="inlineStr">
        <is>
          <t>Estação Total [EQ]</t>
        </is>
      </c>
      <c r="D61" s="72" t="inlineStr">
        <is>
          <t>EQ</t>
        </is>
      </c>
      <c r="E61" s="16" t="n">
        <v>1</v>
      </c>
      <c r="F61" s="17" t="n">
        <v>2640</v>
      </c>
      <c r="G61" s="16" t="n">
        <v>5.98</v>
      </c>
      <c r="H61" s="16" t="n">
        <v>1</v>
      </c>
      <c r="I61" s="17" t="n">
        <v>15787.2</v>
      </c>
    </row>
    <row r="62">
      <c r="A62" s="20" t="inlineStr">
        <is>
          <t>Subtotal eap-4_2</t>
        </is>
      </c>
      <c r="B62" s="21" t="n"/>
      <c r="C62" s="21" t="n"/>
      <c r="D62" s="21" t="n"/>
      <c r="E62" s="21" t="n"/>
      <c r="F62" s="21" t="n"/>
      <c r="G62" s="21" t="n"/>
      <c r="H62" s="21" t="n"/>
      <c r="I62" s="22" t="n">
        <v>191714.96</v>
      </c>
    </row>
    <row r="63">
      <c r="A63" s="9" t="inlineStr">
        <is>
          <t>eap-1_7 — Carga e transporte de material proveniente do desmonte com caminhão basculante de 12 m³ para rocha - rodovia em leito natural</t>
        </is>
      </c>
    </row>
    <row r="64">
      <c r="A64" s="13" t="inlineStr">
        <is>
          <t>eap-1_7</t>
        </is>
      </c>
      <c r="B64" s="13" t="inlineStr">
        <is>
          <t>CPU-TERRA-ATI-011</t>
        </is>
      </c>
      <c r="C64" s="13" t="inlineStr">
        <is>
          <t>Operador de Escavadeira</t>
        </is>
      </c>
      <c r="D64" s="24" t="inlineStr">
        <is>
          <t>DIRETO</t>
        </is>
      </c>
      <c r="E64" s="25" t="n">
        <v>1</v>
      </c>
      <c r="F64" s="26" t="n">
        <v>12875</v>
      </c>
      <c r="G64" s="25" t="n">
        <v>5.98</v>
      </c>
      <c r="H64" s="25" t="n">
        <v>1</v>
      </c>
      <c r="I64" s="26" t="n">
        <v>76992.5</v>
      </c>
    </row>
    <row r="65">
      <c r="A65" s="13" t="inlineStr">
        <is>
          <t>eap-1_7</t>
        </is>
      </c>
      <c r="B65" s="13" t="inlineStr">
        <is>
          <t>CPU-TERRA-ATI-011</t>
        </is>
      </c>
      <c r="C65" s="13" t="inlineStr">
        <is>
          <t>Motorista de Caminhão Basculante</t>
        </is>
      </c>
      <c r="D65" s="24" t="inlineStr">
        <is>
          <t>DIRETO</t>
        </is>
      </c>
      <c r="E65" s="25" t="n">
        <v>3</v>
      </c>
      <c r="F65" s="26" t="n">
        <v>32056.02</v>
      </c>
      <c r="G65" s="25" t="n">
        <v>5.98</v>
      </c>
      <c r="H65" s="25" t="n">
        <v>1</v>
      </c>
      <c r="I65" s="26" t="n">
        <v>191695</v>
      </c>
    </row>
    <row r="66">
      <c r="A66" s="13" t="inlineStr">
        <is>
          <t>eap-1_7</t>
        </is>
      </c>
      <c r="B66" s="13" t="inlineStr">
        <is>
          <t>CPU-TERRA-ATI-011</t>
        </is>
      </c>
      <c r="C66" s="13" t="inlineStr">
        <is>
          <t>Motorista de Caminhão Basculante</t>
        </is>
      </c>
      <c r="D66" s="24" t="inlineStr">
        <is>
          <t>DIRETO</t>
        </is>
      </c>
      <c r="E66" s="25" t="n">
        <v>1</v>
      </c>
      <c r="F66" s="26" t="n">
        <v>10685.34</v>
      </c>
      <c r="G66" s="25" t="n">
        <v>5.98</v>
      </c>
      <c r="H66" s="25" t="n">
        <v>1</v>
      </c>
      <c r="I66" s="26" t="n">
        <v>63898.33</v>
      </c>
    </row>
    <row r="67">
      <c r="A67" s="13" t="inlineStr">
        <is>
          <t>eap-1_7</t>
        </is>
      </c>
      <c r="B67" s="13" t="inlineStr">
        <is>
          <t>CPU-TERRA-ATI-011</t>
        </is>
      </c>
      <c r="C67" s="13" t="inlineStr">
        <is>
          <t>Encarregado de Terraplenagem</t>
        </is>
      </c>
      <c r="D67" s="24" t="inlineStr">
        <is>
          <t>DIRETO</t>
        </is>
      </c>
      <c r="E67" s="25" t="n">
        <v>1</v>
      </c>
      <c r="F67" s="26" t="n">
        <v>11549.8</v>
      </c>
      <c r="G67" s="25" t="n">
        <v>5.98</v>
      </c>
      <c r="H67" s="25" t="n">
        <v>1</v>
      </c>
      <c r="I67" s="26" t="n">
        <v>69067.8</v>
      </c>
    </row>
    <row r="68">
      <c r="A68" s="13" t="inlineStr">
        <is>
          <t>eap-1_7</t>
        </is>
      </c>
      <c r="B68" s="13" t="inlineStr">
        <is>
          <t>EQ-E0016</t>
        </is>
      </c>
      <c r="C68" s="13" t="inlineStr">
        <is>
          <t>Escavadeira Hidráulica 22t [EQ]</t>
        </is>
      </c>
      <c r="D68" s="74" t="inlineStr">
        <is>
          <t>EQ</t>
        </is>
      </c>
      <c r="E68" s="25" t="n">
        <v>1</v>
      </c>
      <c r="F68" s="26" t="n">
        <v>35639.3</v>
      </c>
      <c r="G68" s="25" t="n">
        <v>5.98</v>
      </c>
      <c r="H68" s="25" t="n">
        <v>1</v>
      </c>
      <c r="I68" s="26" t="n">
        <v>213123.01</v>
      </c>
    </row>
    <row r="69">
      <c r="A69" s="13" t="inlineStr">
        <is>
          <t>eap-1_7</t>
        </is>
      </c>
      <c r="B69" s="13" t="inlineStr">
        <is>
          <t>EQ-E0007</t>
        </is>
      </c>
      <c r="C69" s="13" t="inlineStr">
        <is>
          <t>Caminhão Basculante 14m³ [EQ]</t>
        </is>
      </c>
      <c r="D69" s="74" t="inlineStr">
        <is>
          <t>EQ</t>
        </is>
      </c>
      <c r="E69" s="25" t="n">
        <v>3</v>
      </c>
      <c r="F69" s="26" t="n">
        <v>25132.8</v>
      </c>
      <c r="G69" s="25" t="n">
        <v>5.98</v>
      </c>
      <c r="H69" s="25" t="n">
        <v>1</v>
      </c>
      <c r="I69" s="26" t="n">
        <v>150294.14</v>
      </c>
    </row>
    <row r="70">
      <c r="A70" s="13" t="inlineStr">
        <is>
          <t>eap-1_7</t>
        </is>
      </c>
      <c r="B70" s="13" t="inlineStr">
        <is>
          <t>EQ-E0007</t>
        </is>
      </c>
      <c r="C70" s="28" t="inlineStr">
        <is>
          <t>Diesel — Caminhão Basculante 14m³</t>
        </is>
      </c>
      <c r="D70" s="75" t="inlineStr">
        <is>
          <t>COMB</t>
        </is>
      </c>
      <c r="E70" s="25" t="n">
        <v>3</v>
      </c>
      <c r="F70" s="26" t="n">
        <v>9259.610000000001</v>
      </c>
      <c r="G70" s="25" t="n">
        <v>5.98</v>
      </c>
      <c r="H70" s="25" t="n">
        <v>1</v>
      </c>
      <c r="I70" s="26" t="n">
        <v>55372.47</v>
      </c>
    </row>
    <row r="71">
      <c r="A71" s="20" t="inlineStr">
        <is>
          <t>Subtotal eap-1_7</t>
        </is>
      </c>
      <c r="B71" s="21" t="n"/>
      <c r="C71" s="21" t="n"/>
      <c r="D71" s="21" t="n"/>
      <c r="E71" s="21" t="n"/>
      <c r="F71" s="21" t="n"/>
      <c r="G71" s="21" t="n"/>
      <c r="H71" s="21" t="n"/>
      <c r="I71" s="22" t="n">
        <v>1231727.22</v>
      </c>
    </row>
    <row r="73">
      <c r="A73" s="29" t="inlineStr">
        <is>
          <t>TOTAL EQUIPES DIRETAS</t>
        </is>
      </c>
      <c r="I73" s="30">
        <f>I15+I24+I34+I40+I49+I57+I62+I71</f>
        <v/>
      </c>
    </row>
  </sheetData>
  <mergeCells count="10">
    <mergeCell ref="A25:I25"/>
    <mergeCell ref="A41:I41"/>
    <mergeCell ref="A63:I63"/>
    <mergeCell ref="A50:I50"/>
    <mergeCell ref="A73:H73"/>
    <mergeCell ref="A1:I1"/>
    <mergeCell ref="A3:I3"/>
    <mergeCell ref="A58:I58"/>
    <mergeCell ref="A35:I35"/>
    <mergeCell ref="A16:I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PONTO DE EQUILÍBRIO — CUSTO FIXO vs PREÇO DE VENDA (CPU)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Custo Fixo Equipe (R$)</t>
        </is>
      </c>
      <c r="D2" s="2" t="inlineStr">
        <is>
          <t>Preço Venda CPU (R$)</t>
        </is>
      </c>
      <c r="E2" s="2" t="inlineStr">
        <is>
          <t>Delta (R$)</t>
        </is>
      </c>
      <c r="F2" s="2" t="inlineStr">
        <is>
          <t>Status</t>
        </is>
      </c>
    </row>
    <row r="3">
      <c r="A3" s="11" t="inlineStr">
        <is>
          <t>eap-1_5</t>
        </is>
      </c>
      <c r="B3" s="11" t="inlineStr">
        <is>
          <t>CPU-TERRA-ATI-017</t>
        </is>
      </c>
      <c r="C3" s="17" t="n">
        <v>1105525.77</v>
      </c>
      <c r="D3" s="17" t="n">
        <v>1486882.41</v>
      </c>
      <c r="E3" s="76" t="n">
        <v>381356.64</v>
      </c>
      <c r="F3" s="15" t="inlineStr">
        <is>
          <t>OK</t>
        </is>
      </c>
    </row>
    <row r="4">
      <c r="A4" s="13" t="inlineStr">
        <is>
          <t>eap-1_2</t>
        </is>
      </c>
      <c r="B4" s="13" t="inlineStr">
        <is>
          <t>CPU-TERRA-ATI-011</t>
        </is>
      </c>
      <c r="C4" s="26" t="n">
        <v>1231776.49</v>
      </c>
      <c r="D4" s="26" t="n">
        <v>2279638.44</v>
      </c>
      <c r="E4" s="77" t="n">
        <v>1047861.95</v>
      </c>
      <c r="F4" s="24" t="inlineStr">
        <is>
          <t>OK</t>
        </is>
      </c>
    </row>
    <row r="5">
      <c r="A5" s="11" t="inlineStr">
        <is>
          <t>eap-1_6</t>
        </is>
      </c>
      <c r="B5" s="11" t="inlineStr">
        <is>
          <t>CPU-TERRA-ATI-014</t>
        </is>
      </c>
      <c r="C5" s="17" t="n">
        <v>2007076.31</v>
      </c>
      <c r="D5" s="17" t="n">
        <v>2699427.32</v>
      </c>
      <c r="E5" s="76" t="n">
        <v>692351.01</v>
      </c>
      <c r="F5" s="15" t="inlineStr">
        <is>
          <t>OK</t>
        </is>
      </c>
    </row>
    <row r="6">
      <c r="A6" s="13" t="inlineStr">
        <is>
          <t>eap-1_4</t>
        </is>
      </c>
      <c r="B6" s="13" t="inlineStr">
        <is>
          <t>CPU-TERRA-ATI-019-M2</t>
        </is>
      </c>
      <c r="C6" s="26" t="n">
        <v>515851.19</v>
      </c>
      <c r="D6" s="26" t="n">
        <v>693796.63</v>
      </c>
      <c r="E6" s="77" t="n">
        <v>177945.44</v>
      </c>
      <c r="F6" s="24" t="inlineStr">
        <is>
          <t>OK</t>
        </is>
      </c>
    </row>
    <row r="7">
      <c r="A7" s="11" t="inlineStr">
        <is>
          <t>eap-1_3</t>
        </is>
      </c>
      <c r="B7" s="11" t="inlineStr">
        <is>
          <t>CPU-TERRA-ATI-011</t>
        </is>
      </c>
      <c r="C7" s="17" t="n">
        <v>1231776.49</v>
      </c>
      <c r="D7" s="17" t="n">
        <v>1797444.84</v>
      </c>
      <c r="E7" s="76" t="n">
        <v>565668.35</v>
      </c>
      <c r="F7" s="15" t="inlineStr">
        <is>
          <t>OK</t>
        </is>
      </c>
    </row>
    <row r="8">
      <c r="A8" s="13" t="inlineStr">
        <is>
          <t>eap-1_1</t>
        </is>
      </c>
      <c r="B8" s="13" t="inlineStr">
        <is>
          <t>CPU-TERRA-ATI-003</t>
        </is>
      </c>
      <c r="C8" s="26" t="n">
        <v>894662.3</v>
      </c>
      <c r="D8" s="26" t="n">
        <v>1382055.8</v>
      </c>
      <c r="E8" s="77" t="n">
        <v>487393.5</v>
      </c>
      <c r="F8" s="24" t="inlineStr">
        <is>
          <t>OK</t>
        </is>
      </c>
    </row>
    <row r="9">
      <c r="A9" s="11" t="inlineStr">
        <is>
          <t>eap-4_2</t>
        </is>
      </c>
      <c r="B9" s="11" t="inlineStr">
        <is>
          <t>CPU-TERRA-ATI-005</t>
        </is>
      </c>
      <c r="C9" s="17" t="n">
        <v>191722.63</v>
      </c>
      <c r="D9" s="17" t="n">
        <v>257858.31</v>
      </c>
      <c r="E9" s="76" t="n">
        <v>66135.67999999999</v>
      </c>
      <c r="F9" s="15" t="inlineStr">
        <is>
          <t>OK</t>
        </is>
      </c>
    </row>
    <row r="10">
      <c r="A10" s="13" t="inlineStr">
        <is>
          <t>eap-1_7</t>
        </is>
      </c>
      <c r="B10" s="13" t="inlineStr">
        <is>
          <t>CPU-TERRA-ATI-011</t>
        </is>
      </c>
      <c r="C10" s="26" t="n">
        <v>1231776.49</v>
      </c>
      <c r="D10" s="26" t="n">
        <v>1670637.69</v>
      </c>
      <c r="E10" s="77" t="n">
        <v>438861.2</v>
      </c>
      <c r="F10" s="24" t="inlineStr">
        <is>
          <t>OK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</cols>
  <sheetData>
    <row r="1">
      <c r="A1" s="1" t="inlineStr">
        <is>
          <t>RESULTADO FINANCEIRO — MENDESLOBO CONSTRUTORA</t>
        </is>
      </c>
    </row>
    <row r="3">
      <c r="A3" s="9" t="inlineStr">
        <is>
          <t>PROJETO</t>
        </is>
      </c>
    </row>
    <row r="4">
      <c r="A4" s="11" t="inlineStr">
        <is>
          <t>Nome</t>
        </is>
      </c>
      <c r="B4" s="11" t="inlineStr">
        <is>
          <t>CTC</t>
        </is>
      </c>
      <c r="C4" s="12" t="n"/>
    </row>
    <row r="5">
      <c r="A5" s="13" t="inlineStr">
        <is>
          <t>Tipo de obra</t>
        </is>
      </c>
      <c r="B5" s="13" t="inlineStr">
        <is>
          <t>terraplenagem</t>
        </is>
      </c>
      <c r="C5" s="14" t="n"/>
    </row>
    <row r="6">
      <c r="A6" s="11" t="inlineStr">
        <is>
          <t>Localização</t>
        </is>
      </c>
      <c r="B6" s="11" t="inlineStr">
        <is>
          <t>Brasil</t>
        </is>
      </c>
      <c r="C6" s="12" t="n"/>
    </row>
    <row r="7">
      <c r="A7" s="13" t="inlineStr">
        <is>
          <t>Período</t>
        </is>
      </c>
      <c r="B7" s="13" t="inlineStr">
        <is>
          <t>2025-01-01 -&gt; 2025-06-30</t>
        </is>
      </c>
      <c r="C7" s="14" t="n"/>
    </row>
    <row r="8">
      <c r="A8" s="11" t="inlineStr">
        <is>
          <t>Regime</t>
        </is>
      </c>
      <c r="B8" s="11" t="inlineStr">
        <is>
          <t>6 dias/sem · 8 h/dia</t>
        </is>
      </c>
      <c r="C8" s="12" t="n"/>
    </row>
    <row r="10">
      <c r="A10" s="9" t="inlineStr">
        <is>
          <t>RECEITA CONTRATUAL (COM BDI)</t>
        </is>
      </c>
    </row>
    <row r="11">
      <c r="A11" s="13" t="inlineStr">
        <is>
          <t>Preço de venda s/ BDI</t>
        </is>
      </c>
      <c r="B11" s="26">
        <f>PLANEJAMENTO!$I$12</f>
        <v/>
      </c>
      <c r="C11" s="14" t="n"/>
    </row>
    <row r="12">
      <c r="A12" s="78" t="inlineStr">
        <is>
          <t>Preço de venda c/ BDI</t>
        </is>
      </c>
      <c r="B12" s="79">
        <f>PLANEJAMENTO!$N$12</f>
        <v/>
      </c>
      <c r="C12" s="12" t="n"/>
    </row>
    <row r="14">
      <c r="A14" s="9" t="inlineStr">
        <is>
          <t>CUSTOS</t>
        </is>
      </c>
    </row>
    <row r="15">
      <c r="A15" s="13" t="inlineStr">
        <is>
          <t>Custo direto (equipes)</t>
        </is>
      </c>
      <c r="B15" s="26">
        <f>'DIRETOS.DET'!$I$73</f>
        <v/>
      </c>
      <c r="C15" s="14" t="n"/>
    </row>
    <row r="16">
      <c r="A16" s="11" t="inlineStr">
        <is>
          <t xml:space="preserve">  ADM</t>
        </is>
      </c>
      <c r="B16" s="17">
        <f>'INDIRETOS.DET'!$H$5</f>
        <v/>
      </c>
      <c r="C16" s="12" t="n"/>
    </row>
    <row r="17">
      <c r="A17" s="13" t="inlineStr">
        <is>
          <t xml:space="preserve">  TOP</t>
        </is>
      </c>
      <c r="B17" s="26">
        <f>'INDIRETOS.DET'!$H$8</f>
        <v/>
      </c>
      <c r="C17" s="14" t="n"/>
    </row>
    <row r="18">
      <c r="A18" s="11" t="inlineStr">
        <is>
          <t xml:space="preserve">  LAB</t>
        </is>
      </c>
      <c r="B18" s="17">
        <f>'INDIRETOS.DET'!$H$11</f>
        <v/>
      </c>
      <c r="C18" s="12" t="n"/>
    </row>
    <row r="19">
      <c r="A19" s="13" t="inlineStr">
        <is>
          <t xml:space="preserve">  QSMS</t>
        </is>
      </c>
      <c r="B19" s="26">
        <f>'INDIRETOS.DET'!$H$14</f>
        <v/>
      </c>
      <c r="C19" s="14" t="n"/>
    </row>
    <row r="20">
      <c r="A20" s="11" t="inlineStr">
        <is>
          <t xml:space="preserve">  MOB</t>
        </is>
      </c>
      <c r="B20" s="17">
        <f>'INDIRETOS.DET'!$H$17</f>
        <v/>
      </c>
      <c r="C20" s="12" t="n"/>
    </row>
    <row r="21">
      <c r="A21" s="13" t="inlineStr">
        <is>
          <t>Custo indireto (subtotal)</t>
        </is>
      </c>
      <c r="B21" s="26">
        <f>'INDIRETOS.DET'!$H$19</f>
        <v/>
      </c>
      <c r="C21" s="14" t="n"/>
    </row>
    <row r="22">
      <c r="A22" s="78" t="inlineStr">
        <is>
          <t>CUSTO TOTAL</t>
        </is>
      </c>
      <c r="B22" s="79">
        <f>B15+B21</f>
        <v/>
      </c>
      <c r="C22" s="12" t="n"/>
    </row>
    <row r="24">
      <c r="A24" s="9" t="inlineStr">
        <is>
          <t>RESULTADO</t>
        </is>
      </c>
    </row>
    <row r="25">
      <c r="A25" s="80" t="inlineStr">
        <is>
          <t>Resultado bruto (R$)</t>
        </is>
      </c>
      <c r="B25" s="81">
        <f>B12-B22</f>
        <v/>
      </c>
      <c r="C25" s="14" t="n"/>
    </row>
    <row r="26">
      <c r="A26" s="78" t="inlineStr">
        <is>
          <t>Margem bruta (%)</t>
        </is>
      </c>
      <c r="B26" s="82">
        <f>IF(B12&gt;0, B25/B12, 0)</f>
        <v/>
      </c>
      <c r="C26" s="12" t="n"/>
    </row>
    <row r="28">
      <c r="A28" s="83" t="inlineStr">
        <is>
          <t>STATUS: VERMELHO</t>
        </is>
      </c>
    </row>
    <row r="30">
      <c r="A30" s="9" t="inlineStr">
        <is>
          <t>COMPOSIÇÃO DE CUSTO</t>
        </is>
      </c>
    </row>
    <row r="31">
      <c r="A31" s="13" t="inlineStr">
        <is>
          <t>Total Direto (catálogo s/BDI)</t>
        </is>
      </c>
      <c r="B31" s="26">
        <f>PLANEJAMENTO!$I$12</f>
        <v/>
      </c>
      <c r="C31" s="14" t="n"/>
    </row>
    <row r="32">
      <c r="A32" s="11" t="inlineStr">
        <is>
          <t>Total Direto (c/BDI)</t>
        </is>
      </c>
      <c r="B32" s="17">
        <f>PLANEJAMENTO!$N$12</f>
        <v/>
      </c>
      <c r="C32" s="12" t="n"/>
    </row>
    <row r="33">
      <c r="A33" s="13" t="inlineStr">
        <is>
          <t>RAZÃO CI / CD (%)</t>
        </is>
      </c>
      <c r="B33" s="84" t="n">
        <v>308.16</v>
      </c>
      <c r="C33" s="14" t="n"/>
    </row>
    <row r="34">
      <c r="A34" s="11" t="inlineStr">
        <is>
          <t>CI / PVT (%)</t>
        </is>
      </c>
      <c r="B34" s="85" t="n">
        <v>231.28</v>
      </c>
      <c r="C34" s="12" t="n"/>
    </row>
    <row r="36">
      <c r="A36" s="9" t="inlineStr">
        <is>
          <t>CAPITAL DE GIRO</t>
        </is>
      </c>
    </row>
    <row r="37">
      <c r="A37" s="13" t="inlineStr">
        <is>
          <t>Exposição máxima</t>
        </is>
      </c>
      <c r="B37" s="86" t="n">
        <v>36310396.44566734</v>
      </c>
      <c r="C37" s="14" t="n"/>
    </row>
    <row r="38">
      <c r="A38" s="11" t="inlineStr">
        <is>
          <t>Parcela mensal (meses 2 a n)</t>
        </is>
      </c>
      <c r="B38" s="17" t="n">
        <v>1752534</v>
      </c>
      <c r="C38" s="12" t="n"/>
    </row>
    <row r="39">
      <c r="A39" s="13" t="inlineStr">
        <is>
          <t>Resíduo (mês n+1)</t>
        </is>
      </c>
      <c r="B39" s="26" t="n">
        <v>1752537.439999999</v>
      </c>
      <c r="C39" s="14" t="n"/>
    </row>
    <row r="40">
      <c r="A40" s="11" t="inlineStr">
        <is>
          <t>Duração da execução (meses)</t>
        </is>
      </c>
      <c r="B40" s="11" t="n">
        <v>7</v>
      </c>
      <c r="C40" s="12" t="n"/>
    </row>
  </sheetData>
  <mergeCells count="8">
    <mergeCell ref="A10:C10"/>
    <mergeCell ref="A28:C28"/>
    <mergeCell ref="A36:C36"/>
    <mergeCell ref="A1:C1"/>
    <mergeCell ref="A14:C14"/>
    <mergeCell ref="A3:C3"/>
    <mergeCell ref="A30:C30"/>
    <mergeCell ref="A24:C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FLUXO DE CAIXA — ACOMPANHAMENTO MENSAL</t>
        </is>
      </c>
    </row>
    <row r="2">
      <c r="A2" s="2" t="inlineStr">
        <is>
          <t>Mês</t>
        </is>
      </c>
      <c r="B2" s="2" t="inlineStr">
        <is>
          <t>Despesa (R$)</t>
        </is>
      </c>
      <c r="C2" s="2" t="inlineStr">
        <is>
          <t>Receita (R$)</t>
        </is>
      </c>
      <c r="D2" s="2" t="inlineStr">
        <is>
          <t>Rec. Acumulada (R$)</t>
        </is>
      </c>
      <c r="E2" s="2" t="inlineStr">
        <is>
          <t>Saldo do Mês (R$)</t>
        </is>
      </c>
      <c r="F2" s="2" t="inlineStr">
        <is>
          <t>Saldo Atual (R$)</t>
        </is>
      </c>
      <c r="G2" s="2" t="inlineStr">
        <is>
          <t>Exposição Acum. (R$)</t>
        </is>
      </c>
    </row>
    <row r="3">
      <c r="A3" s="18" t="inlineStr">
        <is>
          <t>Dez/24</t>
        </is>
      </c>
      <c r="B3" s="17" t="n">
        <v>5438585.03</v>
      </c>
      <c r="C3" s="17" t="n">
        <v>0</v>
      </c>
      <c r="D3" s="17" t="n">
        <v>0</v>
      </c>
      <c r="E3" s="87" t="n">
        <v>-5438585.03</v>
      </c>
      <c r="F3" s="87" t="n">
        <v>-5438585.03</v>
      </c>
      <c r="G3" s="87" t="n">
        <v>5438585.03</v>
      </c>
    </row>
    <row r="4">
      <c r="A4" s="27" t="inlineStr">
        <is>
          <t>Jan/25</t>
        </is>
      </c>
      <c r="B4" s="26" t="n">
        <v>7567698.57</v>
      </c>
      <c r="C4" s="26" t="n">
        <v>1752534</v>
      </c>
      <c r="D4" s="26" t="n">
        <v>1752534</v>
      </c>
      <c r="E4" s="87" t="n">
        <v>-5815164.57</v>
      </c>
      <c r="F4" s="87" t="n">
        <v>-11253749.6</v>
      </c>
      <c r="G4" s="87" t="n">
        <v>11253749.6</v>
      </c>
    </row>
    <row r="5">
      <c r="A5" s="18" t="inlineStr">
        <is>
          <t>Fev/25</t>
        </is>
      </c>
      <c r="B5" s="17" t="n">
        <v>7567698.57</v>
      </c>
      <c r="C5" s="17" t="n">
        <v>1752534</v>
      </c>
      <c r="D5" s="17" t="n">
        <v>3505068</v>
      </c>
      <c r="E5" s="87" t="n">
        <v>-5815164.57</v>
      </c>
      <c r="F5" s="87" t="n">
        <v>-17068914.17</v>
      </c>
      <c r="G5" s="87" t="n">
        <v>17068914.17</v>
      </c>
    </row>
    <row r="6">
      <c r="A6" s="27" t="inlineStr">
        <is>
          <t>Mar/25</t>
        </is>
      </c>
      <c r="B6" s="26" t="n">
        <v>8277403.08</v>
      </c>
      <c r="C6" s="26" t="n">
        <v>1752534</v>
      </c>
      <c r="D6" s="26" t="n">
        <v>5257602</v>
      </c>
      <c r="E6" s="87" t="n">
        <v>-6524869.08</v>
      </c>
      <c r="F6" s="87" t="n">
        <v>-23593783.26</v>
      </c>
      <c r="G6" s="87" t="n">
        <v>23593783.26</v>
      </c>
    </row>
    <row r="7">
      <c r="A7" s="18" t="inlineStr">
        <is>
          <t>Abr/25</t>
        </is>
      </c>
      <c r="B7" s="17" t="n">
        <v>7567698.57</v>
      </c>
      <c r="C7" s="17" t="n">
        <v>1752534</v>
      </c>
      <c r="D7" s="17" t="n">
        <v>7010136</v>
      </c>
      <c r="E7" s="87" t="n">
        <v>-5815164.57</v>
      </c>
      <c r="F7" s="87" t="n">
        <v>-29408947.83</v>
      </c>
      <c r="G7" s="87" t="n">
        <v>29408947.83</v>
      </c>
    </row>
    <row r="8">
      <c r="A8" s="27" t="inlineStr">
        <is>
          <t>Mai/25</t>
        </is>
      </c>
      <c r="B8" s="26" t="n">
        <v>7567698.57</v>
      </c>
      <c r="C8" s="26" t="n">
        <v>1752534</v>
      </c>
      <c r="D8" s="26" t="n">
        <v>8762670</v>
      </c>
      <c r="E8" s="87" t="n">
        <v>-5815164.57</v>
      </c>
      <c r="F8" s="87" t="n">
        <v>-35224112.4</v>
      </c>
      <c r="G8" s="87" t="n">
        <v>35224112.4</v>
      </c>
    </row>
    <row r="9">
      <c r="A9" s="18" t="inlineStr">
        <is>
          <t>Jun/25</t>
        </is>
      </c>
      <c r="B9" s="17" t="n">
        <v>2838818.05</v>
      </c>
      <c r="C9" s="17" t="n">
        <v>1752534</v>
      </c>
      <c r="D9" s="17" t="n">
        <v>10515204</v>
      </c>
      <c r="E9" s="87" t="n">
        <v>-1086284.05</v>
      </c>
      <c r="F9" s="87" t="n">
        <v>-36310396.45</v>
      </c>
      <c r="G9" s="87" t="n">
        <v>36310396.45</v>
      </c>
    </row>
    <row r="10">
      <c r="A10" s="27" t="inlineStr">
        <is>
          <t>Jul/25</t>
        </is>
      </c>
      <c r="B10" s="26" t="n">
        <v>0</v>
      </c>
      <c r="C10" s="26" t="n">
        <v>1752537.44</v>
      </c>
      <c r="D10" s="26" t="n">
        <v>12267741.44</v>
      </c>
      <c r="E10" s="88" t="n">
        <v>1752537.44</v>
      </c>
      <c r="F10" s="87" t="n">
        <v>-34557859.01</v>
      </c>
      <c r="G10" s="87" t="n">
        <v>34557859.01</v>
      </c>
    </row>
    <row r="12">
      <c r="A12" s="89" t="inlineStr">
        <is>
          <t>TOTAL</t>
        </is>
      </c>
      <c r="B12" s="30" t="n">
        <v>46825600.45</v>
      </c>
      <c r="C12" s="30" t="n">
        <v>12267741.44</v>
      </c>
      <c r="D12" s="30" t="n">
        <v>12267741.44</v>
      </c>
      <c r="E12" s="90" t="n">
        <v>-34557859.01</v>
      </c>
      <c r="F12" s="90" t="n">
        <v>-34557859.01</v>
      </c>
      <c r="G12" s="37" t="n"/>
    </row>
    <row r="15">
      <c r="A15" s="9" t="inlineStr">
        <is>
          <t>MÉTRICAS DO FLUXO DE CAIXA</t>
        </is>
      </c>
    </row>
    <row r="16">
      <c r="A16" s="38" t="inlineStr">
        <is>
          <t>Duração da execução (meses)</t>
        </is>
      </c>
      <c r="B16" s="39" t="n"/>
      <c r="C16" s="91" t="n">
        <v>7</v>
      </c>
      <c r="D16" s="41" t="n"/>
      <c r="E16" s="41" t="n"/>
      <c r="F16" s="41" t="n"/>
      <c r="G16" s="39" t="n"/>
    </row>
    <row r="17">
      <c r="A17" s="38" t="inlineStr">
        <is>
          <t>Parcela mensal (meses 2 a n)</t>
        </is>
      </c>
      <c r="B17" s="39" t="n"/>
      <c r="C17" s="91" t="n">
        <v>1752534</v>
      </c>
      <c r="D17" s="41" t="n"/>
      <c r="E17" s="41" t="n"/>
      <c r="F17" s="41" t="n"/>
      <c r="G17" s="39" t="n"/>
    </row>
    <row r="18">
      <c r="A18" s="38" t="inlineStr">
        <is>
          <t>Resíduo (mês n+1)</t>
        </is>
      </c>
      <c r="B18" s="39" t="n"/>
      <c r="C18" s="92" t="n">
        <v>1752537.439999999</v>
      </c>
      <c r="D18" s="41" t="n"/>
      <c r="E18" s="41" t="n"/>
      <c r="F18" s="41" t="n"/>
      <c r="G18" s="39" t="n"/>
    </row>
    <row r="19">
      <c r="A19" s="38" t="inlineStr">
        <is>
          <t>Exposição máxima</t>
        </is>
      </c>
      <c r="B19" s="39" t="n"/>
      <c r="C19" s="93" t="n">
        <v>36310396.44566734</v>
      </c>
      <c r="D19" s="41" t="n"/>
      <c r="E19" s="41" t="n"/>
      <c r="F19" s="41" t="n"/>
      <c r="G19" s="39" t="n"/>
    </row>
    <row r="20">
      <c r="A20" s="38" t="inlineStr">
        <is>
          <t>Mês da exposição máxima</t>
        </is>
      </c>
      <c r="B20" s="39" t="n"/>
      <c r="C20" s="91" t="inlineStr">
        <is>
          <t>Jun/25</t>
        </is>
      </c>
      <c r="D20" s="41" t="n"/>
      <c r="E20" s="41" t="n"/>
      <c r="F20" s="41" t="n"/>
      <c r="G20" s="39" t="n"/>
    </row>
    <row r="21">
      <c r="A21" s="38" t="inlineStr">
        <is>
          <t>Saldo final do projeto</t>
        </is>
      </c>
      <c r="B21" s="39" t="n"/>
      <c r="C21" s="93" t="n">
        <v>-34557859.00566734</v>
      </c>
      <c r="D21" s="41" t="n"/>
      <c r="E21" s="41" t="n"/>
      <c r="F21" s="41" t="n"/>
      <c r="G21" s="39" t="n"/>
    </row>
    <row r="23" ht="36" customHeight="1">
      <c r="A23" s="94" t="inlineStr">
        <is>
          <t>Mês 1: receita = 0.  Meses 2..n: ⌊M/n⌋ cada.  Mês n+1: resíduo M − ⌊M/n⌋×(n−1).  Saldo Atual = Rec. Acumulada − Desp. Acumulada.  Exposição Acum. = −Saldo Atual (positivo = empresa precisa de capital de giro).</t>
        </is>
      </c>
    </row>
  </sheetData>
  <mergeCells count="15">
    <mergeCell ref="A20:B20"/>
    <mergeCell ref="A21:B21"/>
    <mergeCell ref="A16:B16"/>
    <mergeCell ref="A1:G1"/>
    <mergeCell ref="C20:G20"/>
    <mergeCell ref="C21:G21"/>
    <mergeCell ref="C16:G16"/>
    <mergeCell ref="A19:B19"/>
    <mergeCell ref="C19:G19"/>
    <mergeCell ref="A15:G15"/>
    <mergeCell ref="A17:B17"/>
    <mergeCell ref="A18:B18"/>
    <mergeCell ref="C18:G18"/>
    <mergeCell ref="C17:G17"/>
    <mergeCell ref="A23:G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HISTOGRAMA DE EQUIPAMENTOS — DEMANDA SEMANAL (UN.)</t>
        </is>
      </c>
    </row>
    <row r="2">
      <c r="A2" s="2" t="inlineStr">
        <is>
          <t>Equip.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30/Dez</t>
        </is>
      </c>
      <c r="E2" s="2" t="inlineStr">
        <is>
          <t>06/Jan</t>
        </is>
      </c>
      <c r="F2" s="2" t="inlineStr">
        <is>
          <t>13/Jan</t>
        </is>
      </c>
      <c r="G2" s="2" t="inlineStr">
        <is>
          <t>20/Jan</t>
        </is>
      </c>
      <c r="H2" s="2" t="inlineStr">
        <is>
          <t>27/Jan</t>
        </is>
      </c>
      <c r="I2" s="2" t="inlineStr">
        <is>
          <t>03/Fev</t>
        </is>
      </c>
      <c r="J2" s="2" t="inlineStr">
        <is>
          <t>10/Fev</t>
        </is>
      </c>
      <c r="K2" s="2" t="inlineStr">
        <is>
          <t>17/Fev</t>
        </is>
      </c>
      <c r="L2" s="2" t="inlineStr">
        <is>
          <t>24/Fev</t>
        </is>
      </c>
      <c r="M2" s="2" t="inlineStr">
        <is>
          <t>03/Mar</t>
        </is>
      </c>
      <c r="N2" s="2" t="inlineStr">
        <is>
          <t>10/Mar</t>
        </is>
      </c>
      <c r="O2" s="2" t="inlineStr">
        <is>
          <t>17/Mar</t>
        </is>
      </c>
      <c r="P2" s="2" t="inlineStr">
        <is>
          <t>24/Mar</t>
        </is>
      </c>
      <c r="Q2" s="2" t="inlineStr">
        <is>
          <t>31/Mar</t>
        </is>
      </c>
      <c r="R2" s="2" t="inlineStr">
        <is>
          <t>07/Abr</t>
        </is>
      </c>
      <c r="S2" s="2" t="inlineStr">
        <is>
          <t>14/Abr</t>
        </is>
      </c>
      <c r="T2" s="2" t="inlineStr">
        <is>
          <t>21/Abr</t>
        </is>
      </c>
      <c r="U2" s="2" t="inlineStr">
        <is>
          <t>28/Abr</t>
        </is>
      </c>
      <c r="V2" s="2" t="inlineStr">
        <is>
          <t>05/Mai</t>
        </is>
      </c>
      <c r="W2" s="2" t="inlineStr">
        <is>
          <t>12/Mai</t>
        </is>
      </c>
      <c r="X2" s="2" t="inlineStr">
        <is>
          <t>19/Mai</t>
        </is>
      </c>
      <c r="Y2" s="2" t="inlineStr">
        <is>
          <t>26/Mai</t>
        </is>
      </c>
      <c r="Z2" s="2" t="inlineStr">
        <is>
          <t>02/Jun</t>
        </is>
      </c>
      <c r="AA2" s="2" t="inlineStr">
        <is>
          <t>09/Jun</t>
        </is>
      </c>
      <c r="AB2" s="2" t="inlineStr">
        <is>
          <t>16/Jun</t>
        </is>
      </c>
      <c r="AC2" s="2" t="inlineStr">
        <is>
          <t>23/Jun</t>
        </is>
      </c>
      <c r="AD2" s="2" t="inlineStr">
        <is>
          <t>30/Jun</t>
        </is>
      </c>
    </row>
    <row r="3">
      <c r="A3" s="11" t="inlineStr">
        <is>
          <t>EQ-E0007</t>
        </is>
      </c>
      <c r="B3" s="11" t="inlineStr">
        <is>
          <t>Caminhão Basculante 14m³</t>
        </is>
      </c>
      <c r="C3" s="18" t="inlineStr">
        <is>
          <t>un</t>
        </is>
      </c>
      <c r="D3" s="58" t="n">
        <v>18</v>
      </c>
      <c r="E3" s="58" t="n">
        <v>18</v>
      </c>
      <c r="F3" s="58" t="n">
        <v>18</v>
      </c>
      <c r="G3" s="58" t="n">
        <v>18</v>
      </c>
      <c r="H3" s="58" t="n">
        <v>18</v>
      </c>
      <c r="I3" s="58" t="n">
        <v>18</v>
      </c>
      <c r="J3" s="58" t="n">
        <v>18</v>
      </c>
      <c r="K3" s="58" t="n">
        <v>18</v>
      </c>
      <c r="L3" s="58" t="n">
        <v>18</v>
      </c>
      <c r="M3" s="58" t="n">
        <v>18</v>
      </c>
      <c r="N3" s="58" t="n">
        <v>18</v>
      </c>
      <c r="O3" s="58" t="n">
        <v>18</v>
      </c>
      <c r="P3" s="58" t="n">
        <v>18</v>
      </c>
      <c r="Q3" s="58" t="n">
        <v>18</v>
      </c>
      <c r="R3" s="58" t="n">
        <v>18</v>
      </c>
      <c r="S3" s="58" t="n">
        <v>18</v>
      </c>
      <c r="T3" s="58" t="n">
        <v>18</v>
      </c>
      <c r="U3" s="58" t="n">
        <v>18</v>
      </c>
      <c r="V3" s="58" t="n">
        <v>18</v>
      </c>
      <c r="W3" s="58" t="n">
        <v>18</v>
      </c>
      <c r="X3" s="58" t="n">
        <v>18</v>
      </c>
      <c r="Y3" s="58" t="n">
        <v>18</v>
      </c>
      <c r="Z3" s="58" t="n">
        <v>18</v>
      </c>
      <c r="AA3" s="58" t="n">
        <v>18</v>
      </c>
      <c r="AB3" s="58" t="n">
        <v>18</v>
      </c>
      <c r="AC3" s="58" t="n">
        <v>18</v>
      </c>
      <c r="AD3" s="12" t="n"/>
    </row>
    <row r="4">
      <c r="A4" s="13" t="inlineStr">
        <is>
          <t>EQ-E0008</t>
        </is>
      </c>
      <c r="B4" s="13" t="inlineStr">
        <is>
          <t>Caminhão Basculante 16m³</t>
        </is>
      </c>
      <c r="C4" s="27" t="inlineStr">
        <is>
          <t>un</t>
        </is>
      </c>
      <c r="D4" s="67" t="n">
        <v>4</v>
      </c>
      <c r="E4" s="67" t="n">
        <v>4</v>
      </c>
      <c r="F4" s="67" t="n">
        <v>4</v>
      </c>
      <c r="G4" s="67" t="n">
        <v>4</v>
      </c>
      <c r="H4" s="67" t="n">
        <v>4</v>
      </c>
      <c r="I4" s="67" t="n">
        <v>4</v>
      </c>
      <c r="J4" s="67" t="n">
        <v>4</v>
      </c>
      <c r="K4" s="67" t="n">
        <v>4</v>
      </c>
      <c r="L4" s="67" t="n">
        <v>4</v>
      </c>
      <c r="M4" s="67" t="n">
        <v>4</v>
      </c>
      <c r="N4" s="67" t="n">
        <v>4</v>
      </c>
      <c r="O4" s="67" t="n">
        <v>4</v>
      </c>
      <c r="P4" s="67" t="n">
        <v>4</v>
      </c>
      <c r="Q4" s="67" t="n">
        <v>4</v>
      </c>
      <c r="R4" s="67" t="n">
        <v>4</v>
      </c>
      <c r="S4" s="67" t="n">
        <v>4</v>
      </c>
      <c r="T4" s="67" t="n">
        <v>4</v>
      </c>
      <c r="U4" s="67" t="n">
        <v>4</v>
      </c>
      <c r="V4" s="67" t="n">
        <v>4</v>
      </c>
      <c r="W4" s="67" t="n">
        <v>4</v>
      </c>
      <c r="X4" s="67" t="n">
        <v>4</v>
      </c>
      <c r="Y4" s="67" t="n">
        <v>4</v>
      </c>
      <c r="Z4" s="67" t="n">
        <v>4</v>
      </c>
      <c r="AA4" s="67" t="n">
        <v>4</v>
      </c>
      <c r="AB4" s="67" t="n">
        <v>4</v>
      </c>
      <c r="AC4" s="67" t="n">
        <v>4</v>
      </c>
      <c r="AD4" s="14" t="n"/>
    </row>
    <row r="5">
      <c r="A5" s="11" t="inlineStr">
        <is>
          <t>EQ-E0010</t>
        </is>
      </c>
      <c r="B5" s="11" t="inlineStr">
        <is>
          <t>Caminhão Pipa 10.000L</t>
        </is>
      </c>
      <c r="C5" s="18" t="inlineStr">
        <is>
          <t>un</t>
        </is>
      </c>
      <c r="D5" s="58" t="n">
        <v>5</v>
      </c>
      <c r="E5" s="58" t="n">
        <v>5</v>
      </c>
      <c r="F5" s="58" t="n">
        <v>5</v>
      </c>
      <c r="G5" s="58" t="n">
        <v>5</v>
      </c>
      <c r="H5" s="58" t="n">
        <v>5</v>
      </c>
      <c r="I5" s="58" t="n">
        <v>5</v>
      </c>
      <c r="J5" s="58" t="n">
        <v>5</v>
      </c>
      <c r="K5" s="58" t="n">
        <v>5</v>
      </c>
      <c r="L5" s="58" t="n">
        <v>5</v>
      </c>
      <c r="M5" s="58" t="n">
        <v>5</v>
      </c>
      <c r="N5" s="58" t="n">
        <v>5</v>
      </c>
      <c r="O5" s="58" t="n">
        <v>5</v>
      </c>
      <c r="P5" s="58" t="n">
        <v>5</v>
      </c>
      <c r="Q5" s="58" t="n">
        <v>5</v>
      </c>
      <c r="R5" s="58" t="n">
        <v>5</v>
      </c>
      <c r="S5" s="58" t="n">
        <v>5</v>
      </c>
      <c r="T5" s="58" t="n">
        <v>5</v>
      </c>
      <c r="U5" s="58" t="n">
        <v>5</v>
      </c>
      <c r="V5" s="58" t="n">
        <v>5</v>
      </c>
      <c r="W5" s="58" t="n">
        <v>5</v>
      </c>
      <c r="X5" s="58" t="n">
        <v>5</v>
      </c>
      <c r="Y5" s="58" t="n">
        <v>5</v>
      </c>
      <c r="Z5" s="58" t="n">
        <v>5</v>
      </c>
      <c r="AA5" s="58" t="n">
        <v>5</v>
      </c>
      <c r="AB5" s="58" t="n">
        <v>5</v>
      </c>
      <c r="AC5" s="58" t="n">
        <v>5</v>
      </c>
      <c r="AD5" s="12" t="n"/>
    </row>
    <row r="6">
      <c r="A6" s="13" t="inlineStr">
        <is>
          <t>EQ-E0016</t>
        </is>
      </c>
      <c r="B6" s="13" t="inlineStr">
        <is>
          <t>Escavadeira Hidráulica 22t</t>
        </is>
      </c>
      <c r="C6" s="27" t="inlineStr">
        <is>
          <t>un</t>
        </is>
      </c>
      <c r="D6" s="67" t="n">
        <v>8</v>
      </c>
      <c r="E6" s="67" t="n">
        <v>8</v>
      </c>
      <c r="F6" s="67" t="n">
        <v>8</v>
      </c>
      <c r="G6" s="67" t="n">
        <v>8</v>
      </c>
      <c r="H6" s="67" t="n">
        <v>8</v>
      </c>
      <c r="I6" s="67" t="n">
        <v>8</v>
      </c>
      <c r="J6" s="67" t="n">
        <v>8</v>
      </c>
      <c r="K6" s="67" t="n">
        <v>8</v>
      </c>
      <c r="L6" s="67" t="n">
        <v>8</v>
      </c>
      <c r="M6" s="67" t="n">
        <v>8</v>
      </c>
      <c r="N6" s="67" t="n">
        <v>8</v>
      </c>
      <c r="O6" s="67" t="n">
        <v>8</v>
      </c>
      <c r="P6" s="67" t="n">
        <v>8</v>
      </c>
      <c r="Q6" s="67" t="n">
        <v>8</v>
      </c>
      <c r="R6" s="67" t="n">
        <v>8</v>
      </c>
      <c r="S6" s="67" t="n">
        <v>8</v>
      </c>
      <c r="T6" s="67" t="n">
        <v>8</v>
      </c>
      <c r="U6" s="67" t="n">
        <v>8</v>
      </c>
      <c r="V6" s="67" t="n">
        <v>8</v>
      </c>
      <c r="W6" s="67" t="n">
        <v>8</v>
      </c>
      <c r="X6" s="67" t="n">
        <v>8</v>
      </c>
      <c r="Y6" s="67" t="n">
        <v>8</v>
      </c>
      <c r="Z6" s="67" t="n">
        <v>8</v>
      </c>
      <c r="AA6" s="67" t="n">
        <v>8</v>
      </c>
      <c r="AB6" s="67" t="n">
        <v>8</v>
      </c>
      <c r="AC6" s="67" t="n">
        <v>8</v>
      </c>
      <c r="AD6" s="14" t="n"/>
    </row>
    <row r="7">
      <c r="A7" s="11" t="inlineStr">
        <is>
          <t>EQ-E0018</t>
        </is>
      </c>
      <c r="B7" s="11" t="inlineStr">
        <is>
          <t>Escavadeira Hidráulica 38t</t>
        </is>
      </c>
      <c r="C7" s="18" t="inlineStr">
        <is>
          <t>un</t>
        </is>
      </c>
      <c r="D7" s="58" t="n">
        <v>1</v>
      </c>
      <c r="E7" s="58" t="n">
        <v>1</v>
      </c>
      <c r="F7" s="58" t="n">
        <v>1</v>
      </c>
      <c r="G7" s="58" t="n">
        <v>1</v>
      </c>
      <c r="H7" s="58" t="n">
        <v>1</v>
      </c>
      <c r="I7" s="58" t="n">
        <v>1</v>
      </c>
      <c r="J7" s="58" t="n">
        <v>1</v>
      </c>
      <c r="K7" s="58" t="n">
        <v>1</v>
      </c>
      <c r="L7" s="58" t="n">
        <v>1</v>
      </c>
      <c r="M7" s="58" t="n">
        <v>1</v>
      </c>
      <c r="N7" s="58" t="n">
        <v>1</v>
      </c>
      <c r="O7" s="58" t="n">
        <v>1</v>
      </c>
      <c r="P7" s="58" t="n">
        <v>1</v>
      </c>
      <c r="Q7" s="58" t="n">
        <v>1</v>
      </c>
      <c r="R7" s="58" t="n">
        <v>1</v>
      </c>
      <c r="S7" s="58" t="n">
        <v>1</v>
      </c>
      <c r="T7" s="58" t="n">
        <v>1</v>
      </c>
      <c r="U7" s="58" t="n">
        <v>1</v>
      </c>
      <c r="V7" s="58" t="n">
        <v>1</v>
      </c>
      <c r="W7" s="58" t="n">
        <v>1</v>
      </c>
      <c r="X7" s="58" t="n">
        <v>1</v>
      </c>
      <c r="Y7" s="58" t="n">
        <v>1</v>
      </c>
      <c r="Z7" s="58" t="n">
        <v>1</v>
      </c>
      <c r="AA7" s="58" t="n">
        <v>1</v>
      </c>
      <c r="AB7" s="58" t="n">
        <v>1</v>
      </c>
      <c r="AC7" s="58" t="n">
        <v>1</v>
      </c>
      <c r="AD7" s="12" t="n"/>
    </row>
    <row r="8">
      <c r="A8" s="13" t="inlineStr">
        <is>
          <t>EQ-E0024</t>
        </is>
      </c>
      <c r="B8" s="13" t="inlineStr">
        <is>
          <t>Trator de Esteiras 20t (300HP)</t>
        </is>
      </c>
      <c r="C8" s="27" t="inlineStr">
        <is>
          <t>un</t>
        </is>
      </c>
      <c r="D8" s="67" t="n">
        <v>2</v>
      </c>
      <c r="E8" s="67" t="n">
        <v>2</v>
      </c>
      <c r="F8" s="67" t="n">
        <v>2</v>
      </c>
      <c r="G8" s="67" t="n">
        <v>2</v>
      </c>
      <c r="H8" s="67" t="n">
        <v>2</v>
      </c>
      <c r="I8" s="67" t="n">
        <v>2</v>
      </c>
      <c r="J8" s="67" t="n">
        <v>2</v>
      </c>
      <c r="K8" s="67" t="n">
        <v>2</v>
      </c>
      <c r="L8" s="67" t="n">
        <v>2</v>
      </c>
      <c r="M8" s="67" t="n">
        <v>2</v>
      </c>
      <c r="N8" s="67" t="n">
        <v>2</v>
      </c>
      <c r="O8" s="67" t="n">
        <v>2</v>
      </c>
      <c r="P8" s="67" t="n">
        <v>2</v>
      </c>
      <c r="Q8" s="67" t="n">
        <v>2</v>
      </c>
      <c r="R8" s="67" t="n">
        <v>2</v>
      </c>
      <c r="S8" s="67" t="n">
        <v>2</v>
      </c>
      <c r="T8" s="67" t="n">
        <v>2</v>
      </c>
      <c r="U8" s="67" t="n">
        <v>2</v>
      </c>
      <c r="V8" s="67" t="n">
        <v>2</v>
      </c>
      <c r="W8" s="67" t="n">
        <v>2</v>
      </c>
      <c r="X8" s="67" t="n">
        <v>2</v>
      </c>
      <c r="Y8" s="67" t="n">
        <v>2</v>
      </c>
      <c r="Z8" s="67" t="n">
        <v>2</v>
      </c>
      <c r="AA8" s="67" t="n">
        <v>2</v>
      </c>
      <c r="AB8" s="67" t="n">
        <v>2</v>
      </c>
      <c r="AC8" s="67" t="n">
        <v>2</v>
      </c>
      <c r="AD8" s="14" t="n"/>
    </row>
    <row r="9">
      <c r="A9" s="11" t="inlineStr">
        <is>
          <t>EQ-E0029</t>
        </is>
      </c>
      <c r="B9" s="11" t="inlineStr">
        <is>
          <t>Motoniveladora 140HP</t>
        </is>
      </c>
      <c r="C9" s="18" t="inlineStr">
        <is>
          <t>un</t>
        </is>
      </c>
      <c r="D9" s="58" t="n">
        <v>8</v>
      </c>
      <c r="E9" s="58" t="n">
        <v>8</v>
      </c>
      <c r="F9" s="58" t="n">
        <v>8</v>
      </c>
      <c r="G9" s="58" t="n">
        <v>8</v>
      </c>
      <c r="H9" s="58" t="n">
        <v>8</v>
      </c>
      <c r="I9" s="58" t="n">
        <v>8</v>
      </c>
      <c r="J9" s="58" t="n">
        <v>8</v>
      </c>
      <c r="K9" s="58" t="n">
        <v>8</v>
      </c>
      <c r="L9" s="58" t="n">
        <v>8</v>
      </c>
      <c r="M9" s="58" t="n">
        <v>8</v>
      </c>
      <c r="N9" s="58" t="n">
        <v>8</v>
      </c>
      <c r="O9" s="58" t="n">
        <v>8</v>
      </c>
      <c r="P9" s="58" t="n">
        <v>8</v>
      </c>
      <c r="Q9" s="58" t="n">
        <v>8</v>
      </c>
      <c r="R9" s="58" t="n">
        <v>8</v>
      </c>
      <c r="S9" s="58" t="n">
        <v>8</v>
      </c>
      <c r="T9" s="58" t="n">
        <v>8</v>
      </c>
      <c r="U9" s="58" t="n">
        <v>8</v>
      </c>
      <c r="V9" s="58" t="n">
        <v>8</v>
      </c>
      <c r="W9" s="58" t="n">
        <v>8</v>
      </c>
      <c r="X9" s="58" t="n">
        <v>8</v>
      </c>
      <c r="Y9" s="58" t="n">
        <v>8</v>
      </c>
      <c r="Z9" s="58" t="n">
        <v>8</v>
      </c>
      <c r="AA9" s="58" t="n">
        <v>8</v>
      </c>
      <c r="AB9" s="58" t="n">
        <v>8</v>
      </c>
      <c r="AC9" s="58" t="n">
        <v>8</v>
      </c>
      <c r="AD9" s="12" t="n"/>
    </row>
    <row r="10">
      <c r="A10" s="13" t="inlineStr">
        <is>
          <t>EQ-E0035</t>
        </is>
      </c>
      <c r="B10" s="13" t="inlineStr">
        <is>
          <t>Trator de esteiras 20T</t>
        </is>
      </c>
      <c r="C10" s="27" t="inlineStr">
        <is>
          <t>un</t>
        </is>
      </c>
      <c r="D10" s="67" t="n">
        <v>5</v>
      </c>
      <c r="E10" s="67" t="n">
        <v>5</v>
      </c>
      <c r="F10" s="67" t="n">
        <v>5</v>
      </c>
      <c r="G10" s="67" t="n">
        <v>5</v>
      </c>
      <c r="H10" s="67" t="n">
        <v>5</v>
      </c>
      <c r="I10" s="67" t="n">
        <v>5</v>
      </c>
      <c r="J10" s="67" t="n">
        <v>5</v>
      </c>
      <c r="K10" s="67" t="n">
        <v>5</v>
      </c>
      <c r="L10" s="67" t="n">
        <v>5</v>
      </c>
      <c r="M10" s="67" t="n">
        <v>5</v>
      </c>
      <c r="N10" s="67" t="n">
        <v>5</v>
      </c>
      <c r="O10" s="67" t="n">
        <v>5</v>
      </c>
      <c r="P10" s="67" t="n">
        <v>5</v>
      </c>
      <c r="Q10" s="67" t="n">
        <v>5</v>
      </c>
      <c r="R10" s="67" t="n">
        <v>5</v>
      </c>
      <c r="S10" s="67" t="n">
        <v>5</v>
      </c>
      <c r="T10" s="67" t="n">
        <v>5</v>
      </c>
      <c r="U10" s="67" t="n">
        <v>5</v>
      </c>
      <c r="V10" s="67" t="n">
        <v>5</v>
      </c>
      <c r="W10" s="67" t="n">
        <v>5</v>
      </c>
      <c r="X10" s="67" t="n">
        <v>5</v>
      </c>
      <c r="Y10" s="67" t="n">
        <v>5</v>
      </c>
      <c r="Z10" s="67" t="n">
        <v>5</v>
      </c>
      <c r="AA10" s="67" t="n">
        <v>5</v>
      </c>
      <c r="AB10" s="67" t="n">
        <v>5</v>
      </c>
      <c r="AC10" s="67" t="n">
        <v>5</v>
      </c>
      <c r="AD10" s="14" t="n"/>
    </row>
    <row r="11">
      <c r="A11" s="11" t="inlineStr">
        <is>
          <t>EQ-ESTACAO-TOTAL</t>
        </is>
      </c>
      <c r="B11" s="11" t="inlineStr">
        <is>
          <t>Estação Total</t>
        </is>
      </c>
      <c r="C11" s="18" t="inlineStr">
        <is>
          <t>un</t>
        </is>
      </c>
      <c r="D11" s="58" t="n">
        <v>1</v>
      </c>
      <c r="E11" s="58" t="n">
        <v>1</v>
      </c>
      <c r="F11" s="58" t="n">
        <v>1</v>
      </c>
      <c r="G11" s="58" t="n">
        <v>1</v>
      </c>
      <c r="H11" s="58" t="n">
        <v>1</v>
      </c>
      <c r="I11" s="58" t="n">
        <v>1</v>
      </c>
      <c r="J11" s="58" t="n">
        <v>1</v>
      </c>
      <c r="K11" s="58" t="n">
        <v>1</v>
      </c>
      <c r="L11" s="58" t="n">
        <v>1</v>
      </c>
      <c r="M11" s="58" t="n">
        <v>1</v>
      </c>
      <c r="N11" s="58" t="n">
        <v>1</v>
      </c>
      <c r="O11" s="58" t="n">
        <v>1</v>
      </c>
      <c r="P11" s="58" t="n">
        <v>1</v>
      </c>
      <c r="Q11" s="58" t="n">
        <v>1</v>
      </c>
      <c r="R11" s="58" t="n">
        <v>1</v>
      </c>
      <c r="S11" s="58" t="n">
        <v>1</v>
      </c>
      <c r="T11" s="58" t="n">
        <v>1</v>
      </c>
      <c r="U11" s="58" t="n">
        <v>1</v>
      </c>
      <c r="V11" s="58" t="n">
        <v>1</v>
      </c>
      <c r="W11" s="58" t="n">
        <v>1</v>
      </c>
      <c r="X11" s="58" t="n">
        <v>1</v>
      </c>
      <c r="Y11" s="58" t="n">
        <v>1</v>
      </c>
      <c r="Z11" s="58" t="n">
        <v>1</v>
      </c>
      <c r="AA11" s="58" t="n">
        <v>1</v>
      </c>
      <c r="AB11" s="58" t="n">
        <v>1</v>
      </c>
      <c r="AC11" s="58" t="n">
        <v>1</v>
      </c>
      <c r="AD11" s="12" t="n"/>
    </row>
    <row r="13">
      <c r="A13" s="95" t="inlineStr">
        <is>
          <t>TOTAL SEMANAL</t>
        </is>
      </c>
      <c r="D13" s="96" t="n">
        <v>52</v>
      </c>
      <c r="E13" s="96" t="n">
        <v>52</v>
      </c>
      <c r="F13" s="96" t="n">
        <v>52</v>
      </c>
      <c r="G13" s="96" t="n">
        <v>52</v>
      </c>
      <c r="H13" s="96" t="n">
        <v>52</v>
      </c>
      <c r="I13" s="96" t="n">
        <v>52</v>
      </c>
      <c r="J13" s="96" t="n">
        <v>52</v>
      </c>
      <c r="K13" s="96" t="n">
        <v>52</v>
      </c>
      <c r="L13" s="96" t="n">
        <v>52</v>
      </c>
      <c r="M13" s="96" t="n">
        <v>52</v>
      </c>
      <c r="N13" s="96" t="n">
        <v>52</v>
      </c>
      <c r="O13" s="96" t="n">
        <v>52</v>
      </c>
      <c r="P13" s="96" t="n">
        <v>52</v>
      </c>
      <c r="Q13" s="96" t="n">
        <v>52</v>
      </c>
      <c r="R13" s="96" t="n">
        <v>52</v>
      </c>
      <c r="S13" s="96" t="n">
        <v>52</v>
      </c>
      <c r="T13" s="96" t="n">
        <v>52</v>
      </c>
      <c r="U13" s="96" t="n">
        <v>52</v>
      </c>
      <c r="V13" s="96" t="n">
        <v>52</v>
      </c>
      <c r="W13" s="96" t="n">
        <v>52</v>
      </c>
      <c r="X13" s="96" t="n">
        <v>52</v>
      </c>
      <c r="Y13" s="96" t="n">
        <v>52</v>
      </c>
      <c r="Z13" s="96" t="n">
        <v>52</v>
      </c>
      <c r="AA13" s="96" t="n">
        <v>52</v>
      </c>
      <c r="AB13" s="96" t="n">
        <v>52</v>
      </c>
      <c r="AC13" s="96" t="n">
        <v>52</v>
      </c>
      <c r="AD13" s="37" t="n"/>
    </row>
  </sheetData>
  <mergeCells count="2">
    <mergeCell ref="A13:C13"/>
    <mergeCell ref="A1:A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HISTOGRAMA DE MÃO DE OBRA — DEMANDA SEMANAL (PESSOAS)</t>
        </is>
      </c>
    </row>
    <row r="2">
      <c r="A2" s="2" t="inlineStr">
        <is>
          <t>Função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30/Dez</t>
        </is>
      </c>
      <c r="E2" s="2" t="inlineStr">
        <is>
          <t>06/Jan</t>
        </is>
      </c>
      <c r="F2" s="2" t="inlineStr">
        <is>
          <t>13/Jan</t>
        </is>
      </c>
      <c r="G2" s="2" t="inlineStr">
        <is>
          <t>20/Jan</t>
        </is>
      </c>
      <c r="H2" s="2" t="inlineStr">
        <is>
          <t>27/Jan</t>
        </is>
      </c>
      <c r="I2" s="2" t="inlineStr">
        <is>
          <t>03/Fev</t>
        </is>
      </c>
      <c r="J2" s="2" t="inlineStr">
        <is>
          <t>10/Fev</t>
        </is>
      </c>
      <c r="K2" s="2" t="inlineStr">
        <is>
          <t>17/Fev</t>
        </is>
      </c>
      <c r="L2" s="2" t="inlineStr">
        <is>
          <t>24/Fev</t>
        </is>
      </c>
      <c r="M2" s="2" t="inlineStr">
        <is>
          <t>03/Mar</t>
        </is>
      </c>
      <c r="N2" s="2" t="inlineStr">
        <is>
          <t>10/Mar</t>
        </is>
      </c>
      <c r="O2" s="2" t="inlineStr">
        <is>
          <t>17/Mar</t>
        </is>
      </c>
      <c r="P2" s="2" t="inlineStr">
        <is>
          <t>24/Mar</t>
        </is>
      </c>
      <c r="Q2" s="2" t="inlineStr">
        <is>
          <t>31/Mar</t>
        </is>
      </c>
      <c r="R2" s="2" t="inlineStr">
        <is>
          <t>07/Abr</t>
        </is>
      </c>
      <c r="S2" s="2" t="inlineStr">
        <is>
          <t>14/Abr</t>
        </is>
      </c>
      <c r="T2" s="2" t="inlineStr">
        <is>
          <t>21/Abr</t>
        </is>
      </c>
      <c r="U2" s="2" t="inlineStr">
        <is>
          <t>28/Abr</t>
        </is>
      </c>
      <c r="V2" s="2" t="inlineStr">
        <is>
          <t>05/Mai</t>
        </is>
      </c>
      <c r="W2" s="2" t="inlineStr">
        <is>
          <t>12/Mai</t>
        </is>
      </c>
      <c r="X2" s="2" t="inlineStr">
        <is>
          <t>19/Mai</t>
        </is>
      </c>
      <c r="Y2" s="2" t="inlineStr">
        <is>
          <t>26/Mai</t>
        </is>
      </c>
      <c r="Z2" s="2" t="inlineStr">
        <is>
          <t>02/Jun</t>
        </is>
      </c>
      <c r="AA2" s="2" t="inlineStr">
        <is>
          <t>09/Jun</t>
        </is>
      </c>
      <c r="AB2" s="2" t="inlineStr">
        <is>
          <t>16/Jun</t>
        </is>
      </c>
      <c r="AC2" s="2" t="inlineStr">
        <is>
          <t>23/Jun</t>
        </is>
      </c>
      <c r="AD2" s="2" t="inlineStr">
        <is>
          <t>30/Jun</t>
        </is>
      </c>
    </row>
    <row r="3">
      <c r="A3" s="11" t="inlineStr">
        <is>
          <t>MO-AJUDANTE</t>
        </is>
      </c>
      <c r="B3" s="11" t="inlineStr">
        <is>
          <t>Ajudante</t>
        </is>
      </c>
      <c r="C3" s="18" t="inlineStr">
        <is>
          <t>pax</t>
        </is>
      </c>
      <c r="D3" s="58" t="n">
        <v>6</v>
      </c>
      <c r="E3" s="58" t="n">
        <v>6</v>
      </c>
      <c r="F3" s="58" t="n">
        <v>6</v>
      </c>
      <c r="G3" s="58" t="n">
        <v>6</v>
      </c>
      <c r="H3" s="58" t="n">
        <v>6</v>
      </c>
      <c r="I3" s="58" t="n">
        <v>6</v>
      </c>
      <c r="J3" s="58" t="n">
        <v>6</v>
      </c>
      <c r="K3" s="58" t="n">
        <v>6</v>
      </c>
      <c r="L3" s="58" t="n">
        <v>6</v>
      </c>
      <c r="M3" s="58" t="n">
        <v>6</v>
      </c>
      <c r="N3" s="58" t="n">
        <v>6</v>
      </c>
      <c r="O3" s="58" t="n">
        <v>6</v>
      </c>
      <c r="P3" s="58" t="n">
        <v>6</v>
      </c>
      <c r="Q3" s="58" t="n">
        <v>6</v>
      </c>
      <c r="R3" s="58" t="n">
        <v>6</v>
      </c>
      <c r="S3" s="58" t="n">
        <v>6</v>
      </c>
      <c r="T3" s="58" t="n">
        <v>6</v>
      </c>
      <c r="U3" s="58" t="n">
        <v>6</v>
      </c>
      <c r="V3" s="58" t="n">
        <v>6</v>
      </c>
      <c r="W3" s="58" t="n">
        <v>6</v>
      </c>
      <c r="X3" s="58" t="n">
        <v>6</v>
      </c>
      <c r="Y3" s="58" t="n">
        <v>6</v>
      </c>
      <c r="Z3" s="58" t="n">
        <v>6</v>
      </c>
      <c r="AA3" s="58" t="n">
        <v>6</v>
      </c>
      <c r="AB3" s="58" t="n">
        <v>6</v>
      </c>
      <c r="AC3" s="58" t="n">
        <v>6</v>
      </c>
      <c r="AD3" s="12" t="n"/>
    </row>
    <row r="4">
      <c r="A4" s="13" t="inlineStr">
        <is>
          <t>MO-AUX-TOPO</t>
        </is>
      </c>
      <c r="B4" s="13" t="inlineStr">
        <is>
          <t>Auxiliar de topografia</t>
        </is>
      </c>
      <c r="C4" s="27" t="inlineStr">
        <is>
          <t>pax</t>
        </is>
      </c>
      <c r="D4" s="67" t="n">
        <v>2</v>
      </c>
      <c r="E4" s="67" t="n">
        <v>2</v>
      </c>
      <c r="F4" s="67" t="n">
        <v>2</v>
      </c>
      <c r="G4" s="67" t="n">
        <v>2</v>
      </c>
      <c r="H4" s="67" t="n">
        <v>2</v>
      </c>
      <c r="I4" s="67" t="n">
        <v>2</v>
      </c>
      <c r="J4" s="67" t="n">
        <v>2</v>
      </c>
      <c r="K4" s="67" t="n">
        <v>2</v>
      </c>
      <c r="L4" s="67" t="n">
        <v>2</v>
      </c>
      <c r="M4" s="67" t="n">
        <v>2</v>
      </c>
      <c r="N4" s="67" t="n">
        <v>2</v>
      </c>
      <c r="O4" s="67" t="n">
        <v>2</v>
      </c>
      <c r="P4" s="67" t="n">
        <v>2</v>
      </c>
      <c r="Q4" s="67" t="n">
        <v>2</v>
      </c>
      <c r="R4" s="67" t="n">
        <v>2</v>
      </c>
      <c r="S4" s="67" t="n">
        <v>2</v>
      </c>
      <c r="T4" s="67" t="n">
        <v>2</v>
      </c>
      <c r="U4" s="67" t="n">
        <v>2</v>
      </c>
      <c r="V4" s="67" t="n">
        <v>2</v>
      </c>
      <c r="W4" s="67" t="n">
        <v>2</v>
      </c>
      <c r="X4" s="67" t="n">
        <v>2</v>
      </c>
      <c r="Y4" s="67" t="n">
        <v>2</v>
      </c>
      <c r="Z4" s="67" t="n">
        <v>2</v>
      </c>
      <c r="AA4" s="67" t="n">
        <v>2</v>
      </c>
      <c r="AB4" s="67" t="n">
        <v>2</v>
      </c>
      <c r="AC4" s="67" t="n">
        <v>2</v>
      </c>
      <c r="AD4" s="14" t="n"/>
    </row>
    <row r="5">
      <c r="A5" s="11" t="inlineStr">
        <is>
          <t>MO-ENCARREG-TERRA</t>
        </is>
      </c>
      <c r="B5" s="11" t="inlineStr">
        <is>
          <t>Encarregado de Terraplenagem</t>
        </is>
      </c>
      <c r="C5" s="18" t="inlineStr">
        <is>
          <t>pax</t>
        </is>
      </c>
      <c r="D5" s="58" t="n">
        <v>15</v>
      </c>
      <c r="E5" s="58" t="n">
        <v>15</v>
      </c>
      <c r="F5" s="58" t="n">
        <v>15</v>
      </c>
      <c r="G5" s="58" t="n">
        <v>15</v>
      </c>
      <c r="H5" s="58" t="n">
        <v>15</v>
      </c>
      <c r="I5" s="58" t="n">
        <v>15</v>
      </c>
      <c r="J5" s="58" t="n">
        <v>15</v>
      </c>
      <c r="K5" s="58" t="n">
        <v>15</v>
      </c>
      <c r="L5" s="58" t="n">
        <v>15</v>
      </c>
      <c r="M5" s="58" t="n">
        <v>15</v>
      </c>
      <c r="N5" s="58" t="n">
        <v>15</v>
      </c>
      <c r="O5" s="58" t="n">
        <v>15</v>
      </c>
      <c r="P5" s="58" t="n">
        <v>15</v>
      </c>
      <c r="Q5" s="58" t="n">
        <v>15</v>
      </c>
      <c r="R5" s="58" t="n">
        <v>15</v>
      </c>
      <c r="S5" s="58" t="n">
        <v>15</v>
      </c>
      <c r="T5" s="58" t="n">
        <v>15</v>
      </c>
      <c r="U5" s="58" t="n">
        <v>15</v>
      </c>
      <c r="V5" s="58" t="n">
        <v>15</v>
      </c>
      <c r="W5" s="58" t="n">
        <v>15</v>
      </c>
      <c r="X5" s="58" t="n">
        <v>15</v>
      </c>
      <c r="Y5" s="58" t="n">
        <v>15</v>
      </c>
      <c r="Z5" s="58" t="n">
        <v>15</v>
      </c>
      <c r="AA5" s="58" t="n">
        <v>15</v>
      </c>
      <c r="AB5" s="58" t="n">
        <v>15</v>
      </c>
      <c r="AC5" s="58" t="n">
        <v>15</v>
      </c>
      <c r="AD5" s="12" t="n"/>
    </row>
    <row r="6">
      <c r="A6" s="13" t="inlineStr">
        <is>
          <t>MO-MOTOR-CAM-BASC</t>
        </is>
      </c>
      <c r="B6" s="13" t="inlineStr">
        <is>
          <t>Motorista de Caminhão Basculante</t>
        </is>
      </c>
      <c r="C6" s="27" t="inlineStr">
        <is>
          <t>pax</t>
        </is>
      </c>
      <c r="D6" s="67" t="n">
        <v>29</v>
      </c>
      <c r="E6" s="67" t="n">
        <v>29</v>
      </c>
      <c r="F6" s="67" t="n">
        <v>29</v>
      </c>
      <c r="G6" s="67" t="n">
        <v>29</v>
      </c>
      <c r="H6" s="67" t="n">
        <v>29</v>
      </c>
      <c r="I6" s="67" t="n">
        <v>29</v>
      </c>
      <c r="J6" s="67" t="n">
        <v>29</v>
      </c>
      <c r="K6" s="67" t="n">
        <v>29</v>
      </c>
      <c r="L6" s="67" t="n">
        <v>29</v>
      </c>
      <c r="M6" s="67" t="n">
        <v>29</v>
      </c>
      <c r="N6" s="67" t="n">
        <v>29</v>
      </c>
      <c r="O6" s="67" t="n">
        <v>29</v>
      </c>
      <c r="P6" s="67" t="n">
        <v>29</v>
      </c>
      <c r="Q6" s="67" t="n">
        <v>29</v>
      </c>
      <c r="R6" s="67" t="n">
        <v>29</v>
      </c>
      <c r="S6" s="67" t="n">
        <v>29</v>
      </c>
      <c r="T6" s="67" t="n">
        <v>29</v>
      </c>
      <c r="U6" s="67" t="n">
        <v>29</v>
      </c>
      <c r="V6" s="67" t="n">
        <v>29</v>
      </c>
      <c r="W6" s="67" t="n">
        <v>29</v>
      </c>
      <c r="X6" s="67" t="n">
        <v>29</v>
      </c>
      <c r="Y6" s="67" t="n">
        <v>29</v>
      </c>
      <c r="Z6" s="67" t="n">
        <v>29</v>
      </c>
      <c r="AA6" s="67" t="n">
        <v>29</v>
      </c>
      <c r="AB6" s="67" t="n">
        <v>29</v>
      </c>
      <c r="AC6" s="67" t="n">
        <v>29</v>
      </c>
      <c r="AD6" s="14" t="n"/>
    </row>
    <row r="7">
      <c r="A7" s="11" t="inlineStr">
        <is>
          <t>MO-MOTOR-CAM-PIPA</t>
        </is>
      </c>
      <c r="B7" s="11" t="inlineStr">
        <is>
          <t>Motorista de Caminhão Pipa</t>
        </is>
      </c>
      <c r="C7" s="18" t="inlineStr">
        <is>
          <t>pax</t>
        </is>
      </c>
      <c r="D7" s="58" t="n">
        <v>5</v>
      </c>
      <c r="E7" s="58" t="n">
        <v>5</v>
      </c>
      <c r="F7" s="58" t="n">
        <v>5</v>
      </c>
      <c r="G7" s="58" t="n">
        <v>5</v>
      </c>
      <c r="H7" s="58" t="n">
        <v>5</v>
      </c>
      <c r="I7" s="58" t="n">
        <v>5</v>
      </c>
      <c r="J7" s="58" t="n">
        <v>5</v>
      </c>
      <c r="K7" s="58" t="n">
        <v>5</v>
      </c>
      <c r="L7" s="58" t="n">
        <v>5</v>
      </c>
      <c r="M7" s="58" t="n">
        <v>5</v>
      </c>
      <c r="N7" s="58" t="n">
        <v>5</v>
      </c>
      <c r="O7" s="58" t="n">
        <v>5</v>
      </c>
      <c r="P7" s="58" t="n">
        <v>5</v>
      </c>
      <c r="Q7" s="58" t="n">
        <v>5</v>
      </c>
      <c r="R7" s="58" t="n">
        <v>5</v>
      </c>
      <c r="S7" s="58" t="n">
        <v>5</v>
      </c>
      <c r="T7" s="58" t="n">
        <v>5</v>
      </c>
      <c r="U7" s="58" t="n">
        <v>5</v>
      </c>
      <c r="V7" s="58" t="n">
        <v>5</v>
      </c>
      <c r="W7" s="58" t="n">
        <v>5</v>
      </c>
      <c r="X7" s="58" t="n">
        <v>5</v>
      </c>
      <c r="Y7" s="58" t="n">
        <v>5</v>
      </c>
      <c r="Z7" s="58" t="n">
        <v>5</v>
      </c>
      <c r="AA7" s="58" t="n">
        <v>5</v>
      </c>
      <c r="AB7" s="58" t="n">
        <v>5</v>
      </c>
      <c r="AC7" s="58" t="n">
        <v>5</v>
      </c>
      <c r="AD7" s="12" t="n"/>
    </row>
    <row r="8">
      <c r="A8" s="13" t="inlineStr">
        <is>
          <t>MO-OPER-ESCAV</t>
        </is>
      </c>
      <c r="B8" s="13" t="inlineStr">
        <is>
          <t>Operador de Escavadeira</t>
        </is>
      </c>
      <c r="C8" s="27" t="inlineStr">
        <is>
          <t>pax</t>
        </is>
      </c>
      <c r="D8" s="67" t="n">
        <v>9</v>
      </c>
      <c r="E8" s="67" t="n">
        <v>9</v>
      </c>
      <c r="F8" s="67" t="n">
        <v>9</v>
      </c>
      <c r="G8" s="67" t="n">
        <v>9</v>
      </c>
      <c r="H8" s="67" t="n">
        <v>9</v>
      </c>
      <c r="I8" s="67" t="n">
        <v>9</v>
      </c>
      <c r="J8" s="67" t="n">
        <v>9</v>
      </c>
      <c r="K8" s="67" t="n">
        <v>9</v>
      </c>
      <c r="L8" s="67" t="n">
        <v>9</v>
      </c>
      <c r="M8" s="67" t="n">
        <v>9</v>
      </c>
      <c r="N8" s="67" t="n">
        <v>9</v>
      </c>
      <c r="O8" s="67" t="n">
        <v>9</v>
      </c>
      <c r="P8" s="67" t="n">
        <v>9</v>
      </c>
      <c r="Q8" s="67" t="n">
        <v>9</v>
      </c>
      <c r="R8" s="67" t="n">
        <v>9</v>
      </c>
      <c r="S8" s="67" t="n">
        <v>9</v>
      </c>
      <c r="T8" s="67" t="n">
        <v>9</v>
      </c>
      <c r="U8" s="67" t="n">
        <v>9</v>
      </c>
      <c r="V8" s="67" t="n">
        <v>9</v>
      </c>
      <c r="W8" s="67" t="n">
        <v>9</v>
      </c>
      <c r="X8" s="67" t="n">
        <v>9</v>
      </c>
      <c r="Y8" s="67" t="n">
        <v>9</v>
      </c>
      <c r="Z8" s="67" t="n">
        <v>9</v>
      </c>
      <c r="AA8" s="67" t="n">
        <v>9</v>
      </c>
      <c r="AB8" s="67" t="n">
        <v>9</v>
      </c>
      <c r="AC8" s="67" t="n">
        <v>9</v>
      </c>
      <c r="AD8" s="14" t="n"/>
    </row>
    <row r="9">
      <c r="A9" s="11" t="inlineStr">
        <is>
          <t>MO-OPER-MOTO</t>
        </is>
      </c>
      <c r="B9" s="11" t="inlineStr">
        <is>
          <t>Operador de Motoniveladora</t>
        </is>
      </c>
      <c r="C9" s="18" t="inlineStr">
        <is>
          <t>pax</t>
        </is>
      </c>
      <c r="D9" s="58" t="n">
        <v>8</v>
      </c>
      <c r="E9" s="58" t="n">
        <v>8</v>
      </c>
      <c r="F9" s="58" t="n">
        <v>8</v>
      </c>
      <c r="G9" s="58" t="n">
        <v>8</v>
      </c>
      <c r="H9" s="58" t="n">
        <v>8</v>
      </c>
      <c r="I9" s="58" t="n">
        <v>8</v>
      </c>
      <c r="J9" s="58" t="n">
        <v>8</v>
      </c>
      <c r="K9" s="58" t="n">
        <v>8</v>
      </c>
      <c r="L9" s="58" t="n">
        <v>8</v>
      </c>
      <c r="M9" s="58" t="n">
        <v>8</v>
      </c>
      <c r="N9" s="58" t="n">
        <v>8</v>
      </c>
      <c r="O9" s="58" t="n">
        <v>8</v>
      </c>
      <c r="P9" s="58" t="n">
        <v>8</v>
      </c>
      <c r="Q9" s="58" t="n">
        <v>8</v>
      </c>
      <c r="R9" s="58" t="n">
        <v>8</v>
      </c>
      <c r="S9" s="58" t="n">
        <v>8</v>
      </c>
      <c r="T9" s="58" t="n">
        <v>8</v>
      </c>
      <c r="U9" s="58" t="n">
        <v>8</v>
      </c>
      <c r="V9" s="58" t="n">
        <v>8</v>
      </c>
      <c r="W9" s="58" t="n">
        <v>8</v>
      </c>
      <c r="X9" s="58" t="n">
        <v>8</v>
      </c>
      <c r="Y9" s="58" t="n">
        <v>8</v>
      </c>
      <c r="Z9" s="58" t="n">
        <v>8</v>
      </c>
      <c r="AA9" s="58" t="n">
        <v>8</v>
      </c>
      <c r="AB9" s="58" t="n">
        <v>8</v>
      </c>
      <c r="AC9" s="58" t="n">
        <v>8</v>
      </c>
      <c r="AD9" s="12" t="n"/>
    </row>
    <row r="10">
      <c r="A10" s="13" t="inlineStr">
        <is>
          <t>MO-OPER-ROLO-COMP</t>
        </is>
      </c>
      <c r="B10" s="13" t="inlineStr">
        <is>
          <t>Operador de Rolo Compactador</t>
        </is>
      </c>
      <c r="C10" s="27" t="inlineStr">
        <is>
          <t>pax</t>
        </is>
      </c>
      <c r="D10" s="67" t="n">
        <v>10</v>
      </c>
      <c r="E10" s="67" t="n">
        <v>10</v>
      </c>
      <c r="F10" s="67" t="n">
        <v>10</v>
      </c>
      <c r="G10" s="67" t="n">
        <v>10</v>
      </c>
      <c r="H10" s="67" t="n">
        <v>10</v>
      </c>
      <c r="I10" s="67" t="n">
        <v>10</v>
      </c>
      <c r="J10" s="67" t="n">
        <v>10</v>
      </c>
      <c r="K10" s="67" t="n">
        <v>10</v>
      </c>
      <c r="L10" s="67" t="n">
        <v>10</v>
      </c>
      <c r="M10" s="67" t="n">
        <v>10</v>
      </c>
      <c r="N10" s="67" t="n">
        <v>10</v>
      </c>
      <c r="O10" s="67" t="n">
        <v>10</v>
      </c>
      <c r="P10" s="67" t="n">
        <v>10</v>
      </c>
      <c r="Q10" s="67" t="n">
        <v>10</v>
      </c>
      <c r="R10" s="67" t="n">
        <v>10</v>
      </c>
      <c r="S10" s="67" t="n">
        <v>10</v>
      </c>
      <c r="T10" s="67" t="n">
        <v>10</v>
      </c>
      <c r="U10" s="67" t="n">
        <v>10</v>
      </c>
      <c r="V10" s="67" t="n">
        <v>10</v>
      </c>
      <c r="W10" s="67" t="n">
        <v>10</v>
      </c>
      <c r="X10" s="67" t="n">
        <v>10</v>
      </c>
      <c r="Y10" s="67" t="n">
        <v>10</v>
      </c>
      <c r="Z10" s="67" t="n">
        <v>10</v>
      </c>
      <c r="AA10" s="67" t="n">
        <v>10</v>
      </c>
      <c r="AB10" s="67" t="n">
        <v>10</v>
      </c>
      <c r="AC10" s="67" t="n">
        <v>10</v>
      </c>
      <c r="AD10" s="14" t="n"/>
    </row>
    <row r="11">
      <c r="A11" s="11" t="inlineStr">
        <is>
          <t>MO-OPER-TRATOR-EST</t>
        </is>
      </c>
      <c r="B11" s="11" t="inlineStr">
        <is>
          <t>Operador de Trator de Esteiras</t>
        </is>
      </c>
      <c r="C11" s="18" t="inlineStr">
        <is>
          <t>pax</t>
        </is>
      </c>
      <c r="D11" s="58" t="n">
        <v>2</v>
      </c>
      <c r="E11" s="58" t="n">
        <v>2</v>
      </c>
      <c r="F11" s="58" t="n">
        <v>2</v>
      </c>
      <c r="G11" s="58" t="n">
        <v>2</v>
      </c>
      <c r="H11" s="58" t="n">
        <v>2</v>
      </c>
      <c r="I11" s="58" t="n">
        <v>2</v>
      </c>
      <c r="J11" s="58" t="n">
        <v>2</v>
      </c>
      <c r="K11" s="58" t="n">
        <v>2</v>
      </c>
      <c r="L11" s="58" t="n">
        <v>2</v>
      </c>
      <c r="M11" s="58" t="n">
        <v>2</v>
      </c>
      <c r="N11" s="58" t="n">
        <v>2</v>
      </c>
      <c r="O11" s="58" t="n">
        <v>2</v>
      </c>
      <c r="P11" s="58" t="n">
        <v>2</v>
      </c>
      <c r="Q11" s="58" t="n">
        <v>2</v>
      </c>
      <c r="R11" s="58" t="n">
        <v>2</v>
      </c>
      <c r="S11" s="58" t="n">
        <v>2</v>
      </c>
      <c r="T11" s="58" t="n">
        <v>2</v>
      </c>
      <c r="U11" s="58" t="n">
        <v>2</v>
      </c>
      <c r="V11" s="58" t="n">
        <v>2</v>
      </c>
      <c r="W11" s="58" t="n">
        <v>2</v>
      </c>
      <c r="X11" s="58" t="n">
        <v>2</v>
      </c>
      <c r="Y11" s="58" t="n">
        <v>2</v>
      </c>
      <c r="Z11" s="58" t="n">
        <v>2</v>
      </c>
      <c r="AA11" s="58" t="n">
        <v>2</v>
      </c>
      <c r="AB11" s="58" t="n">
        <v>2</v>
      </c>
      <c r="AC11" s="58" t="n">
        <v>2</v>
      </c>
      <c r="AD11" s="12" t="n"/>
    </row>
    <row r="12">
      <c r="A12" s="13" t="inlineStr">
        <is>
          <t>MO-TOPOGRAFO</t>
        </is>
      </c>
      <c r="B12" s="13" t="inlineStr">
        <is>
          <t>Topógrafo</t>
        </is>
      </c>
      <c r="C12" s="27" t="inlineStr">
        <is>
          <t>pax</t>
        </is>
      </c>
      <c r="D12" s="67" t="n">
        <v>1</v>
      </c>
      <c r="E12" s="67" t="n">
        <v>1</v>
      </c>
      <c r="F12" s="67" t="n">
        <v>1</v>
      </c>
      <c r="G12" s="67" t="n">
        <v>1</v>
      </c>
      <c r="H12" s="67" t="n">
        <v>1</v>
      </c>
      <c r="I12" s="67" t="n">
        <v>1</v>
      </c>
      <c r="J12" s="67" t="n">
        <v>1</v>
      </c>
      <c r="K12" s="67" t="n">
        <v>1</v>
      </c>
      <c r="L12" s="67" t="n">
        <v>1</v>
      </c>
      <c r="M12" s="67" t="n">
        <v>1</v>
      </c>
      <c r="N12" s="67" t="n">
        <v>1</v>
      </c>
      <c r="O12" s="67" t="n">
        <v>1</v>
      </c>
      <c r="P12" s="67" t="n">
        <v>1</v>
      </c>
      <c r="Q12" s="67" t="n">
        <v>1</v>
      </c>
      <c r="R12" s="67" t="n">
        <v>1</v>
      </c>
      <c r="S12" s="67" t="n">
        <v>1</v>
      </c>
      <c r="T12" s="67" t="n">
        <v>1</v>
      </c>
      <c r="U12" s="67" t="n">
        <v>1</v>
      </c>
      <c r="V12" s="67" t="n">
        <v>1</v>
      </c>
      <c r="W12" s="67" t="n">
        <v>1</v>
      </c>
      <c r="X12" s="67" t="n">
        <v>1</v>
      </c>
      <c r="Y12" s="67" t="n">
        <v>1</v>
      </c>
      <c r="Z12" s="67" t="n">
        <v>1</v>
      </c>
      <c r="AA12" s="67" t="n">
        <v>1</v>
      </c>
      <c r="AB12" s="67" t="n">
        <v>1</v>
      </c>
      <c r="AC12" s="67" t="n">
        <v>1</v>
      </c>
      <c r="AD12" s="14" t="n"/>
    </row>
    <row r="14">
      <c r="A14" s="95" t="inlineStr">
        <is>
          <t>TOTAL SEMANAL</t>
        </is>
      </c>
      <c r="D14" s="96" t="n">
        <v>87</v>
      </c>
      <c r="E14" s="96" t="n">
        <v>87</v>
      </c>
      <c r="F14" s="96" t="n">
        <v>87</v>
      </c>
      <c r="G14" s="96" t="n">
        <v>87</v>
      </c>
      <c r="H14" s="96" t="n">
        <v>87</v>
      </c>
      <c r="I14" s="96" t="n">
        <v>87</v>
      </c>
      <c r="J14" s="96" t="n">
        <v>87</v>
      </c>
      <c r="K14" s="96" t="n">
        <v>87</v>
      </c>
      <c r="L14" s="96" t="n">
        <v>87</v>
      </c>
      <c r="M14" s="96" t="n">
        <v>87</v>
      </c>
      <c r="N14" s="96" t="n">
        <v>87</v>
      </c>
      <c r="O14" s="96" t="n">
        <v>87</v>
      </c>
      <c r="P14" s="96" t="n">
        <v>87</v>
      </c>
      <c r="Q14" s="96" t="n">
        <v>87</v>
      </c>
      <c r="R14" s="96" t="n">
        <v>87</v>
      </c>
      <c r="S14" s="96" t="n">
        <v>87</v>
      </c>
      <c r="T14" s="96" t="n">
        <v>87</v>
      </c>
      <c r="U14" s="96" t="n">
        <v>87</v>
      </c>
      <c r="V14" s="96" t="n">
        <v>87</v>
      </c>
      <c r="W14" s="96" t="n">
        <v>87</v>
      </c>
      <c r="X14" s="96" t="n">
        <v>87</v>
      </c>
      <c r="Y14" s="96" t="n">
        <v>87</v>
      </c>
      <c r="Z14" s="96" t="n">
        <v>87</v>
      </c>
      <c r="AA14" s="96" t="n">
        <v>87</v>
      </c>
      <c r="AB14" s="96" t="n">
        <v>87</v>
      </c>
      <c r="AC14" s="96" t="n">
        <v>87</v>
      </c>
      <c r="AD14" s="37" t="n"/>
    </row>
  </sheetData>
  <mergeCells count="2">
    <mergeCell ref="A14:C14"/>
    <mergeCell ref="A1:A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6" customWidth="1" min="3" max="3"/>
    <col width="14" customWidth="1" min="4" max="4"/>
    <col width="20" customWidth="1" min="5" max="5"/>
    <col width="10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CURVA ABC — ANÁLISE PARETO POR ITEM EAP (S/ 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Subtotal s/ BDI (R$)</t>
        </is>
      </c>
      <c r="F2" s="2" t="inlineStr">
        <is>
          <t>% do Total</t>
        </is>
      </c>
      <c r="G2" s="2" t="inlineStr">
        <is>
          <t>% Acumulado</t>
        </is>
      </c>
      <c r="H2" s="2" t="inlineStr">
        <is>
          <t>Criticidade</t>
        </is>
      </c>
      <c r="I2" s="2" t="inlineStr">
        <is>
          <t>Destaque</t>
        </is>
      </c>
    </row>
    <row r="3">
      <c r="A3" s="43" t="inlineStr">
        <is>
          <t>eap-1_2</t>
        </is>
      </c>
      <c r="B3" s="43" t="inlineStr">
        <is>
          <t>Escavação, carga e transporte de material de 1ª categoria - DT Máximo de 1km</t>
        </is>
      </c>
      <c r="C3" s="43" t="inlineStr">
        <is>
          <t>m3</t>
        </is>
      </c>
      <c r="D3" s="44" t="n">
        <v>602697.47</v>
      </c>
      <c r="E3" s="45" t="n">
        <v>1750905.23</v>
      </c>
      <c r="F3" s="97" t="n">
        <v>19.0167</v>
      </c>
      <c r="G3" s="97" t="n">
        <v>19.0167</v>
      </c>
      <c r="H3" s="43" t="inlineStr">
        <is>
          <t>A</t>
        </is>
      </c>
      <c r="I3" s="43" t="inlineStr"/>
    </row>
    <row r="4">
      <c r="A4" s="43" t="inlineStr">
        <is>
          <t>eap-1_5</t>
        </is>
      </c>
      <c r="B4" s="43" t="inlineStr">
        <is>
          <t>Aterro Compactado a 100% PN</t>
        </is>
      </c>
      <c r="C4" s="43" t="inlineStr">
        <is>
          <t>m3</t>
        </is>
      </c>
      <c r="D4" s="44" t="n">
        <v>738881.15</v>
      </c>
      <c r="E4" s="45" t="n">
        <v>1105525.77</v>
      </c>
      <c r="F4" s="97" t="n">
        <v>12.0072</v>
      </c>
      <c r="G4" s="97" t="n">
        <v>31.0239</v>
      </c>
      <c r="H4" s="43" t="inlineStr">
        <is>
          <t>A</t>
        </is>
      </c>
      <c r="I4" s="43" t="inlineStr"/>
    </row>
    <row r="5">
      <c r="A5" s="46" t="inlineStr">
        <is>
          <t>eap-1_6</t>
        </is>
      </c>
      <c r="B5" s="46" t="inlineStr">
        <is>
          <t>Desmonte de rocha com escavadeira e rompedor hidráulico</t>
        </is>
      </c>
      <c r="C5" s="46" t="inlineStr">
        <is>
          <t>m3</t>
        </is>
      </c>
      <c r="D5" s="47" t="n">
        <v>9000</v>
      </c>
      <c r="E5" s="48" t="n">
        <v>2007076.31</v>
      </c>
      <c r="F5" s="98" t="n">
        <v>21.799</v>
      </c>
      <c r="G5" s="98" t="n">
        <v>52.8228</v>
      </c>
      <c r="H5" s="46" t="inlineStr">
        <is>
          <t>B</t>
        </is>
      </c>
      <c r="I5" s="46" t="inlineStr"/>
    </row>
    <row r="6">
      <c r="A6" s="46" t="inlineStr">
        <is>
          <t>eap-1_1</t>
        </is>
      </c>
      <c r="B6" s="46" t="inlineStr">
        <is>
          <t>Limpeza mecanizada de camada vegetal, incluso carga e transporte</t>
        </is>
      </c>
      <c r="C6" s="46" t="inlineStr">
        <is>
          <t>m2</t>
        </is>
      </c>
      <c r="D6" s="47" t="n">
        <v>487243.38</v>
      </c>
      <c r="E6" s="48" t="n">
        <v>1043641.69</v>
      </c>
      <c r="F6" s="98" t="n">
        <v>11.3351</v>
      </c>
      <c r="G6" s="98" t="n">
        <v>64.1579</v>
      </c>
      <c r="H6" s="46" t="inlineStr">
        <is>
          <t>B</t>
        </is>
      </c>
      <c r="I6" s="46" t="inlineStr"/>
    </row>
    <row r="7">
      <c r="A7" s="31" t="inlineStr">
        <is>
          <t>eap-1_3</t>
        </is>
      </c>
      <c r="B7" s="31" t="inlineStr">
        <is>
          <t>Escavação, carga e transporte de material de 1ª categoria - DMT 3,2km  - (JAZIDA)</t>
        </is>
      </c>
      <c r="C7" s="31" t="inlineStr">
        <is>
          <t>m3</t>
        </is>
      </c>
      <c r="D7" s="32" t="n">
        <v>136183.6800000001</v>
      </c>
      <c r="E7" s="33" t="n">
        <v>1349077.23</v>
      </c>
      <c r="F7" s="4" t="n">
        <v>14.6524</v>
      </c>
      <c r="G7" s="4" t="n">
        <v>78.8103</v>
      </c>
      <c r="H7" s="31" t="inlineStr">
        <is>
          <t>C</t>
        </is>
      </c>
      <c r="I7" s="31" t="inlineStr"/>
    </row>
    <row r="8">
      <c r="A8" s="34" t="inlineStr">
        <is>
          <t>eap-1_7</t>
        </is>
      </c>
      <c r="B8" s="34" t="inlineStr">
        <is>
          <t>Carga e transporte de material proveniente do desmonte com caminhão basculante de 12 m³ para rocha - rodovia em leito natural</t>
        </is>
      </c>
      <c r="C8" s="34" t="inlineStr">
        <is>
          <t>m3</t>
        </is>
      </c>
      <c r="D8" s="35" t="n">
        <v>13500</v>
      </c>
      <c r="E8" s="36" t="n">
        <v>1243404.61</v>
      </c>
      <c r="F8" s="7" t="n">
        <v>13.5047</v>
      </c>
      <c r="G8" s="7" t="n">
        <v>92.315</v>
      </c>
      <c r="H8" s="34" t="inlineStr">
        <is>
          <t>C</t>
        </is>
      </c>
      <c r="I8" s="34" t="inlineStr"/>
    </row>
    <row r="9">
      <c r="A9" s="31" t="inlineStr">
        <is>
          <t>eap-1_4</t>
        </is>
      </c>
      <c r="B9" s="31" t="inlineStr">
        <is>
          <t>Regularização do subleito - 100% PN</t>
        </is>
      </c>
      <c r="C9" s="31" t="inlineStr">
        <is>
          <t>m2</t>
        </is>
      </c>
      <c r="D9" s="32" t="n">
        <v>487243.38</v>
      </c>
      <c r="E9" s="33" t="n">
        <v>515851.19</v>
      </c>
      <c r="F9" s="4" t="n">
        <v>5.6027</v>
      </c>
      <c r="G9" s="4" t="n">
        <v>97.9177</v>
      </c>
      <c r="H9" s="31" t="inlineStr">
        <is>
          <t>C</t>
        </is>
      </c>
      <c r="I9" s="31" t="inlineStr"/>
    </row>
    <row r="10">
      <c r="A10" s="34" t="inlineStr">
        <is>
          <t>eap-4_2</t>
        </is>
      </c>
      <c r="B10" s="34" t="inlineStr">
        <is>
          <t>Topografia</t>
        </is>
      </c>
      <c r="C10" s="34" t="inlineStr">
        <is>
          <t>vb</t>
        </is>
      </c>
      <c r="D10" s="35" t="n">
        <v>1</v>
      </c>
      <c r="E10" s="36" t="n">
        <v>191722.63</v>
      </c>
      <c r="F10" s="7" t="n">
        <v>2.0823</v>
      </c>
      <c r="G10" s="7" t="n">
        <v>100</v>
      </c>
      <c r="H10" s="34" t="inlineStr">
        <is>
          <t>C</t>
        </is>
      </c>
      <c r="I10" s="34" t="inlineStr"/>
    </row>
    <row r="12">
      <c r="A12" s="29" t="inlineStr">
        <is>
          <t>TOTAL</t>
        </is>
      </c>
      <c r="E12" s="30">
        <f>SUM(E3:E11)</f>
        <v/>
      </c>
      <c r="F12" s="37" t="n"/>
      <c r="G12" s="37" t="n"/>
      <c r="H12" s="37" t="n"/>
      <c r="I12" s="37" t="n"/>
    </row>
  </sheetData>
  <mergeCells count="2">
    <mergeCell ref="A1:I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2026-05-12T13:21:26Z</dcterms:created>
  <dcterms:modified xsi:type="dcterms:W3CDTF">2026-05-12T13:21:26Z</dcterms:modified>
</cp:coreProperties>
</file>