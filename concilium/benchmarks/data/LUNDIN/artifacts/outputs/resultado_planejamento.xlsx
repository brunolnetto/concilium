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I" sheetId="1" state="visible" r:id="rId1"/>
    <sheet name="DIRETOS.DET" sheetId="2" state="visible" r:id="rId2"/>
    <sheet name="DIRETOS.RES" sheetId="3" state="visible" r:id="rId3"/>
    <sheet name="INDIRETOS.DET" sheetId="4" state="visible" r:id="rId4"/>
    <sheet name="INDIRETOS.RES" sheetId="5" state="visible" r:id="rId5"/>
    <sheet name="PLANEJAMENTO" sheetId="6" state="visible" r:id="rId6"/>
    <sheet name="CRONOGRAMA.DET" sheetId="7" state="visible" r:id="rId7"/>
    <sheet name="CRONOGRAMA.RES" sheetId="8" state="visible" r:id="rId8"/>
    <sheet name="EQUIPE" sheetId="9" state="visible" r:id="rId9"/>
    <sheet name="EQUILIBRIO" sheetId="10" state="visible" r:id="rId10"/>
    <sheet name="RESULTADO" sheetId="11" state="visible" r:id="rId11"/>
    <sheet name="ANALISE.FC_CAIXA" sheetId="12" state="visible" r:id="rId12"/>
    <sheet name="HIST.EQUIPAMENTOS" sheetId="13" state="visible" r:id="rId13"/>
    <sheet name="HIST.MAO_OBRA" sheetId="14" state="visible" r:id="rId14"/>
    <sheet name="ANALISE.CURVA_ABC" sheetId="15" state="visible" r:id="rId15"/>
  </sheets>
  <definedNames>
    <definedName name="TOTAL_DIRETO">'DIRETOS.DET'!$I$87</definedName>
    <definedName name="DIRETOS_RES_SEM_BDI">'DIRETOS.RES'!$I$18</definedName>
    <definedName name="DIRETOS_RES_COM_BDI">'DIRETOS.RES'!$N$18</definedName>
    <definedName name="TOTAL_ADM">'INDIRETOS.DET'!$H$5</definedName>
    <definedName name="TOTAL_TOP">'INDIRETOS.DET'!$H$8</definedName>
    <definedName name="TOTAL_LAB">'INDIRETOS.DET'!$H$11</definedName>
    <definedName name="TOTAL_QSMS">'INDIRETOS.DET'!$H$14</definedName>
    <definedName name="TOTAL_MOB">'INDIRETOS.DET'!$H$17</definedName>
    <definedName name="TOTAL_INDIRETO">'INDIRETOS.DET'!$H$19</definedName>
    <definedName name="TOTAL_SEM_BDI">PLANEJAMENTO!$I$18</definedName>
    <definedName name="TOTAL_COM_BDI">PLANEJAMENTO!$N$18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R$ #,##0.00"/>
    <numFmt numFmtId="166" formatCode="#,##0.##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1A3A5C"/>
      <sz val="10"/>
    </font>
    <font>
      <name val="Calibri"/>
      <b val="1"/>
      <color rgb="00C05C18"/>
      <sz val="10"/>
    </font>
    <font>
      <name val="Calibri"/>
      <color rgb="001A202C"/>
      <sz val="10"/>
    </font>
    <font>
      <name val="Calibri"/>
      <b val="1"/>
      <color rgb="00276749"/>
      <sz val="10"/>
    </font>
    <font>
      <name val="Calibri"/>
      <color rgb="00C05C18"/>
      <sz val="10"/>
    </font>
    <font>
      <name val="Calibri"/>
      <b val="1"/>
      <color rgb="001A202C"/>
      <sz val="10"/>
    </font>
    <font>
      <name val="Calibri"/>
      <b val="1"/>
      <color rgb="00FFFFFF"/>
      <sz val="11"/>
    </font>
    <font>
      <name val="Calibri"/>
      <b val="1"/>
      <color rgb="0092400E"/>
      <sz val="10"/>
    </font>
    <font>
      <name val="Calibri"/>
      <color rgb="001A3A5C"/>
      <sz val="10"/>
    </font>
    <font>
      <name val="Calibri"/>
      <b val="1"/>
      <color rgb="009B1C1C"/>
      <sz val="10"/>
    </font>
    <font>
      <name val="Calibri"/>
      <b val="1"/>
      <color rgb="009B1C1C"/>
      <sz val="14"/>
    </font>
    <font>
      <name val="Calibri"/>
      <color rgb="009B1C1C"/>
      <sz val="10"/>
    </font>
    <font>
      <name val="Calibri"/>
      <color rgb="00276749"/>
      <sz val="10"/>
    </font>
    <font>
      <name val="Calibri"/>
      <i val="1"/>
      <color rgb="00555555"/>
      <sz val="9"/>
    </font>
  </fonts>
  <fills count="14">
    <fill>
      <patternFill/>
    </fill>
    <fill>
      <patternFill patternType="gray125"/>
    </fill>
    <fill>
      <patternFill patternType="solid">
        <fgColor rgb="001A3A5C"/>
        <bgColor rgb="001A3A5C"/>
      </patternFill>
    </fill>
    <fill>
      <patternFill patternType="solid">
        <fgColor rgb="00FFFFFF"/>
        <bgColor rgb="00FFFFFF"/>
      </patternFill>
    </fill>
    <fill>
      <patternFill patternType="solid">
        <fgColor rgb="00F0F5FA"/>
        <bgColor rgb="00F0F5FA"/>
      </patternFill>
    </fill>
    <fill>
      <patternFill patternType="solid">
        <fgColor rgb="00F7FAFC"/>
        <bgColor rgb="00F7FAFC"/>
      </patternFill>
    </fill>
    <fill>
      <patternFill patternType="solid">
        <fgColor rgb="002B6CB0"/>
        <bgColor rgb="002B6CB0"/>
      </patternFill>
    </fill>
    <fill>
      <patternFill patternType="solid">
        <fgColor rgb="00F5E6D8"/>
        <bgColor rgb="00F5E6D8"/>
      </patternFill>
    </fill>
    <fill>
      <patternFill patternType="solid">
        <fgColor rgb="00FFFF33"/>
        <bgColor rgb="00FFFF33"/>
      </patternFill>
    </fill>
    <fill>
      <patternFill patternType="solid">
        <fgColor rgb="00FFA500"/>
        <bgColor rgb="00FFA500"/>
      </patternFill>
    </fill>
    <fill>
      <patternFill patternType="solid">
        <fgColor rgb="00FEF3C7"/>
        <bgColor rgb="00FEF3C7"/>
      </patternFill>
    </fill>
    <fill>
      <patternFill patternType="solid">
        <fgColor rgb="00EAD9C3"/>
        <bgColor rgb="00EAD9C3"/>
      </patternFill>
    </fill>
    <fill>
      <patternFill patternType="solid">
        <fgColor rgb="00FADDDD"/>
        <bgColor rgb="00FADDDD"/>
      </patternFill>
    </fill>
    <fill>
      <patternFill patternType="solid">
        <fgColor rgb="00DCEEE5"/>
        <bgColor rgb="00DCEEE5"/>
      </patternFill>
    </fill>
  </fills>
  <borders count="6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/>
      <right/>
      <top style="thin">
        <color rgb="00CBD5E0"/>
      </top>
      <bottom/>
      <diagonal/>
    </border>
    <border>
      <left/>
      <right style="thin">
        <color rgb="00CBD5E0"/>
      </right>
      <top style="thin">
        <color rgb="00CBD5E0"/>
      </top>
      <bottom/>
      <diagonal/>
    </border>
    <border>
      <left/>
      <right style="thin">
        <color rgb="00CBD5E0"/>
      </right>
      <top style="thin">
        <color rgb="00CBD5E0"/>
      </top>
      <bottom style="thin">
        <color rgb="00CBD5E0"/>
      </bottom>
      <diagonal/>
    </border>
    <border>
      <left/>
      <right/>
      <top style="thin">
        <color rgb="00CBD5E0"/>
      </top>
      <bottom style="thin">
        <color rgb="00CBD5E0"/>
      </bottom>
      <diagonal/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164" fontId="0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5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6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0" fillId="7" borderId="1" pivotButton="0" quotePrefix="0" xfId="0"/>
    <xf numFmtId="165" fontId="4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right" vertical="center"/>
    </xf>
    <xf numFmtId="165" fontId="2" fillId="2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left" vertical="center"/>
    </xf>
    <xf numFmtId="166" fontId="0" fillId="3" borderId="1" applyAlignment="1" pivotButton="0" quotePrefix="0" xfId="0">
      <alignment horizontal="right" vertical="center"/>
    </xf>
    <xf numFmtId="4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left" vertical="center"/>
    </xf>
    <xf numFmtId="166" fontId="0" fillId="4" borderId="1" applyAlignment="1" pivotButton="0" quotePrefix="0" xfId="0">
      <alignment horizontal="right" vertical="center"/>
    </xf>
    <xf numFmtId="4" fontId="0" fillId="4" borderId="1" applyAlignment="1" pivotButton="0" quotePrefix="0" xfId="0">
      <alignment horizontal="right" vertical="center"/>
    </xf>
    <xf numFmtId="0" fontId="0" fillId="2" borderId="1" pivotButton="0" quotePrefix="0" xfId="0"/>
    <xf numFmtId="0" fontId="8" fillId="5" borderId="1" applyAlignment="1" pivotButton="0" quotePrefix="0" xfId="0">
      <alignment horizontal="left" vertical="center"/>
    </xf>
    <xf numFmtId="0" fontId="0" fillId="0" borderId="4" pivotButton="0" quotePrefix="0" xfId="0"/>
    <xf numFmtId="165" fontId="8" fillId="5" borderId="1" applyAlignment="1" pivotButton="0" quotePrefix="0" xfId="0">
      <alignment horizontal="right" vertical="center"/>
    </xf>
    <xf numFmtId="0" fontId="0" fillId="0" borderId="5" pivotButton="0" quotePrefix="0" xfId="0"/>
    <xf numFmtId="164" fontId="0" fillId="5" borderId="1" applyAlignment="1" pivotButton="0" quotePrefix="0" xfId="0">
      <alignment horizontal="right" vertical="center"/>
    </xf>
    <xf numFmtId="0" fontId="0" fillId="8" borderId="1" applyAlignment="1" pivotButton="0" quotePrefix="0" xfId="0">
      <alignment horizontal="left" vertical="center"/>
    </xf>
    <xf numFmtId="166" fontId="0" fillId="8" borderId="1" applyAlignment="1" pivotButton="0" quotePrefix="0" xfId="0">
      <alignment horizontal="right" vertical="center"/>
    </xf>
    <xf numFmtId="4" fontId="0" fillId="8" borderId="1" applyAlignment="1" pivotButton="0" quotePrefix="0" xfId="0">
      <alignment horizontal="right" vertical="center"/>
    </xf>
    <xf numFmtId="0" fontId="0" fillId="9" borderId="1" applyAlignment="1" pivotButton="0" quotePrefix="0" xfId="0">
      <alignment horizontal="left" vertical="center"/>
    </xf>
    <xf numFmtId="166" fontId="0" fillId="9" borderId="1" applyAlignment="1" pivotButton="0" quotePrefix="0" xfId="0">
      <alignment horizontal="right" vertical="center"/>
    </xf>
    <xf numFmtId="4" fontId="0" fillId="9" borderId="1" applyAlignment="1" pivotButton="0" quotePrefix="0" xfId="0">
      <alignment horizontal="right" vertical="center"/>
    </xf>
    <xf numFmtId="0" fontId="0" fillId="10" borderId="1" pivotButton="0" quotePrefix="0" xfId="0"/>
    <xf numFmtId="0" fontId="10" fillId="10" borderId="1" applyAlignment="1" pivotButton="0" quotePrefix="0" xfId="0">
      <alignment horizontal="left" vertical="center"/>
    </xf>
    <xf numFmtId="9" fontId="4" fillId="10" borderId="1" applyAlignment="1" pivotButton="0" quotePrefix="0" xfId="0">
      <alignment horizontal="center" vertical="center"/>
    </xf>
    <xf numFmtId="9" fontId="5" fillId="10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/>
    </xf>
    <xf numFmtId="1" fontId="0" fillId="7" borderId="1" applyAlignment="1" pivotButton="0" quotePrefix="0" xfId="0">
      <alignment horizontal="right" vertical="center"/>
    </xf>
    <xf numFmtId="0" fontId="0" fillId="7" borderId="1" applyAlignment="1" pivotButton="0" quotePrefix="0" xfId="0">
      <alignment horizontal="right" vertical="center"/>
    </xf>
    <xf numFmtId="0" fontId="11" fillId="3" borderId="1" applyAlignment="1" pivotButton="0" quotePrefix="0" xfId="0">
      <alignment horizontal="left" vertical="center"/>
    </xf>
    <xf numFmtId="1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  <xf numFmtId="9" fontId="0" fillId="3" borderId="1" applyAlignment="1" pivotButton="0" quotePrefix="0" xfId="0">
      <alignment horizontal="right" vertical="center"/>
    </xf>
    <xf numFmtId="0" fontId="8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/>
    </xf>
    <xf numFmtId="1" fontId="0" fillId="11" borderId="1" applyAlignment="1" pivotButton="0" quotePrefix="0" xfId="0">
      <alignment horizontal="right" vertical="center"/>
    </xf>
    <xf numFmtId="0" fontId="0" fillId="11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left" vertical="center"/>
    </xf>
    <xf numFmtId="1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9" fontId="0" fillId="4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left" vertical="center"/>
    </xf>
    <xf numFmtId="165" fontId="8" fillId="3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left" vertical="center"/>
    </xf>
    <xf numFmtId="165" fontId="12" fillId="4" borderId="1" applyAlignment="1" pivotButton="0" quotePrefix="0" xfId="0">
      <alignment horizontal="right" vertical="center"/>
    </xf>
    <xf numFmtId="165" fontId="12" fillId="3" borderId="1" applyAlignment="1" pivotButton="0" quotePrefix="0" xfId="0">
      <alignment horizontal="right" vertical="center"/>
    </xf>
    <xf numFmtId="0" fontId="13" fillId="12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165" fontId="14" fillId="4" borderId="1" applyAlignment="1" pivotButton="0" quotePrefix="0" xfId="0">
      <alignment horizontal="right" vertical="center"/>
    </xf>
    <xf numFmtId="165" fontId="14" fillId="12" borderId="1" applyAlignment="1" pivotButton="0" quotePrefix="0" xfId="0">
      <alignment horizontal="right" vertical="center"/>
    </xf>
    <xf numFmtId="165" fontId="15" fillId="13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165" fontId="4" fillId="2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right" vertical="center"/>
    </xf>
    <xf numFmtId="165" fontId="6" fillId="13" borderId="1" applyAlignment="1" pivotButton="0" quotePrefix="0" xfId="0">
      <alignment horizontal="right" vertical="center"/>
    </xf>
    <xf numFmtId="165" fontId="12" fillId="12" borderId="1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right" vertical="center"/>
    </xf>
    <xf numFmtId="1" fontId="2" fillId="2" borderId="1" applyAlignment="1" pivotButton="0" quotePrefix="0" xfId="0">
      <alignment horizontal="right" vertical="center"/>
    </xf>
    <xf numFmtId="164" fontId="0" fillId="9" borderId="1" applyAlignment="1" pivotButton="0" quotePrefix="0" xfId="0">
      <alignment horizontal="right" vertical="center"/>
    </xf>
    <xf numFmtId="164" fontId="0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2" customWidth="1" min="12" max="12"/>
    <col width="12" customWidth="1" min="13" max="13"/>
  </cols>
  <sheetData>
    <row r="1">
      <c r="A1" s="1" t="inlineStr">
        <is>
          <t>BDI — BONIFICAÇÕES E DESPESAS INDIRETAS (FÓRMULA TCU AC.2622/2013)</t>
        </is>
      </c>
    </row>
    <row r="2">
      <c r="A2" s="2" t="inlineStr">
        <is>
          <t>Categoria</t>
        </is>
      </c>
      <c r="B2" s="2" t="inlineStr">
        <is>
          <t>AC (%)</t>
        </is>
      </c>
      <c r="C2" s="2" t="inlineStr">
        <is>
          <t>DF (%)</t>
        </is>
      </c>
      <c r="D2" s="2" t="inlineStr">
        <is>
          <t>R (%)</t>
        </is>
      </c>
      <c r="E2" s="2" t="inlineStr">
        <is>
          <t>CR (%)</t>
        </is>
      </c>
      <c r="F2" s="2" t="inlineStr">
        <is>
          <t>Lucro L (%)</t>
        </is>
      </c>
      <c r="G2" s="2" t="inlineStr">
        <is>
          <t>COFINS (%)</t>
        </is>
      </c>
      <c r="H2" s="2" t="inlineStr">
        <is>
          <t>ISS (%)</t>
        </is>
      </c>
      <c r="I2" s="2" t="inlineStr">
        <is>
          <t>PIS (%)</t>
        </is>
      </c>
      <c r="J2" s="2" t="inlineStr">
        <is>
          <t>CSSL (%)</t>
        </is>
      </c>
      <c r="K2" s="2" t="inlineStr">
        <is>
          <t>IR (%)</t>
        </is>
      </c>
      <c r="L2" s="2" t="inlineStr">
        <is>
          <t>T=Tributos (%)</t>
        </is>
      </c>
      <c r="M2" s="2" t="inlineStr">
        <is>
          <t>BDI Total (%)</t>
        </is>
      </c>
    </row>
    <row r="3">
      <c r="A3" s="3" t="inlineStr">
        <is>
          <t>MÃO DE OBRA</t>
        </is>
      </c>
      <c r="B3" s="4" t="n">
        <v>5</v>
      </c>
      <c r="C3" s="4" t="n">
        <v>1.5</v>
      </c>
      <c r="D3" s="4" t="n">
        <v>1</v>
      </c>
      <c r="E3" s="4" t="n">
        <v>0</v>
      </c>
      <c r="F3" s="4" t="n">
        <v>9</v>
      </c>
      <c r="G3" s="4" t="n">
        <v>3</v>
      </c>
      <c r="H3" s="4" t="n">
        <v>5</v>
      </c>
      <c r="I3" s="4" t="n">
        <v>0.65</v>
      </c>
      <c r="J3" s="4" t="n">
        <v>1.99</v>
      </c>
      <c r="K3" s="4" t="n">
        <v>2.74</v>
      </c>
      <c r="L3" s="4" t="n">
        <v>13.38</v>
      </c>
      <c r="M3" s="5" t="n">
        <v>34.5</v>
      </c>
    </row>
    <row r="4">
      <c r="A4" s="6" t="inlineStr">
        <is>
          <t>MATERIAL</t>
        </is>
      </c>
      <c r="B4" s="7" t="n">
        <v>5</v>
      </c>
      <c r="C4" s="7" t="n">
        <v>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8" t="n">
        <v>5</v>
      </c>
    </row>
    <row r="5">
      <c r="A5" s="3" t="inlineStr">
        <is>
          <t>SERVIÇOS</t>
        </is>
      </c>
      <c r="B5" s="4" t="n">
        <v>5</v>
      </c>
      <c r="C5" s="4" t="n">
        <v>1.5</v>
      </c>
      <c r="D5" s="4" t="n">
        <v>1</v>
      </c>
      <c r="E5" s="4" t="n">
        <v>0</v>
      </c>
      <c r="F5" s="4" t="n">
        <v>9</v>
      </c>
      <c r="G5" s="4" t="n">
        <v>3</v>
      </c>
      <c r="H5" s="4" t="n">
        <v>5</v>
      </c>
      <c r="I5" s="4" t="n">
        <v>0.65</v>
      </c>
      <c r="J5" s="4" t="n">
        <v>1.99</v>
      </c>
      <c r="K5" s="4" t="n">
        <v>2.74</v>
      </c>
      <c r="L5" s="4" t="n">
        <v>13.38</v>
      </c>
      <c r="M5" s="5" t="n">
        <v>34.5</v>
      </c>
    </row>
    <row r="6">
      <c r="A6" s="6" t="inlineStr">
        <is>
          <t>INDIRETO</t>
        </is>
      </c>
      <c r="B6" s="7" t="n">
        <v>4</v>
      </c>
      <c r="C6" s="7" t="n">
        <v>0</v>
      </c>
      <c r="D6" s="7" t="n">
        <v>0</v>
      </c>
      <c r="E6" s="7" t="n">
        <v>0</v>
      </c>
      <c r="F6" s="7" t="n">
        <v>2</v>
      </c>
      <c r="G6" s="7" t="n">
        <v>3</v>
      </c>
      <c r="H6" s="7" t="n">
        <v>5</v>
      </c>
      <c r="I6" s="7" t="n">
        <v>0.65</v>
      </c>
      <c r="J6" s="7" t="n">
        <v>1.99</v>
      </c>
      <c r="K6" s="7" t="n">
        <v>2.74</v>
      </c>
      <c r="L6" s="7" t="n">
        <v>13.38</v>
      </c>
      <c r="M6" s="8" t="n">
        <v>22.37</v>
      </c>
    </row>
    <row r="7">
      <c r="A7" s="3" t="inlineStr">
        <is>
          <t>DIESEL</t>
        </is>
      </c>
      <c r="B7" s="4" t="n">
        <v>4</v>
      </c>
      <c r="C7" s="4" t="n">
        <v>0</v>
      </c>
      <c r="D7" s="4" t="n">
        <v>0</v>
      </c>
      <c r="E7" s="4" t="n">
        <v>0</v>
      </c>
      <c r="F7" s="4" t="n">
        <v>5</v>
      </c>
      <c r="G7" s="4" t="n">
        <v>3</v>
      </c>
      <c r="H7" s="4" t="n">
        <v>5</v>
      </c>
      <c r="I7" s="4" t="n">
        <v>0.65</v>
      </c>
      <c r="J7" s="4" t="n">
        <v>1.99</v>
      </c>
      <c r="K7" s="4" t="n">
        <v>2.74</v>
      </c>
      <c r="L7" s="4" t="n">
        <v>13.38</v>
      </c>
      <c r="M7" s="5" t="n">
        <v>25.84</v>
      </c>
    </row>
    <row r="9">
      <c r="A9" s="9" t="inlineStr">
        <is>
          <t>Fórmula: BDI = (1 + AC + DF + R + CR + L) / (1 - T) - 1  |  T = COFINS+ISS+PIS+CSSL+IR</t>
        </is>
      </c>
    </row>
    <row r="11">
      <c r="A11" s="9" t="inlineStr">
        <is>
          <t>BDI Efetivo Aplicado por Item do Planejamento</t>
        </is>
      </c>
    </row>
    <row r="12">
      <c r="A12" s="10" t="inlineStr">
        <is>
          <t>Item ID</t>
        </is>
      </c>
      <c r="B12" s="10" t="inlineStr">
        <is>
          <t>MO BDI (%)</t>
        </is>
      </c>
      <c r="C12" s="10" t="inlineStr">
        <is>
          <t>EQ BDI (%)</t>
        </is>
      </c>
      <c r="D12" s="10" t="inlineStr">
        <is>
          <t>MAT BDI (%)</t>
        </is>
      </c>
      <c r="E12" s="10" t="inlineStr">
        <is>
          <t>DIESEL BDI (%)</t>
        </is>
      </c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</row>
    <row r="13">
      <c r="A13" s="11" t="inlineStr">
        <is>
          <t>eap-3_1</t>
        </is>
      </c>
      <c r="B13" s="4" t="n">
        <v>34.5</v>
      </c>
      <c r="C13" s="4" t="n">
        <v>34.5</v>
      </c>
      <c r="D13" s="4" t="n">
        <v>20</v>
      </c>
      <c r="E13" s="4" t="n">
        <v>34.5</v>
      </c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13" t="inlineStr">
        <is>
          <t>eap-1_2</t>
        </is>
      </c>
      <c r="B14" s="7" t="n">
        <v>34.5</v>
      </c>
      <c r="C14" s="7" t="n">
        <v>34.5</v>
      </c>
      <c r="D14" s="7" t="n">
        <v>20</v>
      </c>
      <c r="E14" s="7" t="n">
        <v>34.5</v>
      </c>
      <c r="F14" s="14" t="n"/>
      <c r="G14" s="14" t="n"/>
      <c r="H14" s="14" t="n"/>
      <c r="I14" s="14" t="n"/>
      <c r="J14" s="14" t="n"/>
      <c r="K14" s="14" t="n"/>
      <c r="L14" s="14" t="n"/>
      <c r="M14" s="14" t="n"/>
    </row>
    <row r="15">
      <c r="A15" s="11" t="inlineStr">
        <is>
          <t>eap-1_1</t>
        </is>
      </c>
      <c r="B15" s="4" t="n">
        <v>34.5</v>
      </c>
      <c r="C15" s="4" t="n">
        <v>34.5</v>
      </c>
      <c r="D15" s="4" t="n">
        <v>20</v>
      </c>
      <c r="E15" s="4" t="n">
        <v>34.5</v>
      </c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13" t="inlineStr">
        <is>
          <t>eap-1_3</t>
        </is>
      </c>
      <c r="B16" s="7" t="n">
        <v>34.5</v>
      </c>
      <c r="C16" s="7" t="n">
        <v>34.5</v>
      </c>
      <c r="D16" s="7" t="n">
        <v>20</v>
      </c>
      <c r="E16" s="7" t="n">
        <v>34.5</v>
      </c>
      <c r="F16" s="14" t="n"/>
      <c r="G16" s="14" t="n"/>
      <c r="H16" s="14" t="n"/>
      <c r="I16" s="14" t="n"/>
      <c r="J16" s="14" t="n"/>
      <c r="K16" s="14" t="n"/>
      <c r="L16" s="14" t="n"/>
      <c r="M16" s="14" t="n"/>
    </row>
    <row r="17">
      <c r="A17" s="11" t="inlineStr">
        <is>
          <t>eap-2_1</t>
        </is>
      </c>
      <c r="B17" s="4" t="n">
        <v>34.5</v>
      </c>
      <c r="C17" s="4" t="n">
        <v>34.5</v>
      </c>
      <c r="D17" s="4" t="n">
        <v>20</v>
      </c>
      <c r="E17" s="4" t="n">
        <v>34.5</v>
      </c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13" t="inlineStr">
        <is>
          <t>eap-3_3</t>
        </is>
      </c>
      <c r="B18" s="7" t="n">
        <v>34.5</v>
      </c>
      <c r="C18" s="7" t="n">
        <v>34.5</v>
      </c>
      <c r="D18" s="7" t="n">
        <v>20</v>
      </c>
      <c r="E18" s="7" t="n">
        <v>34.5</v>
      </c>
      <c r="F18" s="14" t="n"/>
      <c r="G18" s="14" t="n"/>
      <c r="H18" s="14" t="n"/>
      <c r="I18" s="14" t="n"/>
      <c r="J18" s="14" t="n"/>
      <c r="K18" s="14" t="n"/>
      <c r="L18" s="14" t="n"/>
      <c r="M18" s="14" t="n"/>
    </row>
    <row r="19">
      <c r="A19" s="11" t="inlineStr">
        <is>
          <t>eap-3_6</t>
        </is>
      </c>
      <c r="B19" s="4" t="n">
        <v>34.5</v>
      </c>
      <c r="C19" s="4" t="n">
        <v>34.5</v>
      </c>
      <c r="D19" s="4" t="n">
        <v>20</v>
      </c>
      <c r="E19" s="4" t="n">
        <v>34.5</v>
      </c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13" t="inlineStr">
        <is>
          <t>eap-5_1</t>
        </is>
      </c>
      <c r="B20" s="7" t="n">
        <v>34.5</v>
      </c>
      <c r="C20" s="7" t="n">
        <v>34.5</v>
      </c>
      <c r="D20" s="7" t="n">
        <v>20</v>
      </c>
      <c r="E20" s="7" t="n">
        <v>34.5</v>
      </c>
      <c r="F20" s="14" t="n"/>
      <c r="G20" s="14" t="n"/>
      <c r="H20" s="14" t="n"/>
      <c r="I20" s="14" t="n"/>
      <c r="J20" s="14" t="n"/>
      <c r="K20" s="14" t="n"/>
      <c r="L20" s="14" t="n"/>
      <c r="M20" s="14" t="n"/>
    </row>
    <row r="21">
      <c r="A21" s="11" t="inlineStr">
        <is>
          <t>eap-2_3</t>
        </is>
      </c>
      <c r="B21" s="4" t="n">
        <v>34.5</v>
      </c>
      <c r="C21" s="4" t="n">
        <v>34.5</v>
      </c>
      <c r="D21" s="4" t="n">
        <v>20</v>
      </c>
      <c r="E21" s="4" t="n">
        <v>34.5</v>
      </c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13" t="inlineStr">
        <is>
          <t>eap-4_1</t>
        </is>
      </c>
      <c r="B22" s="7" t="n">
        <v>34.5</v>
      </c>
      <c r="C22" s="7" t="n">
        <v>34.5</v>
      </c>
      <c r="D22" s="7" t="n">
        <v>20</v>
      </c>
      <c r="E22" s="7" t="n">
        <v>34.5</v>
      </c>
      <c r="F22" s="14" t="n"/>
      <c r="G22" s="14" t="n"/>
      <c r="H22" s="14" t="n"/>
      <c r="I22" s="14" t="n"/>
      <c r="J22" s="14" t="n"/>
      <c r="K22" s="14" t="n"/>
      <c r="L22" s="14" t="n"/>
      <c r="M22" s="14" t="n"/>
    </row>
    <row r="23">
      <c r="A23" s="11" t="inlineStr">
        <is>
          <t>eap-3_5</t>
        </is>
      </c>
      <c r="B23" s="4" t="n">
        <v>34.5</v>
      </c>
      <c r="C23" s="4" t="n">
        <v>34.5</v>
      </c>
      <c r="D23" s="4" t="n">
        <v>20</v>
      </c>
      <c r="E23" s="4" t="n">
        <v>34.5</v>
      </c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13" t="inlineStr">
        <is>
          <t>eap-3_2</t>
        </is>
      </c>
      <c r="B24" s="7" t="n">
        <v>34.5</v>
      </c>
      <c r="C24" s="7" t="n">
        <v>34.5</v>
      </c>
      <c r="D24" s="7" t="n">
        <v>20</v>
      </c>
      <c r="E24" s="7" t="n">
        <v>34.5</v>
      </c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>
      <c r="A25" s="11" t="inlineStr">
        <is>
          <t>eap-2_2</t>
        </is>
      </c>
      <c r="B25" s="4" t="n">
        <v>34.5</v>
      </c>
      <c r="C25" s="4" t="n">
        <v>34.5</v>
      </c>
      <c r="D25" s="4" t="n">
        <v>20</v>
      </c>
      <c r="E25" s="4" t="n">
        <v>34.5</v>
      </c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13" t="inlineStr">
        <is>
          <t>eap-3_4</t>
        </is>
      </c>
      <c r="B26" s="7" t="n">
        <v>34.5</v>
      </c>
      <c r="C26" s="7" t="n">
        <v>34.5</v>
      </c>
      <c r="D26" s="7" t="n">
        <v>20</v>
      </c>
      <c r="E26" s="7" t="n">
        <v>34.5</v>
      </c>
      <c r="F26" s="14" t="n"/>
      <c r="G26" s="14" t="n"/>
      <c r="H26" s="14" t="n"/>
      <c r="I26" s="14" t="n"/>
      <c r="J26" s="14" t="n"/>
      <c r="K26" s="14" t="n"/>
      <c r="L26" s="14" t="n"/>
      <c r="M26" s="14" t="n"/>
    </row>
  </sheetData>
  <mergeCells count="3">
    <mergeCell ref="A11:M11"/>
    <mergeCell ref="A1:M1"/>
    <mergeCell ref="A9:M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6" customWidth="1" min="3" max="3"/>
    <col width="10" customWidth="1" min="4" max="4"/>
    <col width="6" customWidth="1" min="5" max="5"/>
    <col width="16" customWidth="1" min="6" max="6"/>
    <col width="16" customWidth="1" min="7" max="7"/>
    <col width="10" customWidth="1" min="8" max="8"/>
    <col width="16" customWidth="1" min="9" max="9"/>
  </cols>
  <sheetData>
    <row r="1">
      <c r="A1" s="1" t="inlineStr">
        <is>
          <t>DIRETOS — EQUIPES E RECURSOS</t>
        </is>
      </c>
    </row>
    <row r="2">
      <c r="A2" s="2" t="inlineStr">
        <is>
          <t>Tipo</t>
        </is>
      </c>
      <c r="B2" s="2" t="inlineStr">
        <is>
          <t>Código</t>
        </is>
      </c>
      <c r="C2" s="2" t="inlineStr">
        <is>
          <t>Descrição</t>
        </is>
      </c>
      <c r="D2" s="2" t="inlineStr">
        <is>
          <t>Papel</t>
        </is>
      </c>
      <c r="E2" s="2" t="inlineStr">
        <is>
          <t>Qtd</t>
        </is>
      </c>
      <c r="F2" s="2" t="inlineStr">
        <is>
          <t>Custo Unit/Mês (R$)</t>
        </is>
      </c>
      <c r="G2" s="2" t="inlineStr">
        <is>
          <t>Custo Total/Mês (R$)</t>
        </is>
      </c>
      <c r="H2" s="2" t="inlineStr">
        <is>
          <t>Perm. (meses)</t>
        </is>
      </c>
      <c r="I2" s="2" t="inlineStr">
        <is>
          <t>Custo Total (R$)</t>
        </is>
      </c>
    </row>
    <row r="3">
      <c r="A3" s="9" t="inlineStr">
        <is>
          <t>eap-3_1 — Cerca arame liso (5 fios) com mourões de concreto, seção quadrada 10 x 10 cm (padrão VALEC) executada em solos compostos por material de 1ª e 2ª categoria</t>
        </is>
      </c>
    </row>
    <row r="4">
      <c r="A4" s="11" t="inlineStr">
        <is>
          <t>MÃO DE OBRA</t>
        </is>
      </c>
      <c r="B4" s="11" t="inlineStr">
        <is>
          <t>MO-ENCARREG-TERRA</t>
        </is>
      </c>
      <c r="C4" s="11" t="inlineStr">
        <is>
          <t>Encarregado de Terraplenagem</t>
        </is>
      </c>
      <c r="D4" s="15" t="inlineStr">
        <is>
          <t>DIRETO</t>
        </is>
      </c>
      <c r="E4" s="16" t="n">
        <v>1</v>
      </c>
      <c r="F4" s="17" t="n">
        <v>11549.8</v>
      </c>
      <c r="G4" s="17">
        <f>E4*F4</f>
        <v/>
      </c>
      <c r="H4" s="16" t="n">
        <v>5.98</v>
      </c>
      <c r="I4" s="17">
        <f>G4*H4</f>
        <v/>
      </c>
    </row>
    <row r="5">
      <c r="A5" s="11" t="inlineStr">
        <is>
          <t>MÃO DE OBRA</t>
        </is>
      </c>
      <c r="B5" s="11" t="inlineStr">
        <is>
          <t>MO-CERQUEIRO</t>
        </is>
      </c>
      <c r="C5" s="11" t="inlineStr">
        <is>
          <t>Cerqueiro</t>
        </is>
      </c>
      <c r="D5" s="15" t="inlineStr">
        <is>
          <t>DIRETO</t>
        </is>
      </c>
      <c r="E5" s="16" t="n">
        <v>3</v>
      </c>
      <c r="F5" s="17" t="n">
        <v>9901.17</v>
      </c>
      <c r="G5" s="17">
        <f>E5*F5</f>
        <v/>
      </c>
      <c r="H5" s="16" t="n">
        <v>5.98</v>
      </c>
      <c r="I5" s="17">
        <f>G5*H5</f>
        <v/>
      </c>
    </row>
    <row r="6">
      <c r="A6" s="11" t="inlineStr">
        <is>
          <t>EQUIPAMENTO</t>
        </is>
      </c>
      <c r="B6" s="11" t="inlineStr">
        <is>
          <t>EQ-E0001</t>
        </is>
      </c>
      <c r="C6" s="11" t="inlineStr">
        <is>
          <t>Automóvel (veículo leve)</t>
        </is>
      </c>
      <c r="D6" s="18" t="inlineStr">
        <is>
          <t>—</t>
        </is>
      </c>
      <c r="E6" s="16" t="n">
        <v>1</v>
      </c>
      <c r="F6" s="17" t="n">
        <v>3872</v>
      </c>
      <c r="G6" s="17">
        <f>E6*F6</f>
        <v/>
      </c>
      <c r="H6" s="16" t="n">
        <v>5.98</v>
      </c>
      <c r="I6" s="17">
        <f>G6*H6</f>
        <v/>
      </c>
    </row>
    <row r="7">
      <c r="A7" s="19" t="inlineStr">
        <is>
          <t>COMBUSTÍVEL</t>
        </is>
      </c>
      <c r="B7" s="11" t="inlineStr">
        <is>
          <t>EQ-E0001</t>
        </is>
      </c>
      <c r="C7" s="11" t="inlineStr">
        <is>
          <t>Diesel S-10 (0.8 L/h)</t>
        </is>
      </c>
      <c r="D7" s="18" t="inlineStr">
        <is>
          <t>—</t>
        </is>
      </c>
      <c r="E7" s="16" t="n">
        <v>1</v>
      </c>
      <c r="F7" s="17" t="n">
        <v>1020.34</v>
      </c>
      <c r="G7" s="17">
        <f>E7*F7</f>
        <v/>
      </c>
      <c r="H7" s="16" t="n">
        <v>5.98</v>
      </c>
      <c r="I7" s="17">
        <f>G7*H7</f>
        <v/>
      </c>
    </row>
    <row r="8">
      <c r="A8" s="20" t="inlineStr">
        <is>
          <t>Subtotal eap-3_1</t>
        </is>
      </c>
      <c r="B8" s="21" t="n"/>
      <c r="C8" s="21" t="n"/>
      <c r="D8" s="21" t="n"/>
      <c r="E8" s="21" t="n"/>
      <c r="F8" s="21" t="n"/>
      <c r="G8" s="22">
        <f>SUM(G4:G7)</f>
        <v/>
      </c>
      <c r="H8" s="23" t="n">
        <v>5.98</v>
      </c>
      <c r="I8" s="22">
        <f>SUM(I4:I7)</f>
        <v/>
      </c>
    </row>
    <row r="9">
      <c r="A9" s="9" t="inlineStr">
        <is>
          <t>eap-1_2 — Supressão vegetal, destocamento e limpeza de árvores, arbustos, vegetação rasteira e entulhos com remoção para área de depósito - DMT até 350m</t>
        </is>
      </c>
    </row>
    <row r="10">
      <c r="A10" s="13" t="inlineStr">
        <is>
          <t>MÃO DE OBRA</t>
        </is>
      </c>
      <c r="B10" s="13" t="inlineStr">
        <is>
          <t>MO-OPER-ESCAV</t>
        </is>
      </c>
      <c r="C10" s="13" t="inlineStr">
        <is>
          <t>Operador de Escavadeira</t>
        </is>
      </c>
      <c r="D10" s="24" t="inlineStr">
        <is>
          <t>DIRETO</t>
        </is>
      </c>
      <c r="E10" s="25" t="n">
        <v>1</v>
      </c>
      <c r="F10" s="26" t="n">
        <v>12875</v>
      </c>
      <c r="G10" s="26">
        <f>E10*F10</f>
        <v/>
      </c>
      <c r="H10" s="25" t="n">
        <v>5.98</v>
      </c>
      <c r="I10" s="26">
        <f>G10*H10</f>
        <v/>
      </c>
    </row>
    <row r="11">
      <c r="A11" s="13" t="inlineStr">
        <is>
          <t>MÃO DE OBRA</t>
        </is>
      </c>
      <c r="B11" s="13" t="inlineStr">
        <is>
          <t>MO-OPER-TRATOR-EST</t>
        </is>
      </c>
      <c r="C11" s="13" t="inlineStr">
        <is>
          <t>Operador de Trator de Esteiras</t>
        </is>
      </c>
      <c r="D11" s="24" t="inlineStr">
        <is>
          <t>DIRETO</t>
        </is>
      </c>
      <c r="E11" s="25" t="n">
        <v>1</v>
      </c>
      <c r="F11" s="26" t="n">
        <v>12875</v>
      </c>
      <c r="G11" s="26">
        <f>E11*F11</f>
        <v/>
      </c>
      <c r="H11" s="25" t="n">
        <v>5.98</v>
      </c>
      <c r="I11" s="26">
        <f>G11*H11</f>
        <v/>
      </c>
    </row>
    <row r="12">
      <c r="A12" s="13" t="inlineStr">
        <is>
          <t>MÃO DE OBRA</t>
        </is>
      </c>
      <c r="B12" s="13" t="inlineStr">
        <is>
          <t>MO-AJUDANTE</t>
        </is>
      </c>
      <c r="C12" s="13" t="inlineStr">
        <is>
          <t>Ajudante</t>
        </is>
      </c>
      <c r="D12" s="24" t="inlineStr">
        <is>
          <t>DIRETO</t>
        </is>
      </c>
      <c r="E12" s="25" t="n">
        <v>3</v>
      </c>
      <c r="F12" s="26" t="n">
        <v>5261.65</v>
      </c>
      <c r="G12" s="26">
        <f>E12*F12</f>
        <v/>
      </c>
      <c r="H12" s="25" t="n">
        <v>5.98</v>
      </c>
      <c r="I12" s="26">
        <f>G12*H12</f>
        <v/>
      </c>
    </row>
    <row r="13">
      <c r="A13" s="13" t="inlineStr">
        <is>
          <t>EQUIPAMENTO</t>
        </is>
      </c>
      <c r="B13" s="13" t="inlineStr">
        <is>
          <t>EQ-E0016</t>
        </is>
      </c>
      <c r="C13" s="13" t="inlineStr">
        <is>
          <t>Escavadeira Hidráulica 22t</t>
        </is>
      </c>
      <c r="D13" s="27" t="inlineStr">
        <is>
          <t>—</t>
        </is>
      </c>
      <c r="E13" s="25" t="n">
        <v>1</v>
      </c>
      <c r="F13" s="26" t="n">
        <v>35639.3</v>
      </c>
      <c r="G13" s="26">
        <f>E13*F13</f>
        <v/>
      </c>
      <c r="H13" s="25" t="n">
        <v>5.98</v>
      </c>
      <c r="I13" s="26">
        <f>G13*H13</f>
        <v/>
      </c>
    </row>
    <row r="14">
      <c r="A14" s="13" t="inlineStr">
        <is>
          <t>EQUIPAMENTO</t>
        </is>
      </c>
      <c r="B14" s="13" t="inlineStr">
        <is>
          <t>EQ-E0024</t>
        </is>
      </c>
      <c r="C14" s="13" t="inlineStr">
        <is>
          <t>Trator de Esteiras 20t (300HP)</t>
        </is>
      </c>
      <c r="D14" s="27" t="inlineStr">
        <is>
          <t>—</t>
        </is>
      </c>
      <c r="E14" s="25" t="n">
        <v>1</v>
      </c>
      <c r="F14" s="26" t="n">
        <v>49477.12</v>
      </c>
      <c r="G14" s="26">
        <f>E14*F14</f>
        <v/>
      </c>
      <c r="H14" s="25" t="n">
        <v>5.98</v>
      </c>
      <c r="I14" s="26">
        <f>G14*H14</f>
        <v/>
      </c>
    </row>
    <row r="15">
      <c r="A15" s="28" t="inlineStr">
        <is>
          <t>COMBUSTÍVEL</t>
        </is>
      </c>
      <c r="B15" s="13" t="inlineStr">
        <is>
          <t>EQ-E0024</t>
        </is>
      </c>
      <c r="C15" s="13" t="inlineStr">
        <is>
          <t>Diesel S-10 (18.0 L/h)</t>
        </is>
      </c>
      <c r="D15" s="27" t="inlineStr">
        <is>
          <t>—</t>
        </is>
      </c>
      <c r="E15" s="25" t="n">
        <v>1</v>
      </c>
      <c r="F15" s="26" t="n">
        <v>22957.71</v>
      </c>
      <c r="G15" s="26">
        <f>E15*F15</f>
        <v/>
      </c>
      <c r="H15" s="25" t="n">
        <v>5.98</v>
      </c>
      <c r="I15" s="26">
        <f>G15*H15</f>
        <v/>
      </c>
    </row>
    <row r="16">
      <c r="A16" s="20" t="inlineStr">
        <is>
          <t>Subtotal eap-1_2</t>
        </is>
      </c>
      <c r="B16" s="21" t="n"/>
      <c r="C16" s="21" t="n"/>
      <c r="D16" s="21" t="n"/>
      <c r="E16" s="21" t="n"/>
      <c r="F16" s="21" t="n"/>
      <c r="G16" s="22">
        <f>SUM(G10:G15)</f>
        <v/>
      </c>
      <c r="H16" s="23" t="n">
        <v>5.98</v>
      </c>
      <c r="I16" s="22">
        <f>SUM(I10:I15)</f>
        <v/>
      </c>
    </row>
    <row r="17">
      <c r="A17" s="9" t="inlineStr">
        <is>
          <t>eap-1_1 — Supressão vegetal com ou sem destocamento de vegetação com Ø =&lt; 30cm, assim como remoção de arbustos, vegetação rasteira e limpeza para a área de depósito - DMT até 350m - ALTA</t>
        </is>
      </c>
    </row>
    <row r="18">
      <c r="A18" s="11" t="inlineStr">
        <is>
          <t>MÃO DE OBRA</t>
        </is>
      </c>
      <c r="B18" s="11" t="inlineStr">
        <is>
          <t>MO-OPER-ESCAV</t>
        </is>
      </c>
      <c r="C18" s="11" t="inlineStr">
        <is>
          <t>Operador de Escavadeira</t>
        </is>
      </c>
      <c r="D18" s="15" t="inlineStr">
        <is>
          <t>DIRETO</t>
        </is>
      </c>
      <c r="E18" s="16" t="n">
        <v>1</v>
      </c>
      <c r="F18" s="17" t="n">
        <v>12875</v>
      </c>
      <c r="G18" s="17">
        <f>E18*F18</f>
        <v/>
      </c>
      <c r="H18" s="16" t="n">
        <v>5.98</v>
      </c>
      <c r="I18" s="17">
        <f>G18*H18</f>
        <v/>
      </c>
    </row>
    <row r="19">
      <c r="A19" s="11" t="inlineStr">
        <is>
          <t>MÃO DE OBRA</t>
        </is>
      </c>
      <c r="B19" s="11" t="inlineStr">
        <is>
          <t>MO-OPER-TRATOR-EST</t>
        </is>
      </c>
      <c r="C19" s="11" t="inlineStr">
        <is>
          <t>Operador de Trator de Esteiras</t>
        </is>
      </c>
      <c r="D19" s="15" t="inlineStr">
        <is>
          <t>DIRETO</t>
        </is>
      </c>
      <c r="E19" s="16" t="n">
        <v>1</v>
      </c>
      <c r="F19" s="17" t="n">
        <v>12875</v>
      </c>
      <c r="G19" s="17">
        <f>E19*F19</f>
        <v/>
      </c>
      <c r="H19" s="16" t="n">
        <v>5.98</v>
      </c>
      <c r="I19" s="17">
        <f>G19*H19</f>
        <v/>
      </c>
    </row>
    <row r="20">
      <c r="A20" s="11" t="inlineStr">
        <is>
          <t>MÃO DE OBRA</t>
        </is>
      </c>
      <c r="B20" s="11" t="inlineStr">
        <is>
          <t>MO-AJUDANTE</t>
        </is>
      </c>
      <c r="C20" s="11" t="inlineStr">
        <is>
          <t>Ajudante</t>
        </is>
      </c>
      <c r="D20" s="15" t="inlineStr">
        <is>
          <t>DIRETO</t>
        </is>
      </c>
      <c r="E20" s="16" t="n">
        <v>3</v>
      </c>
      <c r="F20" s="17" t="n">
        <v>5261.65</v>
      </c>
      <c r="G20" s="17">
        <f>E20*F20</f>
        <v/>
      </c>
      <c r="H20" s="16" t="n">
        <v>5.98</v>
      </c>
      <c r="I20" s="17">
        <f>G20*H20</f>
        <v/>
      </c>
    </row>
    <row r="21">
      <c r="A21" s="11" t="inlineStr">
        <is>
          <t>EQUIPAMENTO</t>
        </is>
      </c>
      <c r="B21" s="11" t="inlineStr">
        <is>
          <t>EQ-E0016</t>
        </is>
      </c>
      <c r="C21" s="11" t="inlineStr">
        <is>
          <t>Escavadeira Hidráulica 22t</t>
        </is>
      </c>
      <c r="D21" s="18" t="inlineStr">
        <is>
          <t>—</t>
        </is>
      </c>
      <c r="E21" s="16" t="n">
        <v>1</v>
      </c>
      <c r="F21" s="17" t="n">
        <v>35639.3</v>
      </c>
      <c r="G21" s="17">
        <f>E21*F21</f>
        <v/>
      </c>
      <c r="H21" s="16" t="n">
        <v>5.98</v>
      </c>
      <c r="I21" s="17">
        <f>G21*H21</f>
        <v/>
      </c>
    </row>
    <row r="22">
      <c r="A22" s="11" t="inlineStr">
        <is>
          <t>EQUIPAMENTO</t>
        </is>
      </c>
      <c r="B22" s="11" t="inlineStr">
        <is>
          <t>EQ-E0024</t>
        </is>
      </c>
      <c r="C22" s="11" t="inlineStr">
        <is>
          <t>Trator de Esteiras 20t (300HP)</t>
        </is>
      </c>
      <c r="D22" s="18" t="inlineStr">
        <is>
          <t>—</t>
        </is>
      </c>
      <c r="E22" s="16" t="n">
        <v>1</v>
      </c>
      <c r="F22" s="17" t="n">
        <v>49477.12</v>
      </c>
      <c r="G22" s="17">
        <f>E22*F22</f>
        <v/>
      </c>
      <c r="H22" s="16" t="n">
        <v>5.98</v>
      </c>
      <c r="I22" s="17">
        <f>G22*H22</f>
        <v/>
      </c>
    </row>
    <row r="23">
      <c r="A23" s="19" t="inlineStr">
        <is>
          <t>COMBUSTÍVEL</t>
        </is>
      </c>
      <c r="B23" s="11" t="inlineStr">
        <is>
          <t>EQ-E0024</t>
        </is>
      </c>
      <c r="C23" s="11" t="inlineStr">
        <is>
          <t>Diesel S-10 (18.0 L/h)</t>
        </is>
      </c>
      <c r="D23" s="18" t="inlineStr">
        <is>
          <t>—</t>
        </is>
      </c>
      <c r="E23" s="16" t="n">
        <v>1</v>
      </c>
      <c r="F23" s="17" t="n">
        <v>22957.71</v>
      </c>
      <c r="G23" s="17">
        <f>E23*F23</f>
        <v/>
      </c>
      <c r="H23" s="16" t="n">
        <v>5.98</v>
      </c>
      <c r="I23" s="17">
        <f>G23*H23</f>
        <v/>
      </c>
    </row>
    <row r="24">
      <c r="A24" s="20" t="inlineStr">
        <is>
          <t>Subtotal eap-1_1</t>
        </is>
      </c>
      <c r="B24" s="21" t="n"/>
      <c r="C24" s="21" t="n"/>
      <c r="D24" s="21" t="n"/>
      <c r="E24" s="21" t="n"/>
      <c r="F24" s="21" t="n"/>
      <c r="G24" s="22">
        <f>SUM(G18:G23)</f>
        <v/>
      </c>
      <c r="H24" s="23" t="n">
        <v>5.98</v>
      </c>
      <c r="I24" s="22">
        <f>SUM(I18:I23)</f>
        <v/>
      </c>
    </row>
    <row r="25">
      <c r="A25" s="9" t="inlineStr">
        <is>
          <t>eap-1_3 — Corte com destocamento de árvores com Ø &gt; 30cm e remoção para a área de depósito - DMT até 1000m</t>
        </is>
      </c>
    </row>
    <row r="26">
      <c r="A26" s="13" t="inlineStr">
        <is>
          <t>MÃO DE OBRA</t>
        </is>
      </c>
      <c r="B26" s="13" t="inlineStr">
        <is>
          <t>MO-OPERADOR-DE-MOTOSCRA</t>
        </is>
      </c>
      <c r="C26" s="13" t="inlineStr">
        <is>
          <t>Operador de Motoscraper</t>
        </is>
      </c>
      <c r="D26" s="24" t="inlineStr">
        <is>
          <t>DIRETO</t>
        </is>
      </c>
      <c r="E26" s="25" t="n">
        <v>1</v>
      </c>
      <c r="F26" s="26" t="n">
        <v>13892.78</v>
      </c>
      <c r="G26" s="26">
        <f>E26*F26</f>
        <v/>
      </c>
      <c r="H26" s="25" t="n">
        <v>5.98</v>
      </c>
      <c r="I26" s="26">
        <f>G26*H26</f>
        <v/>
      </c>
    </row>
    <row r="27">
      <c r="A27" s="13" t="inlineStr">
        <is>
          <t>MÃO DE OBRA</t>
        </is>
      </c>
      <c r="B27" s="13" t="inlineStr">
        <is>
          <t>MO-AJUDANTE</t>
        </is>
      </c>
      <c r="C27" s="13" t="inlineStr">
        <is>
          <t>Ajudante</t>
        </is>
      </c>
      <c r="D27" s="24" t="inlineStr">
        <is>
          <t>DIRETO</t>
        </is>
      </c>
      <c r="E27" s="25" t="n">
        <v>3</v>
      </c>
      <c r="F27" s="26" t="n">
        <v>5261.65</v>
      </c>
      <c r="G27" s="26">
        <f>E27*F27</f>
        <v/>
      </c>
      <c r="H27" s="25" t="n">
        <v>5.98</v>
      </c>
      <c r="I27" s="26">
        <f>G27*H27</f>
        <v/>
      </c>
    </row>
    <row r="28">
      <c r="A28" s="13" t="inlineStr">
        <is>
          <t>EQUIPAMENTO</t>
        </is>
      </c>
      <c r="B28" s="13" t="inlineStr">
        <is>
          <t>EQ-E0031</t>
        </is>
      </c>
      <c r="C28" s="13" t="inlineStr">
        <is>
          <t>Spread</t>
        </is>
      </c>
      <c r="D28" s="27" t="inlineStr">
        <is>
          <t>—</t>
        </is>
      </c>
      <c r="E28" s="25" t="n">
        <v>2</v>
      </c>
      <c r="F28" s="26" t="n">
        <v>6336</v>
      </c>
      <c r="G28" s="26">
        <f>E28*F28</f>
        <v/>
      </c>
      <c r="H28" s="25" t="n">
        <v>5.98</v>
      </c>
      <c r="I28" s="26">
        <f>G28*H28</f>
        <v/>
      </c>
    </row>
    <row r="29">
      <c r="A29" s="28" t="inlineStr">
        <is>
          <t>COMBUSTÍVEL</t>
        </is>
      </c>
      <c r="B29" s="13" t="inlineStr">
        <is>
          <t>EQ-E0031</t>
        </is>
      </c>
      <c r="C29" s="13" t="inlineStr">
        <is>
          <t>Diesel S-10 (2.0 L/h)</t>
        </is>
      </c>
      <c r="D29" s="27" t="inlineStr">
        <is>
          <t>—</t>
        </is>
      </c>
      <c r="E29" s="25" t="n">
        <v>2</v>
      </c>
      <c r="F29" s="26" t="n">
        <v>2550.86</v>
      </c>
      <c r="G29" s="26">
        <f>E29*F29</f>
        <v/>
      </c>
      <c r="H29" s="25" t="n">
        <v>5.98</v>
      </c>
      <c r="I29" s="26">
        <f>G29*H29</f>
        <v/>
      </c>
    </row>
    <row r="30">
      <c r="A30" s="20" t="inlineStr">
        <is>
          <t>Subtotal eap-1_3</t>
        </is>
      </c>
      <c r="B30" s="21" t="n"/>
      <c r="C30" s="21" t="n"/>
      <c r="D30" s="21" t="n"/>
      <c r="E30" s="21" t="n"/>
      <c r="F30" s="21" t="n"/>
      <c r="G30" s="22">
        <f>SUM(G26:G29)</f>
        <v/>
      </c>
      <c r="H30" s="23" t="n">
        <v>5.98</v>
      </c>
      <c r="I30" s="22">
        <f>SUM(I26:I29)</f>
        <v/>
      </c>
    </row>
    <row r="31">
      <c r="A31" s="9" t="inlineStr">
        <is>
          <t>eap-2_1 — Fornecimento e Instalação de Mata burro (padrão VALEC)</t>
        </is>
      </c>
    </row>
    <row r="32">
      <c r="A32" s="11" t="inlineStr">
        <is>
          <t>MÃO DE OBRA</t>
        </is>
      </c>
      <c r="B32" s="11" t="inlineStr">
        <is>
          <t>MO-OFICIAL</t>
        </is>
      </c>
      <c r="C32" s="11" t="inlineStr">
        <is>
          <t>Oficial</t>
        </is>
      </c>
      <c r="D32" s="15" t="inlineStr">
        <is>
          <t>DIRETO</t>
        </is>
      </c>
      <c r="E32" s="16" t="n">
        <v>2</v>
      </c>
      <c r="F32" s="17" t="n">
        <v>7926.47</v>
      </c>
      <c r="G32" s="17">
        <f>E32*F32</f>
        <v/>
      </c>
      <c r="H32" s="16" t="n">
        <v>5.98</v>
      </c>
      <c r="I32" s="17">
        <f>G32*H32</f>
        <v/>
      </c>
    </row>
    <row r="33">
      <c r="A33" s="11" t="inlineStr">
        <is>
          <t>MÃO DE OBRA</t>
        </is>
      </c>
      <c r="B33" s="11" t="inlineStr">
        <is>
          <t>MO-AJUDANTE</t>
        </is>
      </c>
      <c r="C33" s="11" t="inlineStr">
        <is>
          <t>Ajudante</t>
        </is>
      </c>
      <c r="D33" s="15" t="inlineStr">
        <is>
          <t>DIRETO</t>
        </is>
      </c>
      <c r="E33" s="16" t="n">
        <v>4</v>
      </c>
      <c r="F33" s="17" t="n">
        <v>5261.65</v>
      </c>
      <c r="G33" s="17">
        <f>E33*F33</f>
        <v/>
      </c>
      <c r="H33" s="16" t="n">
        <v>5.98</v>
      </c>
      <c r="I33" s="17">
        <f>G33*H33</f>
        <v/>
      </c>
    </row>
    <row r="34">
      <c r="A34" s="11" t="inlineStr">
        <is>
          <t>EQUIPAMENTO</t>
        </is>
      </c>
      <c r="B34" s="11" t="inlineStr">
        <is>
          <t>EQ-CAM-MUNCK-23T</t>
        </is>
      </c>
      <c r="C34" s="11" t="inlineStr">
        <is>
          <t>Caminhão munck 23T</t>
        </is>
      </c>
      <c r="D34" s="18" t="inlineStr">
        <is>
          <t>—</t>
        </is>
      </c>
      <c r="E34" s="16" t="n">
        <v>1</v>
      </c>
      <c r="F34" s="17" t="n">
        <v>30800</v>
      </c>
      <c r="G34" s="17">
        <f>E34*F34</f>
        <v/>
      </c>
      <c r="H34" s="16" t="n">
        <v>5.98</v>
      </c>
      <c r="I34" s="17">
        <f>G34*H34</f>
        <v/>
      </c>
    </row>
    <row r="35">
      <c r="A35" s="19" t="inlineStr">
        <is>
          <t>COMBUSTÍVEL</t>
        </is>
      </c>
      <c r="B35" s="11" t="inlineStr">
        <is>
          <t>EQ-CAM-MUNCK-23T</t>
        </is>
      </c>
      <c r="C35" s="11" t="inlineStr">
        <is>
          <t>Diesel S-10 (3.0 L/h)</t>
        </is>
      </c>
      <c r="D35" s="18" t="inlineStr">
        <is>
          <t>—</t>
        </is>
      </c>
      <c r="E35" s="16" t="n">
        <v>1</v>
      </c>
      <c r="F35" s="17" t="n">
        <v>3826.29</v>
      </c>
      <c r="G35" s="17">
        <f>E35*F35</f>
        <v/>
      </c>
      <c r="H35" s="16" t="n">
        <v>5.98</v>
      </c>
      <c r="I35" s="17">
        <f>G35*H35</f>
        <v/>
      </c>
    </row>
    <row r="36">
      <c r="A36" s="20" t="inlineStr">
        <is>
          <t>Subtotal eap-2_1</t>
        </is>
      </c>
      <c r="B36" s="21" t="n"/>
      <c r="C36" s="21" t="n"/>
      <c r="D36" s="21" t="n"/>
      <c r="E36" s="21" t="n"/>
      <c r="F36" s="21" t="n"/>
      <c r="G36" s="22">
        <f>SUM(G32:G35)</f>
        <v/>
      </c>
      <c r="H36" s="23" t="n">
        <v>5.98</v>
      </c>
      <c r="I36" s="22">
        <f>SUM(I32:I35)</f>
        <v/>
      </c>
    </row>
    <row r="37">
      <c r="A37" s="9" t="inlineStr">
        <is>
          <t>eap-3_3 — Cerca arame liso (5 fios) com mourão de eucalipto e mourão de madeira a cada 4,0 m e esticador a cada 50 m executada em solos compostos por material de 1ª e 2ª categoria</t>
        </is>
      </c>
    </row>
    <row r="38">
      <c r="A38" s="13" t="inlineStr">
        <is>
          <t>MÃO DE OBRA</t>
        </is>
      </c>
      <c r="B38" s="13" t="inlineStr">
        <is>
          <t>MO-ENCARREG-TERRA</t>
        </is>
      </c>
      <c r="C38" s="13" t="inlineStr">
        <is>
          <t>Encarregado de Terraplenagem</t>
        </is>
      </c>
      <c r="D38" s="24" t="inlineStr">
        <is>
          <t>DIRETO</t>
        </is>
      </c>
      <c r="E38" s="25" t="n">
        <v>1</v>
      </c>
      <c r="F38" s="26" t="n">
        <v>11549.8</v>
      </c>
      <c r="G38" s="26">
        <f>E38*F38</f>
        <v/>
      </c>
      <c r="H38" s="25" t="n">
        <v>5.98</v>
      </c>
      <c r="I38" s="26">
        <f>G38*H38</f>
        <v/>
      </c>
    </row>
    <row r="39">
      <c r="A39" s="13" t="inlineStr">
        <is>
          <t>MÃO DE OBRA</t>
        </is>
      </c>
      <c r="B39" s="13" t="inlineStr">
        <is>
          <t>MO-CERQUEIRO</t>
        </is>
      </c>
      <c r="C39" s="13" t="inlineStr">
        <is>
          <t>Cerqueiro</t>
        </is>
      </c>
      <c r="D39" s="24" t="inlineStr">
        <is>
          <t>DIRETO</t>
        </is>
      </c>
      <c r="E39" s="25" t="n">
        <v>3</v>
      </c>
      <c r="F39" s="26" t="n">
        <v>9901.17</v>
      </c>
      <c r="G39" s="26">
        <f>E39*F39</f>
        <v/>
      </c>
      <c r="H39" s="25" t="n">
        <v>5.98</v>
      </c>
      <c r="I39" s="26">
        <f>G39*H39</f>
        <v/>
      </c>
    </row>
    <row r="40">
      <c r="A40" s="13" t="inlineStr">
        <is>
          <t>EQUIPAMENTO</t>
        </is>
      </c>
      <c r="B40" s="13" t="inlineStr">
        <is>
          <t>EQ-E0001</t>
        </is>
      </c>
      <c r="C40" s="13" t="inlineStr">
        <is>
          <t>Automóvel (veículo leve)</t>
        </is>
      </c>
      <c r="D40" s="27" t="inlineStr">
        <is>
          <t>—</t>
        </is>
      </c>
      <c r="E40" s="25" t="n">
        <v>1</v>
      </c>
      <c r="F40" s="26" t="n">
        <v>3872</v>
      </c>
      <c r="G40" s="26">
        <f>E40*F40</f>
        <v/>
      </c>
      <c r="H40" s="25" t="n">
        <v>5.98</v>
      </c>
      <c r="I40" s="26">
        <f>G40*H40</f>
        <v/>
      </c>
    </row>
    <row r="41">
      <c r="A41" s="28" t="inlineStr">
        <is>
          <t>COMBUSTÍVEL</t>
        </is>
      </c>
      <c r="B41" s="13" t="inlineStr">
        <is>
          <t>EQ-E0001</t>
        </is>
      </c>
      <c r="C41" s="13" t="inlineStr">
        <is>
          <t>Diesel S-10 (0.8 L/h)</t>
        </is>
      </c>
      <c r="D41" s="27" t="inlineStr">
        <is>
          <t>—</t>
        </is>
      </c>
      <c r="E41" s="25" t="n">
        <v>1</v>
      </c>
      <c r="F41" s="26" t="n">
        <v>1020.34</v>
      </c>
      <c r="G41" s="26">
        <f>E41*F41</f>
        <v/>
      </c>
      <c r="H41" s="25" t="n">
        <v>5.98</v>
      </c>
      <c r="I41" s="26">
        <f>G41*H41</f>
        <v/>
      </c>
    </row>
    <row r="42">
      <c r="A42" s="20" t="inlineStr">
        <is>
          <t>Subtotal eap-3_3</t>
        </is>
      </c>
      <c r="B42" s="21" t="n"/>
      <c r="C42" s="21" t="n"/>
      <c r="D42" s="21" t="n"/>
      <c r="E42" s="21" t="n"/>
      <c r="F42" s="21" t="n"/>
      <c r="G42" s="22">
        <f>SUM(G38:G41)</f>
        <v/>
      </c>
      <c r="H42" s="23" t="n">
        <v>5.98</v>
      </c>
      <c r="I42" s="22">
        <f>SUM(I38:I41)</f>
        <v/>
      </c>
    </row>
    <row r="43">
      <c r="A43" s="9" t="inlineStr">
        <is>
          <t>eap-3_6 — Remoção de cerca de mourão de madeira</t>
        </is>
      </c>
    </row>
    <row r="44">
      <c r="A44" s="11" t="inlineStr">
        <is>
          <t>MÃO DE OBRA</t>
        </is>
      </c>
      <c r="B44" s="11" t="inlineStr">
        <is>
          <t>MO-ENCARREG-TERRA</t>
        </is>
      </c>
      <c r="C44" s="11" t="inlineStr">
        <is>
          <t>Encarregado de Terraplenagem</t>
        </is>
      </c>
      <c r="D44" s="15" t="inlineStr">
        <is>
          <t>DIRETO</t>
        </is>
      </c>
      <c r="E44" s="16" t="n">
        <v>1</v>
      </c>
      <c r="F44" s="17" t="n">
        <v>11549.8</v>
      </c>
      <c r="G44" s="17">
        <f>E44*F44</f>
        <v/>
      </c>
      <c r="H44" s="16" t="n">
        <v>5.98</v>
      </c>
      <c r="I44" s="17">
        <f>G44*H44</f>
        <v/>
      </c>
    </row>
    <row r="45">
      <c r="A45" s="11" t="inlineStr">
        <is>
          <t>MÃO DE OBRA</t>
        </is>
      </c>
      <c r="B45" s="11" t="inlineStr">
        <is>
          <t>MO-AJUDANTE</t>
        </is>
      </c>
      <c r="C45" s="11" t="inlineStr">
        <is>
          <t>Ajudante</t>
        </is>
      </c>
      <c r="D45" s="15" t="inlineStr">
        <is>
          <t>DIRETO</t>
        </is>
      </c>
      <c r="E45" s="16" t="n">
        <v>2</v>
      </c>
      <c r="F45" s="17" t="n">
        <v>5261.65</v>
      </c>
      <c r="G45" s="17">
        <f>E45*F45</f>
        <v/>
      </c>
      <c r="H45" s="16" t="n">
        <v>5.98</v>
      </c>
      <c r="I45" s="17">
        <f>G45*H45</f>
        <v/>
      </c>
    </row>
    <row r="46">
      <c r="A46" s="11" t="inlineStr">
        <is>
          <t>EQUIPAMENTO</t>
        </is>
      </c>
      <c r="B46" s="11" t="inlineStr">
        <is>
          <t>EQ-E0001</t>
        </is>
      </c>
      <c r="C46" s="11" t="inlineStr">
        <is>
          <t>Automóvel (veículo leve)</t>
        </is>
      </c>
      <c r="D46" s="18" t="inlineStr">
        <is>
          <t>—</t>
        </is>
      </c>
      <c r="E46" s="16" t="n">
        <v>1</v>
      </c>
      <c r="F46" s="17" t="n">
        <v>3872</v>
      </c>
      <c r="G46" s="17">
        <f>E46*F46</f>
        <v/>
      </c>
      <c r="H46" s="16" t="n">
        <v>5.98</v>
      </c>
      <c r="I46" s="17">
        <f>G46*H46</f>
        <v/>
      </c>
    </row>
    <row r="47">
      <c r="A47" s="19" t="inlineStr">
        <is>
          <t>COMBUSTÍVEL</t>
        </is>
      </c>
      <c r="B47" s="11" t="inlineStr">
        <is>
          <t>EQ-E0001</t>
        </is>
      </c>
      <c r="C47" s="11" t="inlineStr">
        <is>
          <t>Diesel S-10 (0.8 L/h)</t>
        </is>
      </c>
      <c r="D47" s="18" t="inlineStr">
        <is>
          <t>—</t>
        </is>
      </c>
      <c r="E47" s="16" t="n">
        <v>1</v>
      </c>
      <c r="F47" s="17" t="n">
        <v>1020.34</v>
      </c>
      <c r="G47" s="17">
        <f>E47*F47</f>
        <v/>
      </c>
      <c r="H47" s="16" t="n">
        <v>5.98</v>
      </c>
      <c r="I47" s="17">
        <f>G47*H47</f>
        <v/>
      </c>
    </row>
    <row r="48">
      <c r="A48" s="20" t="inlineStr">
        <is>
          <t>Subtotal eap-3_6</t>
        </is>
      </c>
      <c r="B48" s="21" t="n"/>
      <c r="C48" s="21" t="n"/>
      <c r="D48" s="21" t="n"/>
      <c r="E48" s="21" t="n"/>
      <c r="F48" s="21" t="n"/>
      <c r="G48" s="22">
        <f>SUM(G44:G47)</f>
        <v/>
      </c>
      <c r="H48" s="23" t="n">
        <v>5.98</v>
      </c>
      <c r="I48" s="22">
        <f>SUM(I44:I47)</f>
        <v/>
      </c>
    </row>
    <row r="49">
      <c r="A49" s="9" t="inlineStr">
        <is>
          <t>eap-5_1 — Abertura de acesso para implantação de cerca</t>
        </is>
      </c>
    </row>
    <row r="50">
      <c r="A50" s="13" t="inlineStr">
        <is>
          <t>MÃO DE OBRA</t>
        </is>
      </c>
      <c r="B50" s="13" t="inlineStr">
        <is>
          <t>MO-ENCARREG-TERRA</t>
        </is>
      </c>
      <c r="C50" s="13" t="inlineStr">
        <is>
          <t>Encarregado de Terraplenagem</t>
        </is>
      </c>
      <c r="D50" s="24" t="inlineStr">
        <is>
          <t>DIRETO</t>
        </is>
      </c>
      <c r="E50" s="25" t="n">
        <v>1</v>
      </c>
      <c r="F50" s="26" t="n">
        <v>11549.8</v>
      </c>
      <c r="G50" s="26">
        <f>E50*F50</f>
        <v/>
      </c>
      <c r="H50" s="25" t="n">
        <v>5.98</v>
      </c>
      <c r="I50" s="26">
        <f>G50*H50</f>
        <v/>
      </c>
    </row>
    <row r="51">
      <c r="A51" s="13" t="inlineStr">
        <is>
          <t>MÃO DE OBRA</t>
        </is>
      </c>
      <c r="B51" s="13" t="inlineStr">
        <is>
          <t>MO-CERQUEIRO</t>
        </is>
      </c>
      <c r="C51" s="13" t="inlineStr">
        <is>
          <t>Cerqueiro</t>
        </is>
      </c>
      <c r="D51" s="24" t="inlineStr">
        <is>
          <t>DIRETO</t>
        </is>
      </c>
      <c r="E51" s="25" t="n">
        <v>3</v>
      </c>
      <c r="F51" s="26" t="n">
        <v>9901.17</v>
      </c>
      <c r="G51" s="26">
        <f>E51*F51</f>
        <v/>
      </c>
      <c r="H51" s="25" t="n">
        <v>5.98</v>
      </c>
      <c r="I51" s="26">
        <f>G51*H51</f>
        <v/>
      </c>
    </row>
    <row r="52">
      <c r="A52" s="13" t="inlineStr">
        <is>
          <t>EQUIPAMENTO</t>
        </is>
      </c>
      <c r="B52" s="13" t="inlineStr">
        <is>
          <t>EQ-E0001</t>
        </is>
      </c>
      <c r="C52" s="13" t="inlineStr">
        <is>
          <t>Automóvel (veículo leve)</t>
        </is>
      </c>
      <c r="D52" s="27" t="inlineStr">
        <is>
          <t>—</t>
        </is>
      </c>
      <c r="E52" s="25" t="n">
        <v>1</v>
      </c>
      <c r="F52" s="26" t="n">
        <v>3872</v>
      </c>
      <c r="G52" s="26">
        <f>E52*F52</f>
        <v/>
      </c>
      <c r="H52" s="25" t="n">
        <v>5.98</v>
      </c>
      <c r="I52" s="26">
        <f>G52*H52</f>
        <v/>
      </c>
    </row>
    <row r="53">
      <c r="A53" s="28" t="inlineStr">
        <is>
          <t>COMBUSTÍVEL</t>
        </is>
      </c>
      <c r="B53" s="13" t="inlineStr">
        <is>
          <t>EQ-E0001</t>
        </is>
      </c>
      <c r="C53" s="13" t="inlineStr">
        <is>
          <t>Diesel S-10 (0.8 L/h)</t>
        </is>
      </c>
      <c r="D53" s="27" t="inlineStr">
        <is>
          <t>—</t>
        </is>
      </c>
      <c r="E53" s="25" t="n">
        <v>1</v>
      </c>
      <c r="F53" s="26" t="n">
        <v>1020.34</v>
      </c>
      <c r="G53" s="26">
        <f>E53*F53</f>
        <v/>
      </c>
      <c r="H53" s="25" t="n">
        <v>5.98</v>
      </c>
      <c r="I53" s="26">
        <f>G53*H53</f>
        <v/>
      </c>
    </row>
    <row r="54">
      <c r="A54" s="20" t="inlineStr">
        <is>
          <t>Subtotal eap-5_1</t>
        </is>
      </c>
      <c r="B54" s="21" t="n"/>
      <c r="C54" s="21" t="n"/>
      <c r="D54" s="21" t="n"/>
      <c r="E54" s="21" t="n"/>
      <c r="F54" s="21" t="n"/>
      <c r="G54" s="22">
        <f>SUM(G50:G53)</f>
        <v/>
      </c>
      <c r="H54" s="23" t="n">
        <v>5.98</v>
      </c>
      <c r="I54" s="22">
        <f>SUM(I50:I53)</f>
        <v/>
      </c>
    </row>
    <row r="55">
      <c r="A55" s="9" t="inlineStr">
        <is>
          <t>eap-2_3 — Fornecimento e Instalação de Porteira Metálica (padrão VALEC)</t>
        </is>
      </c>
    </row>
    <row r="56">
      <c r="A56" s="11" t="inlineStr">
        <is>
          <t>MÃO DE OBRA</t>
        </is>
      </c>
      <c r="B56" s="11" t="inlineStr">
        <is>
          <t>MO-OFICIAL</t>
        </is>
      </c>
      <c r="C56" s="11" t="inlineStr">
        <is>
          <t>Oficial</t>
        </is>
      </c>
      <c r="D56" s="15" t="inlineStr">
        <is>
          <t>DIRETO</t>
        </is>
      </c>
      <c r="E56" s="16" t="n">
        <v>1</v>
      </c>
      <c r="F56" s="17" t="n">
        <v>7926.47</v>
      </c>
      <c r="G56" s="17">
        <f>E56*F56</f>
        <v/>
      </c>
      <c r="H56" s="16" t="n">
        <v>5.98</v>
      </c>
      <c r="I56" s="17">
        <f>G56*H56</f>
        <v/>
      </c>
    </row>
    <row r="57">
      <c r="A57" s="11" t="inlineStr">
        <is>
          <t>MÃO DE OBRA</t>
        </is>
      </c>
      <c r="B57" s="11" t="inlineStr">
        <is>
          <t>MO-AJUDANTE</t>
        </is>
      </c>
      <c r="C57" s="11" t="inlineStr">
        <is>
          <t>Ajudante</t>
        </is>
      </c>
      <c r="D57" s="15" t="inlineStr">
        <is>
          <t>DIRETO</t>
        </is>
      </c>
      <c r="E57" s="16" t="n">
        <v>2</v>
      </c>
      <c r="F57" s="17" t="n">
        <v>5261.65</v>
      </c>
      <c r="G57" s="17">
        <f>E57*F57</f>
        <v/>
      </c>
      <c r="H57" s="16" t="n">
        <v>5.98</v>
      </c>
      <c r="I57" s="17">
        <f>G57*H57</f>
        <v/>
      </c>
    </row>
    <row r="58">
      <c r="A58" s="20" t="inlineStr">
        <is>
          <t>Subtotal eap-2_3</t>
        </is>
      </c>
      <c r="B58" s="21" t="n"/>
      <c r="C58" s="21" t="n"/>
      <c r="D58" s="21" t="n"/>
      <c r="E58" s="21" t="n"/>
      <c r="F58" s="21" t="n"/>
      <c r="G58" s="22">
        <f>SUM(G56:G57)</f>
        <v/>
      </c>
      <c r="H58" s="23" t="n">
        <v>5.98</v>
      </c>
      <c r="I58" s="22">
        <f>SUM(I56:I57)</f>
        <v/>
      </c>
    </row>
    <row r="59">
      <c r="A59" s="9" t="inlineStr">
        <is>
          <t>eap-4_1 — Implantação do eixo</t>
        </is>
      </c>
    </row>
    <row r="60">
      <c r="A60" s="13" t="inlineStr">
        <is>
          <t>MÃO DE OBRA</t>
        </is>
      </c>
      <c r="B60" s="13" t="inlineStr">
        <is>
          <t>MO-TOPOGRAFO</t>
        </is>
      </c>
      <c r="C60" s="13" t="inlineStr">
        <is>
          <t>Topógrafo</t>
        </is>
      </c>
      <c r="D60" s="24" t="inlineStr">
        <is>
          <t>DIRETO</t>
        </is>
      </c>
      <c r="E60" s="25" t="n">
        <v>1</v>
      </c>
      <c r="F60" s="26" t="n">
        <v>18000</v>
      </c>
      <c r="G60" s="26">
        <f>E60*F60</f>
        <v/>
      </c>
      <c r="H60" s="25" t="n">
        <v>5.98</v>
      </c>
      <c r="I60" s="26">
        <f>G60*H60</f>
        <v/>
      </c>
    </row>
    <row r="61">
      <c r="A61" s="13" t="inlineStr">
        <is>
          <t>MÃO DE OBRA</t>
        </is>
      </c>
      <c r="B61" s="13" t="inlineStr">
        <is>
          <t>MO-AUX-TOPO</t>
        </is>
      </c>
      <c r="C61" s="13" t="inlineStr">
        <is>
          <t>Auxiliar de topografia</t>
        </is>
      </c>
      <c r="D61" s="24" t="inlineStr">
        <is>
          <t>DIRETO</t>
        </is>
      </c>
      <c r="E61" s="25" t="n">
        <v>2</v>
      </c>
      <c r="F61" s="26" t="n">
        <v>5710.32</v>
      </c>
      <c r="G61" s="26">
        <f>E61*F61</f>
        <v/>
      </c>
      <c r="H61" s="25" t="n">
        <v>5.98</v>
      </c>
      <c r="I61" s="26">
        <f>G61*H61</f>
        <v/>
      </c>
    </row>
    <row r="62">
      <c r="A62" s="13" t="inlineStr">
        <is>
          <t>EQUIPAMENTO</t>
        </is>
      </c>
      <c r="B62" s="13" t="inlineStr">
        <is>
          <t>EQ-ESTACAO-TOTAL</t>
        </is>
      </c>
      <c r="C62" s="13" t="inlineStr">
        <is>
          <t>Estação Total</t>
        </is>
      </c>
      <c r="D62" s="27" t="inlineStr">
        <is>
          <t>—</t>
        </is>
      </c>
      <c r="E62" s="25" t="n">
        <v>1</v>
      </c>
      <c r="F62" s="26" t="n">
        <v>2640</v>
      </c>
      <c r="G62" s="26">
        <f>E62*F62</f>
        <v/>
      </c>
      <c r="H62" s="25" t="n">
        <v>5.98</v>
      </c>
      <c r="I62" s="26">
        <f>G62*H62</f>
        <v/>
      </c>
    </row>
    <row r="63">
      <c r="A63" s="20" t="inlineStr">
        <is>
          <t>Subtotal eap-4_1</t>
        </is>
      </c>
      <c r="B63" s="21" t="n"/>
      <c r="C63" s="21" t="n"/>
      <c r="D63" s="21" t="n"/>
      <c r="E63" s="21" t="n"/>
      <c r="F63" s="21" t="n"/>
      <c r="G63" s="22">
        <f>SUM(G60:G62)</f>
        <v/>
      </c>
      <c r="H63" s="23" t="n">
        <v>5.98</v>
      </c>
      <c r="I63" s="22">
        <f>SUM(I60:I62)</f>
        <v/>
      </c>
    </row>
    <row r="64">
      <c r="A64" s="9" t="inlineStr">
        <is>
          <t>eap-3_5 — Cerca arame liso (5 fios) com mourão de eucalipto e mourão de madeira a cada 4,0 m e esticador a cada 50 m executada em solos alagadas</t>
        </is>
      </c>
    </row>
    <row r="65">
      <c r="A65" s="11" t="inlineStr">
        <is>
          <t>MÃO DE OBRA</t>
        </is>
      </c>
      <c r="B65" s="11" t="inlineStr">
        <is>
          <t>MO-ENCARREG-TERRA</t>
        </is>
      </c>
      <c r="C65" s="11" t="inlineStr">
        <is>
          <t>Encarregado de Terraplenagem</t>
        </is>
      </c>
      <c r="D65" s="15" t="inlineStr">
        <is>
          <t>DIRETO</t>
        </is>
      </c>
      <c r="E65" s="16" t="n">
        <v>1</v>
      </c>
      <c r="F65" s="17" t="n">
        <v>11549.8</v>
      </c>
      <c r="G65" s="17">
        <f>E65*F65</f>
        <v/>
      </c>
      <c r="H65" s="16" t="n">
        <v>5.98</v>
      </c>
      <c r="I65" s="17">
        <f>G65*H65</f>
        <v/>
      </c>
    </row>
    <row r="66">
      <c r="A66" s="11" t="inlineStr">
        <is>
          <t>MÃO DE OBRA</t>
        </is>
      </c>
      <c r="B66" s="11" t="inlineStr">
        <is>
          <t>MO-CERQUEIRO</t>
        </is>
      </c>
      <c r="C66" s="11" t="inlineStr">
        <is>
          <t>Cerqueiro</t>
        </is>
      </c>
      <c r="D66" s="15" t="inlineStr">
        <is>
          <t>DIRETO</t>
        </is>
      </c>
      <c r="E66" s="16" t="n">
        <v>3</v>
      </c>
      <c r="F66" s="17" t="n">
        <v>9901.17</v>
      </c>
      <c r="G66" s="17">
        <f>E66*F66</f>
        <v/>
      </c>
      <c r="H66" s="16" t="n">
        <v>5.98</v>
      </c>
      <c r="I66" s="17">
        <f>G66*H66</f>
        <v/>
      </c>
    </row>
    <row r="67">
      <c r="A67" s="11" t="inlineStr">
        <is>
          <t>EQUIPAMENTO</t>
        </is>
      </c>
      <c r="B67" s="11" t="inlineStr">
        <is>
          <t>EQ-E0001</t>
        </is>
      </c>
      <c r="C67" s="11" t="inlineStr">
        <is>
          <t>Automóvel (veículo leve)</t>
        </is>
      </c>
      <c r="D67" s="18" t="inlineStr">
        <is>
          <t>—</t>
        </is>
      </c>
      <c r="E67" s="16" t="n">
        <v>1</v>
      </c>
      <c r="F67" s="17" t="n">
        <v>3872</v>
      </c>
      <c r="G67" s="17">
        <f>E67*F67</f>
        <v/>
      </c>
      <c r="H67" s="16" t="n">
        <v>5.98</v>
      </c>
      <c r="I67" s="17">
        <f>G67*H67</f>
        <v/>
      </c>
    </row>
    <row r="68">
      <c r="A68" s="19" t="inlineStr">
        <is>
          <t>COMBUSTÍVEL</t>
        </is>
      </c>
      <c r="B68" s="11" t="inlineStr">
        <is>
          <t>EQ-E0001</t>
        </is>
      </c>
      <c r="C68" s="11" t="inlineStr">
        <is>
          <t>Diesel S-10 (0.8 L/h)</t>
        </is>
      </c>
      <c r="D68" s="18" t="inlineStr">
        <is>
          <t>—</t>
        </is>
      </c>
      <c r="E68" s="16" t="n">
        <v>1</v>
      </c>
      <c r="F68" s="17" t="n">
        <v>1020.34</v>
      </c>
      <c r="G68" s="17">
        <f>E68*F68</f>
        <v/>
      </c>
      <c r="H68" s="16" t="n">
        <v>5.98</v>
      </c>
      <c r="I68" s="17">
        <f>G68*H68</f>
        <v/>
      </c>
    </row>
    <row r="69">
      <c r="A69" s="20" t="inlineStr">
        <is>
          <t>Subtotal eap-3_5</t>
        </is>
      </c>
      <c r="B69" s="21" t="n"/>
      <c r="C69" s="21" t="n"/>
      <c r="D69" s="21" t="n"/>
      <c r="E69" s="21" t="n"/>
      <c r="F69" s="21" t="n"/>
      <c r="G69" s="22">
        <f>SUM(G65:G68)</f>
        <v/>
      </c>
      <c r="H69" s="23" t="n">
        <v>5.98</v>
      </c>
      <c r="I69" s="22">
        <f>SUM(I65:I68)</f>
        <v/>
      </c>
    </row>
    <row r="70">
      <c r="A70" s="9" t="inlineStr">
        <is>
          <t>eap-3_2 — Cerca arame liso (5 fios) com mourões de concreto, seção quadrada 10 x 10 cm (padrão VALEC) executada em solos alagáveis</t>
        </is>
      </c>
    </row>
    <row r="71">
      <c r="A71" s="13" t="inlineStr">
        <is>
          <t>MÃO DE OBRA</t>
        </is>
      </c>
      <c r="B71" s="13" t="inlineStr">
        <is>
          <t>MO-ENCARREG-TERRA</t>
        </is>
      </c>
      <c r="C71" s="13" t="inlineStr">
        <is>
          <t>Encarregado de Terraplenagem</t>
        </is>
      </c>
      <c r="D71" s="24" t="inlineStr">
        <is>
          <t>DIRETO</t>
        </is>
      </c>
      <c r="E71" s="25" t="n">
        <v>1</v>
      </c>
      <c r="F71" s="26" t="n">
        <v>11549.8</v>
      </c>
      <c r="G71" s="26">
        <f>E71*F71</f>
        <v/>
      </c>
      <c r="H71" s="25" t="n">
        <v>5.98</v>
      </c>
      <c r="I71" s="26">
        <f>G71*H71</f>
        <v/>
      </c>
    </row>
    <row r="72">
      <c r="A72" s="13" t="inlineStr">
        <is>
          <t>MÃO DE OBRA</t>
        </is>
      </c>
      <c r="B72" s="13" t="inlineStr">
        <is>
          <t>MO-CERQUEIRO</t>
        </is>
      </c>
      <c r="C72" s="13" t="inlineStr">
        <is>
          <t>Cerqueiro</t>
        </is>
      </c>
      <c r="D72" s="24" t="inlineStr">
        <is>
          <t>DIRETO</t>
        </is>
      </c>
      <c r="E72" s="25" t="n">
        <v>3</v>
      </c>
      <c r="F72" s="26" t="n">
        <v>9901.17</v>
      </c>
      <c r="G72" s="26">
        <f>E72*F72</f>
        <v/>
      </c>
      <c r="H72" s="25" t="n">
        <v>5.98</v>
      </c>
      <c r="I72" s="26">
        <f>G72*H72</f>
        <v/>
      </c>
    </row>
    <row r="73">
      <c r="A73" s="13" t="inlineStr">
        <is>
          <t>EQUIPAMENTO</t>
        </is>
      </c>
      <c r="B73" s="13" t="inlineStr">
        <is>
          <t>EQ-E0001</t>
        </is>
      </c>
      <c r="C73" s="13" t="inlineStr">
        <is>
          <t>Automóvel (veículo leve)</t>
        </is>
      </c>
      <c r="D73" s="27" t="inlineStr">
        <is>
          <t>—</t>
        </is>
      </c>
      <c r="E73" s="25" t="n">
        <v>1</v>
      </c>
      <c r="F73" s="26" t="n">
        <v>3872</v>
      </c>
      <c r="G73" s="26">
        <f>E73*F73</f>
        <v/>
      </c>
      <c r="H73" s="25" t="n">
        <v>5.98</v>
      </c>
      <c r="I73" s="26">
        <f>G73*H73</f>
        <v/>
      </c>
    </row>
    <row r="74">
      <c r="A74" s="28" t="inlineStr">
        <is>
          <t>COMBUSTÍVEL</t>
        </is>
      </c>
      <c r="B74" s="13" t="inlineStr">
        <is>
          <t>EQ-E0001</t>
        </is>
      </c>
      <c r="C74" s="13" t="inlineStr">
        <is>
          <t>Diesel S-10 (0.8 L/h)</t>
        </is>
      </c>
      <c r="D74" s="27" t="inlineStr">
        <is>
          <t>—</t>
        </is>
      </c>
      <c r="E74" s="25" t="n">
        <v>1</v>
      </c>
      <c r="F74" s="26" t="n">
        <v>1020.34</v>
      </c>
      <c r="G74" s="26">
        <f>E74*F74</f>
        <v/>
      </c>
      <c r="H74" s="25" t="n">
        <v>5.98</v>
      </c>
      <c r="I74" s="26">
        <f>G74*H74</f>
        <v/>
      </c>
    </row>
    <row r="75">
      <c r="A75" s="20" t="inlineStr">
        <is>
          <t>Subtotal eap-3_2</t>
        </is>
      </c>
      <c r="B75" s="21" t="n"/>
      <c r="C75" s="21" t="n"/>
      <c r="D75" s="21" t="n"/>
      <c r="E75" s="21" t="n"/>
      <c r="F75" s="21" t="n"/>
      <c r="G75" s="22">
        <f>SUM(G71:G74)</f>
        <v/>
      </c>
      <c r="H75" s="23" t="n">
        <v>5.98</v>
      </c>
      <c r="I75" s="22">
        <f>SUM(I71:I74)</f>
        <v/>
      </c>
    </row>
    <row r="76">
      <c r="A76" s="9" t="inlineStr">
        <is>
          <t>eap-2_2 — Fornecimento e Instalação de Porteira de Madeira (padrão VALEC)</t>
        </is>
      </c>
    </row>
    <row r="77">
      <c r="A77" s="11" t="inlineStr">
        <is>
          <t>MÃO DE OBRA</t>
        </is>
      </c>
      <c r="B77" s="11" t="inlineStr">
        <is>
          <t>MO-OFICIAL</t>
        </is>
      </c>
      <c r="C77" s="11" t="inlineStr">
        <is>
          <t>Oficial</t>
        </is>
      </c>
      <c r="D77" s="15" t="inlineStr">
        <is>
          <t>DIRETO</t>
        </is>
      </c>
      <c r="E77" s="16" t="n">
        <v>1</v>
      </c>
      <c r="F77" s="17" t="n">
        <v>7926.47</v>
      </c>
      <c r="G77" s="17">
        <f>E77*F77</f>
        <v/>
      </c>
      <c r="H77" s="16" t="n">
        <v>5.98</v>
      </c>
      <c r="I77" s="17">
        <f>G77*H77</f>
        <v/>
      </c>
    </row>
    <row r="78">
      <c r="A78" s="11" t="inlineStr">
        <is>
          <t>MÃO DE OBRA</t>
        </is>
      </c>
      <c r="B78" s="11" t="inlineStr">
        <is>
          <t>MO-AJUDANTE</t>
        </is>
      </c>
      <c r="C78" s="11" t="inlineStr">
        <is>
          <t>Ajudante</t>
        </is>
      </c>
      <c r="D78" s="15" t="inlineStr">
        <is>
          <t>DIRETO</t>
        </is>
      </c>
      <c r="E78" s="16" t="n">
        <v>2</v>
      </c>
      <c r="F78" s="17" t="n">
        <v>5261.65</v>
      </c>
      <c r="G78" s="17">
        <f>E78*F78</f>
        <v/>
      </c>
      <c r="H78" s="16" t="n">
        <v>5.98</v>
      </c>
      <c r="I78" s="17">
        <f>G78*H78</f>
        <v/>
      </c>
    </row>
    <row r="79">
      <c r="A79" s="20" t="inlineStr">
        <is>
          <t>Subtotal eap-2_2</t>
        </is>
      </c>
      <c r="B79" s="21" t="n"/>
      <c r="C79" s="21" t="n"/>
      <c r="D79" s="21" t="n"/>
      <c r="E79" s="21" t="n"/>
      <c r="F79" s="21" t="n"/>
      <c r="G79" s="22">
        <f>SUM(G77:G78)</f>
        <v/>
      </c>
      <c r="H79" s="23" t="n">
        <v>5.98</v>
      </c>
      <c r="I79" s="22">
        <f>SUM(I77:I78)</f>
        <v/>
      </c>
    </row>
    <row r="80">
      <c r="A80" s="9" t="inlineStr">
        <is>
          <t>eap-3_4 — Cerca arame liso (5 fios) com mourão de eucalipto e mourão de madeira a cada 2,5 m e esticador a cada 50 m executada em solos compostos por material de 1ª e 2ª categoria</t>
        </is>
      </c>
    </row>
    <row r="81">
      <c r="A81" s="13" t="inlineStr">
        <is>
          <t>MÃO DE OBRA</t>
        </is>
      </c>
      <c r="B81" s="13" t="inlineStr">
        <is>
          <t>MO-ENCARREG-TERRA</t>
        </is>
      </c>
      <c r="C81" s="13" t="inlineStr">
        <is>
          <t>Encarregado de Terraplenagem</t>
        </is>
      </c>
      <c r="D81" s="24" t="inlineStr">
        <is>
          <t>DIRETO</t>
        </is>
      </c>
      <c r="E81" s="25" t="n">
        <v>1</v>
      </c>
      <c r="F81" s="26" t="n">
        <v>11549.8</v>
      </c>
      <c r="G81" s="26">
        <f>E81*F81</f>
        <v/>
      </c>
      <c r="H81" s="25" t="n">
        <v>5.98</v>
      </c>
      <c r="I81" s="26">
        <f>G81*H81</f>
        <v/>
      </c>
    </row>
    <row r="82">
      <c r="A82" s="13" t="inlineStr">
        <is>
          <t>MÃO DE OBRA</t>
        </is>
      </c>
      <c r="B82" s="13" t="inlineStr">
        <is>
          <t>MO-CERQUEIRO</t>
        </is>
      </c>
      <c r="C82" s="13" t="inlineStr">
        <is>
          <t>Cerqueiro</t>
        </is>
      </c>
      <c r="D82" s="24" t="inlineStr">
        <is>
          <t>DIRETO</t>
        </is>
      </c>
      <c r="E82" s="25" t="n">
        <v>3</v>
      </c>
      <c r="F82" s="26" t="n">
        <v>9901.17</v>
      </c>
      <c r="G82" s="26">
        <f>E82*F82</f>
        <v/>
      </c>
      <c r="H82" s="25" t="n">
        <v>5.98</v>
      </c>
      <c r="I82" s="26">
        <f>G82*H82</f>
        <v/>
      </c>
    </row>
    <row r="83">
      <c r="A83" s="13" t="inlineStr">
        <is>
          <t>EQUIPAMENTO</t>
        </is>
      </c>
      <c r="B83" s="13" t="inlineStr">
        <is>
          <t>EQ-E0001</t>
        </is>
      </c>
      <c r="C83" s="13" t="inlineStr">
        <is>
          <t>Automóvel (veículo leve)</t>
        </is>
      </c>
      <c r="D83" s="27" t="inlineStr">
        <is>
          <t>—</t>
        </is>
      </c>
      <c r="E83" s="25" t="n">
        <v>1</v>
      </c>
      <c r="F83" s="26" t="n">
        <v>3872</v>
      </c>
      <c r="G83" s="26">
        <f>E83*F83</f>
        <v/>
      </c>
      <c r="H83" s="25" t="n">
        <v>5.98</v>
      </c>
      <c r="I83" s="26">
        <f>G83*H83</f>
        <v/>
      </c>
    </row>
    <row r="84">
      <c r="A84" s="28" t="inlineStr">
        <is>
          <t>COMBUSTÍVEL</t>
        </is>
      </c>
      <c r="B84" s="13" t="inlineStr">
        <is>
          <t>EQ-E0001</t>
        </is>
      </c>
      <c r="C84" s="13" t="inlineStr">
        <is>
          <t>Diesel S-10 (0.8 L/h)</t>
        </is>
      </c>
      <c r="D84" s="27" t="inlineStr">
        <is>
          <t>—</t>
        </is>
      </c>
      <c r="E84" s="25" t="n">
        <v>1</v>
      </c>
      <c r="F84" s="26" t="n">
        <v>1020.34</v>
      </c>
      <c r="G84" s="26">
        <f>E84*F84</f>
        <v/>
      </c>
      <c r="H84" s="25" t="n">
        <v>5.98</v>
      </c>
      <c r="I84" s="26">
        <f>G84*H84</f>
        <v/>
      </c>
    </row>
    <row r="85">
      <c r="A85" s="20" t="inlineStr">
        <is>
          <t>Subtotal eap-3_4</t>
        </is>
      </c>
      <c r="B85" s="21" t="n"/>
      <c r="C85" s="21" t="n"/>
      <c r="D85" s="21" t="n"/>
      <c r="E85" s="21" t="n"/>
      <c r="F85" s="21" t="n"/>
      <c r="G85" s="22">
        <f>SUM(G81:G84)</f>
        <v/>
      </c>
      <c r="H85" s="23" t="n">
        <v>5.98</v>
      </c>
      <c r="I85" s="22">
        <f>SUM(I81:I84)</f>
        <v/>
      </c>
    </row>
    <row r="87">
      <c r="A87" s="29" t="inlineStr">
        <is>
          <t>TOTAL DIRETO</t>
        </is>
      </c>
      <c r="I87" s="30">
        <f>I8+I16+I24+I30+I36+I42+I48+I54+I58+I63+I69+I75+I79+I85</f>
        <v/>
      </c>
    </row>
  </sheetData>
  <mergeCells count="16">
    <mergeCell ref="A64:I64"/>
    <mergeCell ref="A59:I59"/>
    <mergeCell ref="A25:I25"/>
    <mergeCell ref="A43:I43"/>
    <mergeCell ref="A49:I49"/>
    <mergeCell ref="A87:H87"/>
    <mergeCell ref="A37:I37"/>
    <mergeCell ref="A76:I76"/>
    <mergeCell ref="A1:I1"/>
    <mergeCell ref="A17:I17"/>
    <mergeCell ref="A9:I9"/>
    <mergeCell ref="A70:I70"/>
    <mergeCell ref="A31:I31"/>
    <mergeCell ref="A3:I3"/>
    <mergeCell ref="A80:I80"/>
    <mergeCell ref="A55:I5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2" topLeftCell="C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6" customWidth="1" min="3" max="3"/>
    <col width="13" customWidth="1" min="4" max="4"/>
    <col width="15" customWidth="1" min="5" max="5"/>
    <col width="15" customWidth="1" min="6" max="6"/>
    <col width="13" customWidth="1" min="7" max="7"/>
    <col width="13" customWidth="1" min="8" max="8"/>
    <col width="17" customWidth="1" min="9" max="9"/>
    <col width="15" customWidth="1" min="10" max="10"/>
    <col width="15" customWidth="1" min="11" max="11"/>
    <col width="13" customWidth="1" min="12" max="12"/>
    <col width="13" customWidth="1" min="13" max="13"/>
    <col width="17" customWidth="1" min="14" max="14"/>
  </cols>
  <sheetData>
    <row r="1">
      <c r="A1" s="1" t="inlineStr">
        <is>
          <t>DIRETOS RESUMIDO — COMPONENTES MO/EQ/COMB/MAT s/BDI e c/BDI</t>
        </is>
      </c>
    </row>
    <row r="2">
      <c r="A2" s="2" t="inlineStr">
        <is>
          <t>Item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Quantitativo</t>
        </is>
      </c>
      <c r="E2" s="2" t="inlineStr">
        <is>
          <t>MO s/BDI</t>
        </is>
      </c>
      <c r="F2" s="2" t="inlineStr">
        <is>
          <t>EQ s/BDI</t>
        </is>
      </c>
      <c r="G2" s="2" t="inlineStr">
        <is>
          <t>Comb. s/BDI</t>
        </is>
      </c>
      <c r="H2" s="2" t="inlineStr">
        <is>
          <t>MAT s/BDI</t>
        </is>
      </c>
      <c r="I2" s="2" t="inlineStr">
        <is>
          <t>Total s/BDI</t>
        </is>
      </c>
      <c r="J2" s="2" t="inlineStr">
        <is>
          <t>MO c/BDI</t>
        </is>
      </c>
      <c r="K2" s="2" t="inlineStr">
        <is>
          <t>EQ c/BDI</t>
        </is>
      </c>
      <c r="L2" s="2" t="inlineStr">
        <is>
          <t>Comb. c/BDI</t>
        </is>
      </c>
      <c r="M2" s="2" t="inlineStr">
        <is>
          <t>MAT c/BDI</t>
        </is>
      </c>
      <c r="N2" s="2" t="inlineStr">
        <is>
          <t>Total c/BDI</t>
        </is>
      </c>
    </row>
    <row r="3">
      <c r="A3" s="31" t="inlineStr">
        <is>
          <t>eap-3_1</t>
        </is>
      </c>
      <c r="B3" s="31" t="inlineStr">
        <is>
          <t>Cerca arame liso (5 fios) com mourões de concreto, seção quadrada 10 x 10 cm (padrão VALEC) executada em solos compostos por material de 1ª e 2ª categoria</t>
        </is>
      </c>
      <c r="C3" s="31" t="inlineStr">
        <is>
          <t>M</t>
        </is>
      </c>
      <c r="D3" s="32" t="n">
        <v>77928.38</v>
      </c>
      <c r="E3" s="33" t="n">
        <v>246694.79</v>
      </c>
      <c r="F3" s="33" t="n">
        <v>23154.56</v>
      </c>
      <c r="G3" s="33" t="n">
        <v>6101.63</v>
      </c>
      <c r="H3" s="33" t="n">
        <v>0</v>
      </c>
      <c r="I3" s="33" t="n">
        <v>275950.99</v>
      </c>
      <c r="J3" s="33" t="n">
        <v>331793.4</v>
      </c>
      <c r="K3" s="33" t="n">
        <v>31141.84</v>
      </c>
      <c r="L3" s="33" t="n">
        <v>8206.42</v>
      </c>
      <c r="M3" s="33" t="n">
        <v>0</v>
      </c>
      <c r="N3" s="33" t="n">
        <v>371141.66</v>
      </c>
    </row>
    <row r="4">
      <c r="A4" s="34" t="inlineStr">
        <is>
          <t>eap-1_2</t>
        </is>
      </c>
      <c r="B4" s="34" t="inlineStr">
        <is>
          <t>Supressão vegetal, destocamento e limpeza de árvores, arbustos, vegetação rasteira e entulhos com remoção para área de depósito - DMT até 350m</t>
        </is>
      </c>
      <c r="C4" s="34" t="inlineStr">
        <is>
          <t>M2</t>
        </is>
      </c>
      <c r="D4" s="35" t="n">
        <v>2036512.35</v>
      </c>
      <c r="E4" s="36" t="n">
        <v>248379</v>
      </c>
      <c r="F4" s="36" t="n">
        <v>508996.19</v>
      </c>
      <c r="G4" s="36" t="n">
        <v>137287.11</v>
      </c>
      <c r="H4" s="36" t="n">
        <v>622683.39</v>
      </c>
      <c r="I4" s="36" t="n">
        <v>1517345.69</v>
      </c>
      <c r="J4" s="36" t="n">
        <v>334058.58</v>
      </c>
      <c r="K4" s="36" t="n">
        <v>684576.97</v>
      </c>
      <c r="L4" s="36" t="n">
        <v>184644.98</v>
      </c>
      <c r="M4" s="36" t="n">
        <v>747220.0699999999</v>
      </c>
      <c r="N4" s="36" t="n">
        <v>1950500.6</v>
      </c>
    </row>
    <row r="5">
      <c r="A5" s="31" t="inlineStr">
        <is>
          <t>eap-1_1</t>
        </is>
      </c>
      <c r="B5" s="31" t="inlineStr">
        <is>
          <t>Supressão vegetal com ou sem destocamento de vegetação com Ø =&lt; 30cm, assim como remoção de arbustos, vegetação rasteira e limpeza para a área de depósito - DMT até 350m - ALTA</t>
        </is>
      </c>
      <c r="C5" s="31" t="inlineStr">
        <is>
          <t>M2</t>
        </is>
      </c>
      <c r="D5" s="32" t="n">
        <v>383592.55</v>
      </c>
      <c r="E5" s="33" t="n">
        <v>248379</v>
      </c>
      <c r="F5" s="33" t="n">
        <v>508996.19</v>
      </c>
      <c r="G5" s="33" t="n">
        <v>137287.11</v>
      </c>
      <c r="H5" s="33" t="n">
        <v>117287.14</v>
      </c>
      <c r="I5" s="33" t="n">
        <v>1011949.44</v>
      </c>
      <c r="J5" s="33" t="n">
        <v>334058.58</v>
      </c>
      <c r="K5" s="33" t="n">
        <v>684576.97</v>
      </c>
      <c r="L5" s="33" t="n">
        <v>184644.98</v>
      </c>
      <c r="M5" s="33" t="n">
        <v>140744.57</v>
      </c>
      <c r="N5" s="33" t="n">
        <v>1344025.1</v>
      </c>
    </row>
    <row r="6">
      <c r="A6" s="34" t="inlineStr">
        <is>
          <t>eap-1_3</t>
        </is>
      </c>
      <c r="B6" s="34" t="inlineStr">
        <is>
          <t>Corte com destocamento de árvores com Ø &gt; 30cm e remoção para a área de depósito - DMT até 1000m</t>
        </is>
      </c>
      <c r="C6" s="34" t="inlineStr">
        <is>
          <t>UNIDADE</t>
        </is>
      </c>
      <c r="D6" s="35" t="n">
        <v>12240.2</v>
      </c>
      <c r="E6" s="36" t="n">
        <v>177472.83</v>
      </c>
      <c r="F6" s="36" t="n">
        <v>75778.56</v>
      </c>
      <c r="G6" s="36" t="n">
        <v>30508.29</v>
      </c>
      <c r="H6" s="36" t="n">
        <v>22848.37</v>
      </c>
      <c r="I6" s="36" t="n">
        <v>306608.04</v>
      </c>
      <c r="J6" s="36" t="n">
        <v>238692.96</v>
      </c>
      <c r="K6" s="36" t="n">
        <v>101918.75</v>
      </c>
      <c r="L6" s="36" t="n">
        <v>41032.27</v>
      </c>
      <c r="M6" s="36" t="n">
        <v>27418.05</v>
      </c>
      <c r="N6" s="36" t="n">
        <v>409062.04</v>
      </c>
    </row>
    <row r="7">
      <c r="A7" s="31" t="inlineStr">
        <is>
          <t>eap-2_1</t>
        </is>
      </c>
      <c r="B7" s="31" t="inlineStr">
        <is>
          <t>Fornecimento e Instalação de Mata burro (padrão VALEC)</t>
        </is>
      </c>
      <c r="C7" s="31" t="inlineStr">
        <is>
          <t>UNIDADE</t>
        </is>
      </c>
      <c r="D7" s="32" t="n">
        <v>59</v>
      </c>
      <c r="E7" s="33" t="n">
        <v>220659.25</v>
      </c>
      <c r="F7" s="33" t="n">
        <v>184184</v>
      </c>
      <c r="G7" s="33" t="n">
        <v>22881.21</v>
      </c>
      <c r="H7" s="33" t="n">
        <v>0</v>
      </c>
      <c r="I7" s="33" t="n">
        <v>427724.46</v>
      </c>
      <c r="J7" s="33" t="n">
        <v>296776.76</v>
      </c>
      <c r="K7" s="33" t="n">
        <v>247719.19</v>
      </c>
      <c r="L7" s="33" t="n">
        <v>30774.2</v>
      </c>
      <c r="M7" s="33" t="n">
        <v>0</v>
      </c>
      <c r="N7" s="33" t="n">
        <v>575270.16</v>
      </c>
    </row>
    <row r="8">
      <c r="A8" s="34" t="inlineStr">
        <is>
          <t>eap-3_3</t>
        </is>
      </c>
      <c r="B8" s="34" t="inlineStr">
        <is>
          <t>Cerca arame liso (5 fios) com mourão de eucalipto e mourão de madeira a cada 4,0 m e esticador a cada 50 m executada em solos compostos por material de 1ª e 2ª categoria</t>
        </is>
      </c>
      <c r="C8" s="34" t="inlineStr">
        <is>
          <t>M</t>
        </is>
      </c>
      <c r="D8" s="35" t="n">
        <v>16451.19</v>
      </c>
      <c r="E8" s="36" t="n">
        <v>246694.79</v>
      </c>
      <c r="F8" s="36" t="n">
        <v>23154.56</v>
      </c>
      <c r="G8" s="36" t="n">
        <v>6101.63</v>
      </c>
      <c r="H8" s="36" t="n">
        <v>0</v>
      </c>
      <c r="I8" s="36" t="n">
        <v>275950.99</v>
      </c>
      <c r="J8" s="36" t="n">
        <v>331793.4</v>
      </c>
      <c r="K8" s="36" t="n">
        <v>31141.84</v>
      </c>
      <c r="L8" s="36" t="n">
        <v>8206.42</v>
      </c>
      <c r="M8" s="36" t="n">
        <v>0</v>
      </c>
      <c r="N8" s="36" t="n">
        <v>371141.66</v>
      </c>
    </row>
    <row r="9">
      <c r="A9" s="31" t="inlineStr">
        <is>
          <t>eap-3_6</t>
        </is>
      </c>
      <c r="B9" s="31" t="inlineStr">
        <is>
          <t>Remoção de cerca de mourão de madeira</t>
        </is>
      </c>
      <c r="C9" s="31" t="inlineStr">
        <is>
          <t>M</t>
        </is>
      </c>
      <c r="D9" s="32" t="n">
        <v>37143.75</v>
      </c>
      <c r="E9" s="33" t="n">
        <v>131997.14</v>
      </c>
      <c r="F9" s="33" t="n">
        <v>23154.56</v>
      </c>
      <c r="G9" s="33" t="n">
        <v>6101.63</v>
      </c>
      <c r="H9" s="33" t="n">
        <v>0</v>
      </c>
      <c r="I9" s="33" t="n">
        <v>161253.33</v>
      </c>
      <c r="J9" s="33" t="n">
        <v>177530.21</v>
      </c>
      <c r="K9" s="33" t="n">
        <v>31141.84</v>
      </c>
      <c r="L9" s="33" t="n">
        <v>8206.42</v>
      </c>
      <c r="M9" s="33" t="n">
        <v>0</v>
      </c>
      <c r="N9" s="33" t="n">
        <v>216878.47</v>
      </c>
    </row>
    <row r="10">
      <c r="A10" s="34" t="inlineStr">
        <is>
          <t>eap-5_1</t>
        </is>
      </c>
      <c r="B10" s="34" t="inlineStr">
        <is>
          <t>Abertura de acesso para implantação de cerca</t>
        </is>
      </c>
      <c r="C10" s="34" t="inlineStr">
        <is>
          <t>M</t>
        </is>
      </c>
      <c r="D10" s="35" t="n">
        <v>57000</v>
      </c>
      <c r="E10" s="36" t="n">
        <v>246694.79</v>
      </c>
      <c r="F10" s="36" t="n">
        <v>23154.56</v>
      </c>
      <c r="G10" s="36" t="n">
        <v>6101.63</v>
      </c>
      <c r="H10" s="36" t="n">
        <v>0</v>
      </c>
      <c r="I10" s="36" t="n">
        <v>275950.99</v>
      </c>
      <c r="J10" s="36" t="n">
        <v>331793.4</v>
      </c>
      <c r="K10" s="36" t="n">
        <v>31141.84</v>
      </c>
      <c r="L10" s="36" t="n">
        <v>8206.42</v>
      </c>
      <c r="M10" s="36" t="n">
        <v>0</v>
      </c>
      <c r="N10" s="36" t="n">
        <v>371141.66</v>
      </c>
    </row>
    <row r="11">
      <c r="A11" s="31" t="inlineStr">
        <is>
          <t>eap-2_3</t>
        </is>
      </c>
      <c r="B11" s="31" t="inlineStr">
        <is>
          <t>Fornecimento e Instalação de Porteira Metálica (padrão VALEC)</t>
        </is>
      </c>
      <c r="C11" s="31" t="inlineStr">
        <is>
          <t>UNIDADE</t>
        </is>
      </c>
      <c r="D11" s="32" t="n">
        <v>44</v>
      </c>
      <c r="E11" s="33" t="n">
        <v>110329.62</v>
      </c>
      <c r="F11" s="33" t="n">
        <v>0</v>
      </c>
      <c r="G11" s="33" t="n">
        <v>0</v>
      </c>
      <c r="H11" s="33" t="n">
        <v>0</v>
      </c>
      <c r="I11" s="33" t="n">
        <v>110329.62</v>
      </c>
      <c r="J11" s="33" t="n">
        <v>148388.38</v>
      </c>
      <c r="K11" s="33" t="n">
        <v>0</v>
      </c>
      <c r="L11" s="33" t="n">
        <v>0</v>
      </c>
      <c r="M11" s="33" t="n">
        <v>0</v>
      </c>
      <c r="N11" s="33" t="n">
        <v>148388.38</v>
      </c>
    </row>
    <row r="12">
      <c r="A12" s="34" t="inlineStr">
        <is>
          <t>eap-4_1</t>
        </is>
      </c>
      <c r="B12" s="34" t="inlineStr">
        <is>
          <t>Implantação do eixo</t>
        </is>
      </c>
      <c r="C12" s="34" t="inlineStr">
        <is>
          <t>KM</t>
        </is>
      </c>
      <c r="D12" s="35" t="n">
        <v>57</v>
      </c>
      <c r="E12" s="36" t="n">
        <v>175935.43</v>
      </c>
      <c r="F12" s="36" t="n">
        <v>15787.2</v>
      </c>
      <c r="G12" s="36" t="n">
        <v>0</v>
      </c>
      <c r="H12" s="36" t="n">
        <v>0</v>
      </c>
      <c r="I12" s="36" t="n">
        <v>191722.63</v>
      </c>
      <c r="J12" s="36" t="n">
        <v>236625.23</v>
      </c>
      <c r="K12" s="36" t="n">
        <v>21233.07</v>
      </c>
      <c r="L12" s="36" t="n">
        <v>0</v>
      </c>
      <c r="M12" s="36" t="n">
        <v>0</v>
      </c>
      <c r="N12" s="36" t="n">
        <v>257858.31</v>
      </c>
    </row>
    <row r="13">
      <c r="A13" s="31" t="inlineStr">
        <is>
          <t>eap-3_5</t>
        </is>
      </c>
      <c r="B13" s="31" t="inlineStr">
        <is>
          <t>Cerca arame liso (5 fios) com mourão de eucalipto e mourão de madeira a cada 4,0 m e esticador a cada 50 m executada em solos alagadas</t>
        </is>
      </c>
      <c r="C13" s="31" t="inlineStr">
        <is>
          <t>M</t>
        </is>
      </c>
      <c r="D13" s="32" t="n">
        <v>1827.91</v>
      </c>
      <c r="E13" s="33" t="n">
        <v>246694.79</v>
      </c>
      <c r="F13" s="33" t="n">
        <v>23154.56</v>
      </c>
      <c r="G13" s="33" t="n">
        <v>6101.63</v>
      </c>
      <c r="H13" s="33" t="n">
        <v>0</v>
      </c>
      <c r="I13" s="33" t="n">
        <v>275950.99</v>
      </c>
      <c r="J13" s="33" t="n">
        <v>331793.4</v>
      </c>
      <c r="K13" s="33" t="n">
        <v>31141.84</v>
      </c>
      <c r="L13" s="33" t="n">
        <v>8206.42</v>
      </c>
      <c r="M13" s="33" t="n">
        <v>0</v>
      </c>
      <c r="N13" s="33" t="n">
        <v>371141.66</v>
      </c>
    </row>
    <row r="14">
      <c r="A14" s="34" t="inlineStr">
        <is>
          <t>eap-3_2</t>
        </is>
      </c>
      <c r="B14" s="34" t="inlineStr">
        <is>
          <t>Cerca arame liso (5 fios) com mourões de concreto, seção quadrada 10 x 10 cm (padrão VALEC) executada em solos alagáveis</t>
        </is>
      </c>
      <c r="C14" s="34" t="inlineStr">
        <is>
          <t>M</t>
        </is>
      </c>
      <c r="D14" s="35" t="n">
        <v>575</v>
      </c>
      <c r="E14" s="36" t="n">
        <v>246694.79</v>
      </c>
      <c r="F14" s="36" t="n">
        <v>23154.56</v>
      </c>
      <c r="G14" s="36" t="n">
        <v>6101.63</v>
      </c>
      <c r="H14" s="36" t="n">
        <v>0</v>
      </c>
      <c r="I14" s="36" t="n">
        <v>275950.99</v>
      </c>
      <c r="J14" s="36" t="n">
        <v>331793.4</v>
      </c>
      <c r="K14" s="36" t="n">
        <v>31141.84</v>
      </c>
      <c r="L14" s="36" t="n">
        <v>8206.42</v>
      </c>
      <c r="M14" s="36" t="n">
        <v>0</v>
      </c>
      <c r="N14" s="36" t="n">
        <v>371141.66</v>
      </c>
    </row>
    <row r="15">
      <c r="A15" s="31" t="inlineStr">
        <is>
          <t>eap-2_2</t>
        </is>
      </c>
      <c r="B15" s="31" t="inlineStr">
        <is>
          <t>Fornecimento e Instalação de Porteira de Madeira (padrão VALEC)</t>
        </is>
      </c>
      <c r="C15" s="31" t="inlineStr">
        <is>
          <t>UNIDADE</t>
        </is>
      </c>
      <c r="D15" s="32" t="n">
        <v>19</v>
      </c>
      <c r="E15" s="33" t="n">
        <v>110329.62</v>
      </c>
      <c r="F15" s="33" t="n">
        <v>0</v>
      </c>
      <c r="G15" s="33" t="n">
        <v>0</v>
      </c>
      <c r="H15" s="33" t="n">
        <v>0</v>
      </c>
      <c r="I15" s="33" t="n">
        <v>110329.62</v>
      </c>
      <c r="J15" s="33" t="n">
        <v>148388.38</v>
      </c>
      <c r="K15" s="33" t="n">
        <v>0</v>
      </c>
      <c r="L15" s="33" t="n">
        <v>0</v>
      </c>
      <c r="M15" s="33" t="n">
        <v>0</v>
      </c>
      <c r="N15" s="33" t="n">
        <v>148388.38</v>
      </c>
    </row>
    <row r="16">
      <c r="A16" s="34" t="inlineStr">
        <is>
          <t>eap-3_4</t>
        </is>
      </c>
      <c r="B16" s="34" t="inlineStr">
        <is>
          <t>Cerca arame liso (5 fios) com mourão de eucalipto e mourão de madeira a cada 2,5 m e esticador a cada 50 m executada em solos compostos por material de 1ª e 2ª categoria</t>
        </is>
      </c>
      <c r="C16" s="34" t="inlineStr">
        <is>
          <t>M</t>
        </is>
      </c>
      <c r="D16" s="35" t="n">
        <v>700</v>
      </c>
      <c r="E16" s="36" t="n">
        <v>246694.79</v>
      </c>
      <c r="F16" s="36" t="n">
        <v>23154.56</v>
      </c>
      <c r="G16" s="36" t="n">
        <v>6101.63</v>
      </c>
      <c r="H16" s="36" t="n">
        <v>0</v>
      </c>
      <c r="I16" s="36" t="n">
        <v>275950.99</v>
      </c>
      <c r="J16" s="36" t="n">
        <v>331793.4</v>
      </c>
      <c r="K16" s="36" t="n">
        <v>31141.84</v>
      </c>
      <c r="L16" s="36" t="n">
        <v>8206.42</v>
      </c>
      <c r="M16" s="36" t="n">
        <v>0</v>
      </c>
      <c r="N16" s="36" t="n">
        <v>371141.66</v>
      </c>
    </row>
    <row r="18">
      <c r="A18" s="29" t="inlineStr">
        <is>
          <t>TOTAL DIRETO</t>
        </is>
      </c>
      <c r="E18" s="30">
        <f>SUM(E3:E17)</f>
        <v/>
      </c>
      <c r="F18" s="30">
        <f>SUM(F3:F17)</f>
        <v/>
      </c>
      <c r="G18" s="30">
        <f>SUM(G3:G17)</f>
        <v/>
      </c>
      <c r="H18" s="30">
        <f>SUM(H3:H17)</f>
        <v/>
      </c>
      <c r="I18" s="30">
        <f>SUM(I3:I17)</f>
        <v/>
      </c>
      <c r="J18" s="30">
        <f>SUM(J3:J17)</f>
        <v/>
      </c>
      <c r="K18" s="30">
        <f>SUM(K3:K17)</f>
        <v/>
      </c>
      <c r="L18" s="30">
        <f>SUM(L3:L17)</f>
        <v/>
      </c>
      <c r="M18" s="30">
        <f>SUM(M3:M17)</f>
        <v/>
      </c>
      <c r="N18" s="30">
        <f>SUM(N3:N17)</f>
        <v/>
      </c>
    </row>
  </sheetData>
  <mergeCells count="2">
    <mergeCell ref="A18:D18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36" customWidth="1" min="4" max="4"/>
    <col width="6" customWidth="1" min="5" max="5"/>
    <col width="18" customWidth="1" min="6" max="6"/>
    <col width="10" customWidth="1" min="7" max="7"/>
    <col width="18" customWidth="1" min="8" max="8"/>
  </cols>
  <sheetData>
    <row r="1">
      <c r="A1" s="1" t="inlineStr">
        <is>
          <t>INDIRETOS — CUSTOS INDIRETOS DETALHADOS</t>
        </is>
      </c>
    </row>
    <row r="2">
      <c r="A2" s="2" t="inlineStr">
        <is>
          <t>Categoria</t>
        </is>
      </c>
      <c r="B2" s="2" t="inlineStr">
        <is>
          <t>Tipo</t>
        </is>
      </c>
      <c r="C2" s="2" t="inlineStr">
        <is>
          <t>Código/Função</t>
        </is>
      </c>
      <c r="D2" s="2" t="inlineStr">
        <is>
          <t>Descrição</t>
        </is>
      </c>
      <c r="E2" s="2" t="inlineStr">
        <is>
          <t>Qtd</t>
        </is>
      </c>
      <c r="F2" s="2" t="inlineStr">
        <is>
          <t>Custo Mensal (R$)</t>
        </is>
      </c>
      <c r="G2" s="2" t="inlineStr">
        <is>
          <t>Perm. (m)</t>
        </is>
      </c>
      <c r="H2" s="2" t="inlineStr">
        <is>
          <t>Custo Total (R$)</t>
        </is>
      </c>
    </row>
    <row r="3">
      <c r="A3" s="9" t="inlineStr">
        <is>
          <t>ADM — Administracao de obra</t>
        </is>
      </c>
    </row>
    <row r="4">
      <c r="A4" s="3" t="inlineStr">
        <is>
          <t>ADM</t>
        </is>
      </c>
      <c r="B4" s="11" t="inlineStr">
        <is>
          <t>CUSTO TOTAL</t>
        </is>
      </c>
      <c r="C4" s="11" t="inlineStr">
        <is>
          <t>—</t>
        </is>
      </c>
      <c r="D4" s="11" t="inlineStr">
        <is>
          <t>Administracao de obra</t>
        </is>
      </c>
      <c r="E4" s="16" t="n">
        <v>1</v>
      </c>
      <c r="F4" s="17" t="n">
        <v>0</v>
      </c>
      <c r="G4" s="16" t="n">
        <v>6</v>
      </c>
      <c r="H4" s="17" t="n">
        <v>11251273.02</v>
      </c>
    </row>
    <row r="5">
      <c r="A5" s="20" t="inlineStr">
        <is>
          <t>Subtotal ADM</t>
        </is>
      </c>
      <c r="B5" s="21" t="n"/>
      <c r="C5" s="21" t="n"/>
      <c r="D5" s="21" t="n"/>
      <c r="E5" s="21" t="n"/>
      <c r="F5" s="21" t="n"/>
      <c r="G5" s="21" t="n"/>
      <c r="H5" s="22">
        <f>SUM(H4:H4)</f>
        <v/>
      </c>
    </row>
    <row r="6">
      <c r="A6" s="9" t="inlineStr">
        <is>
          <t>TOP — Topografia</t>
        </is>
      </c>
    </row>
    <row r="7">
      <c r="A7" s="6" t="inlineStr">
        <is>
          <t>TOP</t>
        </is>
      </c>
      <c r="B7" s="13" t="inlineStr">
        <is>
          <t>CUSTO TOTAL</t>
        </is>
      </c>
      <c r="C7" s="13" t="inlineStr">
        <is>
          <t>—</t>
        </is>
      </c>
      <c r="D7" s="13" t="inlineStr">
        <is>
          <t>Topografia</t>
        </is>
      </c>
      <c r="E7" s="25" t="n">
        <v>1</v>
      </c>
      <c r="F7" s="26" t="n">
        <v>0</v>
      </c>
      <c r="G7" s="25" t="n">
        <v>6</v>
      </c>
      <c r="H7" s="26" t="n">
        <v>1573664.56</v>
      </c>
    </row>
    <row r="8">
      <c r="A8" s="20" t="inlineStr">
        <is>
          <t>Subtotal TOP</t>
        </is>
      </c>
      <c r="B8" s="21" t="n"/>
      <c r="C8" s="21" t="n"/>
      <c r="D8" s="21" t="n"/>
      <c r="E8" s="21" t="n"/>
      <c r="F8" s="21" t="n"/>
      <c r="G8" s="21" t="n"/>
      <c r="H8" s="22">
        <f>SUM(H7:H7)</f>
        <v/>
      </c>
    </row>
    <row r="9">
      <c r="A9" s="9" t="inlineStr">
        <is>
          <t>LAB — Laboratorio de solos e materiais</t>
        </is>
      </c>
    </row>
    <row r="10">
      <c r="A10" s="3" t="inlineStr">
        <is>
          <t>LAB</t>
        </is>
      </c>
      <c r="B10" s="11" t="inlineStr">
        <is>
          <t>CUSTO TOTAL</t>
        </is>
      </c>
      <c r="C10" s="11" t="inlineStr">
        <is>
          <t>—</t>
        </is>
      </c>
      <c r="D10" s="11" t="inlineStr">
        <is>
          <t>Laboratorio de solos e materiais</t>
        </is>
      </c>
      <c r="E10" s="16" t="n">
        <v>1</v>
      </c>
      <c r="F10" s="17" t="n">
        <v>0</v>
      </c>
      <c r="G10" s="16" t="n">
        <v>6</v>
      </c>
      <c r="H10" s="17" t="n">
        <v>0</v>
      </c>
    </row>
    <row r="11">
      <c r="A11" s="20" t="inlineStr">
        <is>
          <t>Subtotal LAB</t>
        </is>
      </c>
      <c r="B11" s="21" t="n"/>
      <c r="C11" s="21" t="n"/>
      <c r="D11" s="21" t="n"/>
      <c r="E11" s="21" t="n"/>
      <c r="F11" s="21" t="n"/>
      <c r="G11" s="21" t="n"/>
      <c r="H11" s="22">
        <f>SUM(H10:H10)</f>
        <v/>
      </c>
    </row>
    <row r="12">
      <c r="A12" s="9" t="inlineStr">
        <is>
          <t>QSMS — Qualidade, Saude, Seguranca e Meio Ambiente</t>
        </is>
      </c>
    </row>
    <row r="13">
      <c r="A13" s="6" t="inlineStr">
        <is>
          <t>QSMS</t>
        </is>
      </c>
      <c r="B13" s="13" t="inlineStr">
        <is>
          <t>CUSTO TOTAL</t>
        </is>
      </c>
      <c r="C13" s="13" t="inlineStr">
        <is>
          <t>—</t>
        </is>
      </c>
      <c r="D13" s="13" t="inlineStr">
        <is>
          <t>Qualidade, Saude, Seguranca e Meio Ambiente</t>
        </is>
      </c>
      <c r="E13" s="25" t="n">
        <v>1</v>
      </c>
      <c r="F13" s="26" t="n">
        <v>0</v>
      </c>
      <c r="G13" s="25" t="n">
        <v>6</v>
      </c>
      <c r="H13" s="26" t="n">
        <v>1400240.14</v>
      </c>
    </row>
    <row r="14">
      <c r="A14" s="20" t="inlineStr">
        <is>
          <t>Subtotal QSMS</t>
        </is>
      </c>
      <c r="B14" s="21" t="n"/>
      <c r="C14" s="21" t="n"/>
      <c r="D14" s="21" t="n"/>
      <c r="E14" s="21" t="n"/>
      <c r="F14" s="21" t="n"/>
      <c r="G14" s="21" t="n"/>
      <c r="H14" s="22">
        <f>SUM(H13:H13)</f>
        <v/>
      </c>
    </row>
    <row r="15">
      <c r="A15" s="9" t="inlineStr">
        <is>
          <t>MOB — Mobilizacao e desmobilizacao</t>
        </is>
      </c>
    </row>
    <row r="16">
      <c r="A16" s="3" t="inlineStr">
        <is>
          <t>MOB</t>
        </is>
      </c>
      <c r="B16" s="11" t="inlineStr">
        <is>
          <t>CUSTO TOTAL</t>
        </is>
      </c>
      <c r="C16" s="11" t="inlineStr">
        <is>
          <t>—</t>
        </is>
      </c>
      <c r="D16" s="11" t="inlineStr">
        <is>
          <t>Mobilizacao e desmobilizacao</t>
        </is>
      </c>
      <c r="E16" s="16" t="n">
        <v>1</v>
      </c>
      <c r="F16" s="17" t="n">
        <v>0</v>
      </c>
      <c r="G16" s="16" t="n">
        <v>6</v>
      </c>
      <c r="H16" s="17" t="n">
        <v>0</v>
      </c>
    </row>
    <row r="17">
      <c r="A17" s="20" t="inlineStr">
        <is>
          <t>Subtotal MOB</t>
        </is>
      </c>
      <c r="B17" s="21" t="n"/>
      <c r="C17" s="21" t="n"/>
      <c r="D17" s="21" t="n"/>
      <c r="E17" s="21" t="n"/>
      <c r="F17" s="21" t="n"/>
      <c r="G17" s="21" t="n"/>
      <c r="H17" s="22">
        <f>SUM(H16:H16)</f>
        <v/>
      </c>
    </row>
    <row r="19">
      <c r="A19" s="29" t="inlineStr">
        <is>
          <t>TOTAL INDIRETO</t>
        </is>
      </c>
      <c r="H19" s="30">
        <f>H5+H8+H11+H14+H17</f>
        <v/>
      </c>
    </row>
    <row r="22">
      <c r="A22" s="9" t="inlineStr">
        <is>
          <t>Distribuição Mensal de Indiretos</t>
        </is>
      </c>
    </row>
    <row r="23">
      <c r="A23" s="10" t="inlineStr">
        <is>
          <t>Mês</t>
        </is>
      </c>
      <c r="B23" s="10" t="inlineStr">
        <is>
          <t>Despesa Indireta (R$)</t>
        </is>
      </c>
      <c r="C23" s="10" t="inlineStr"/>
      <c r="D23" s="10" t="inlineStr"/>
      <c r="E23" s="10" t="inlineStr"/>
      <c r="F23" s="10" t="inlineStr"/>
      <c r="G23" s="10" t="inlineStr"/>
      <c r="H23" s="10" t="inlineStr"/>
    </row>
    <row r="24">
      <c r="A24" s="11" t="inlineStr">
        <is>
          <t>Dez/24</t>
        </is>
      </c>
      <c r="B24" s="17" t="n">
        <v>2370862.95</v>
      </c>
      <c r="C24" s="12" t="n"/>
      <c r="D24" s="12" t="n"/>
      <c r="E24" s="12" t="n"/>
      <c r="F24" s="12" t="n"/>
      <c r="G24" s="12" t="n"/>
      <c r="H24" s="12" t="n"/>
    </row>
    <row r="25">
      <c r="A25" s="13" t="inlineStr">
        <is>
          <t>Jan/25</t>
        </is>
      </c>
      <c r="B25" s="26" t="n">
        <v>2370862.95</v>
      </c>
      <c r="C25" s="14" t="n"/>
      <c r="D25" s="14" t="n"/>
      <c r="E25" s="14" t="n"/>
      <c r="F25" s="14" t="n"/>
      <c r="G25" s="14" t="n"/>
      <c r="H25" s="14" t="n"/>
    </row>
    <row r="26">
      <c r="A26" s="11" t="inlineStr">
        <is>
          <t>Fev/25</t>
        </is>
      </c>
      <c r="B26" s="17" t="n">
        <v>2370862.95</v>
      </c>
      <c r="C26" s="12" t="n"/>
      <c r="D26" s="12" t="n"/>
      <c r="E26" s="12" t="n"/>
      <c r="F26" s="12" t="n"/>
      <c r="G26" s="12" t="n"/>
      <c r="H26" s="12" t="n"/>
    </row>
    <row r="27">
      <c r="A27" s="13" t="inlineStr">
        <is>
          <t>Mar/25</t>
        </is>
      </c>
      <c r="B27" s="26" t="n">
        <v>2370862.95</v>
      </c>
      <c r="C27" s="14" t="n"/>
      <c r="D27" s="14" t="n"/>
      <c r="E27" s="14" t="n"/>
      <c r="F27" s="14" t="n"/>
      <c r="G27" s="14" t="n"/>
      <c r="H27" s="14" t="n"/>
    </row>
    <row r="28">
      <c r="A28" s="11" t="inlineStr">
        <is>
          <t>Abr/25</t>
        </is>
      </c>
      <c r="B28" s="17" t="n">
        <v>2370862.95</v>
      </c>
      <c r="C28" s="12" t="n"/>
      <c r="D28" s="12" t="n"/>
      <c r="E28" s="12" t="n"/>
      <c r="F28" s="12" t="n"/>
      <c r="G28" s="12" t="n"/>
      <c r="H28" s="12" t="n"/>
    </row>
    <row r="29">
      <c r="A29" s="13" t="inlineStr">
        <is>
          <t>Mai/25</t>
        </is>
      </c>
      <c r="B29" s="26" t="n">
        <v>2370862.95</v>
      </c>
      <c r="C29" s="14" t="n"/>
      <c r="D29" s="14" t="n"/>
      <c r="E29" s="14" t="n"/>
      <c r="F29" s="14" t="n"/>
      <c r="G29" s="14" t="n"/>
      <c r="H29" s="14" t="n"/>
    </row>
    <row r="30">
      <c r="A30" s="11" t="inlineStr">
        <is>
          <t>Jun/25</t>
        </is>
      </c>
      <c r="B30" s="17" t="n">
        <v>0</v>
      </c>
      <c r="C30" s="12" t="n"/>
      <c r="D30" s="12" t="n"/>
      <c r="E30" s="12" t="n"/>
      <c r="F30" s="12" t="n"/>
      <c r="G30" s="12" t="n"/>
      <c r="H30" s="12" t="n"/>
    </row>
  </sheetData>
  <mergeCells count="8">
    <mergeCell ref="A9:H9"/>
    <mergeCell ref="A12:H12"/>
    <mergeCell ref="A3:H3"/>
    <mergeCell ref="A15:H15"/>
    <mergeCell ref="A1:H1"/>
    <mergeCell ref="A19:G19"/>
    <mergeCell ref="A6:H6"/>
    <mergeCell ref="A22:H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8" customWidth="1" min="3" max="3"/>
    <col width="10" customWidth="1" min="4" max="4"/>
    <col width="18" customWidth="1" min="5" max="5"/>
    <col width="14" customWidth="1" min="6" max="6"/>
  </cols>
  <sheetData>
    <row r="1">
      <c r="A1" s="1" t="inlineStr">
        <is>
          <t>INDIRETOS RESUMIDO — CATEGORIAS + INDICADORES</t>
        </is>
      </c>
    </row>
    <row r="2">
      <c r="A2" s="2" t="inlineStr">
        <is>
          <t>Categoria</t>
        </is>
      </c>
      <c r="B2" s="2" t="inlineStr">
        <is>
          <t>Descrição</t>
        </is>
      </c>
      <c r="C2" s="2" t="inlineStr">
        <is>
          <t>Custo s/BDI (R$)</t>
        </is>
      </c>
      <c r="D2" s="2" t="inlineStr">
        <is>
          <t>BDI (%)</t>
        </is>
      </c>
      <c r="E2" s="2" t="inlineStr">
        <is>
          <t>Custo c/BDI (R$)</t>
        </is>
      </c>
      <c r="F2" s="2" t="inlineStr">
        <is>
          <t>% do Total</t>
        </is>
      </c>
    </row>
    <row r="3">
      <c r="A3" s="3" t="inlineStr">
        <is>
          <t>ADM</t>
        </is>
      </c>
      <c r="B3" s="11" t="inlineStr">
        <is>
          <t>Administracao de obra</t>
        </is>
      </c>
      <c r="C3" s="17" t="n">
        <v>11251273.02</v>
      </c>
      <c r="D3" s="4" t="n">
        <v>22.37</v>
      </c>
      <c r="E3" s="17" t="n">
        <v>13768587.84</v>
      </c>
      <c r="F3" s="4" t="n">
        <v>79.09</v>
      </c>
    </row>
    <row r="4">
      <c r="A4" s="6" t="inlineStr">
        <is>
          <t>TOP</t>
        </is>
      </c>
      <c r="B4" s="13" t="inlineStr">
        <is>
          <t>Topografia</t>
        </is>
      </c>
      <c r="C4" s="26" t="n">
        <v>1573664.56</v>
      </c>
      <c r="D4" s="7" t="n">
        <v>22.37</v>
      </c>
      <c r="E4" s="26" t="n">
        <v>1925749.97</v>
      </c>
      <c r="F4" s="7" t="n">
        <v>11.06</v>
      </c>
    </row>
    <row r="5">
      <c r="A5" s="3" t="inlineStr">
        <is>
          <t>LAB</t>
        </is>
      </c>
      <c r="B5" s="11" t="inlineStr">
        <is>
          <t>Laboratorio de solos e materiais</t>
        </is>
      </c>
      <c r="C5" s="17" t="n">
        <v>0</v>
      </c>
      <c r="D5" s="4" t="n">
        <v>22.37</v>
      </c>
      <c r="E5" s="17" t="n">
        <v>0</v>
      </c>
      <c r="F5" s="4" t="n">
        <v>0</v>
      </c>
    </row>
    <row r="6">
      <c r="A6" s="6" t="inlineStr">
        <is>
          <t>QSMS</t>
        </is>
      </c>
      <c r="B6" s="13" t="inlineStr">
        <is>
          <t>Qualidade, Saude, Seguranca e Meio Ambiente</t>
        </is>
      </c>
      <c r="C6" s="26" t="n">
        <v>1400240.14</v>
      </c>
      <c r="D6" s="7" t="n">
        <v>22.37</v>
      </c>
      <c r="E6" s="26" t="n">
        <v>1713524.27</v>
      </c>
      <c r="F6" s="7" t="n">
        <v>9.84</v>
      </c>
    </row>
    <row r="7">
      <c r="A7" s="3" t="inlineStr">
        <is>
          <t>MOB</t>
        </is>
      </c>
      <c r="B7" s="11" t="inlineStr">
        <is>
          <t>Mobilizacao e desmobilizacao</t>
        </is>
      </c>
      <c r="C7" s="17" t="n">
        <v>0</v>
      </c>
      <c r="D7" s="4" t="n">
        <v>22.37</v>
      </c>
      <c r="E7" s="17" t="n">
        <v>0</v>
      </c>
      <c r="F7" s="4" t="n">
        <v>0</v>
      </c>
    </row>
    <row r="9">
      <c r="A9" s="29" t="inlineStr">
        <is>
          <t>TOTAL INDIRETO</t>
        </is>
      </c>
      <c r="C9" s="30">
        <f>C3+C4+C5+C6+C7</f>
        <v/>
      </c>
      <c r="D9" s="37" t="n"/>
      <c r="E9" s="30">
        <f>E3+E4+E5+E6+E7</f>
        <v/>
      </c>
      <c r="F9" s="37" t="n"/>
    </row>
    <row r="12">
      <c r="A12" s="9" t="inlineStr">
        <is>
          <t>INDICADORES DE COMPOSIÇÃO DE CUSTO</t>
        </is>
      </c>
    </row>
    <row r="13">
      <c r="A13" s="38" t="inlineStr">
        <is>
          <t>TOTAL DIRETO (catálogo s/BDI)</t>
        </is>
      </c>
      <c r="B13" s="39" t="n"/>
      <c r="C13" s="40" t="n">
        <v>5492968.77</v>
      </c>
      <c r="D13" s="41" t="n"/>
      <c r="E13" s="41" t="n"/>
      <c r="F13" s="39" t="n"/>
    </row>
    <row r="14">
      <c r="A14" s="38" t="inlineStr">
        <is>
          <t>TOTAL INDIRETO s/BDI</t>
        </is>
      </c>
      <c r="B14" s="39" t="n"/>
      <c r="C14" s="40" t="n">
        <v>14225177.72</v>
      </c>
      <c r="D14" s="41" t="n"/>
      <c r="E14" s="41" t="n"/>
      <c r="F14" s="39" t="n"/>
    </row>
    <row r="15">
      <c r="A15" s="38" t="inlineStr">
        <is>
          <t>RAZÃO CI / CD</t>
        </is>
      </c>
      <c r="B15" s="39" t="n"/>
      <c r="C15" s="42" t="n">
        <v>258.97</v>
      </c>
      <c r="D15" s="41" t="n"/>
      <c r="E15" s="41" t="n"/>
      <c r="F15" s="39" t="n"/>
    </row>
    <row r="16">
      <c r="A16" s="38" t="inlineStr">
        <is>
          <t>PREÇO DE VENDA TOTAL</t>
        </is>
      </c>
      <c r="B16" s="39" t="n"/>
      <c r="C16" s="40" t="n">
        <v>7277221.4</v>
      </c>
      <c r="D16" s="41" t="n"/>
      <c r="E16" s="41" t="n"/>
      <c r="F16" s="39" t="n"/>
    </row>
    <row r="17">
      <c r="A17" s="38" t="inlineStr">
        <is>
          <t>CI / PVT</t>
        </is>
      </c>
      <c r="B17" s="39" t="n"/>
      <c r="C17" s="42" t="n">
        <v>195.48</v>
      </c>
      <c r="D17" s="41" t="n"/>
      <c r="E17" s="41" t="n"/>
      <c r="F17" s="39" t="n"/>
    </row>
  </sheetData>
  <mergeCells count="13">
    <mergeCell ref="C13:F13"/>
    <mergeCell ref="A16:B16"/>
    <mergeCell ref="C17:F17"/>
    <mergeCell ref="A15:B15"/>
    <mergeCell ref="A1:F1"/>
    <mergeCell ref="A13:B13"/>
    <mergeCell ref="A14:B14"/>
    <mergeCell ref="C15:F15"/>
    <mergeCell ref="A12:F12"/>
    <mergeCell ref="C16:F16"/>
    <mergeCell ref="A17:B17"/>
    <mergeCell ref="A9:B9"/>
    <mergeCell ref="C14:F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xSplit="2" ySplit="2" topLeftCell="C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6" customWidth="1" min="3" max="3"/>
    <col width="13" customWidth="1" min="4" max="4"/>
    <col width="15" customWidth="1" min="5" max="5"/>
    <col width="15" customWidth="1" min="6" max="6"/>
    <col width="13" customWidth="1" min="7" max="7"/>
    <col width="13" customWidth="1" min="8" max="8"/>
    <col width="17" customWidth="1" min="9" max="9"/>
    <col width="15" customWidth="1" min="10" max="10"/>
    <col width="15" customWidth="1" min="11" max="11"/>
    <col width="13" customWidth="1" min="12" max="12"/>
    <col width="13" customWidth="1" min="13" max="13"/>
    <col width="17" customWidth="1" min="14" max="14"/>
    <col width="12" customWidth="1" min="15" max="15"/>
  </cols>
  <sheetData>
    <row r="1">
      <c r="A1" s="1" t="inlineStr">
        <is>
          <t>PLANEJAMENTO — ORÇAMENTO POR EAP (COMPONENTES s/BDI e c/BDI)</t>
        </is>
      </c>
    </row>
    <row r="2">
      <c r="A2" s="2" t="inlineStr">
        <is>
          <t>Item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Quantitativo</t>
        </is>
      </c>
      <c r="E2" s="2" t="inlineStr">
        <is>
          <t>MO s/BDI (R$)</t>
        </is>
      </c>
      <c r="F2" s="2" t="inlineStr">
        <is>
          <t>EQ s/BDI (R$)</t>
        </is>
      </c>
      <c r="G2" s="2" t="inlineStr">
        <is>
          <t>Comb. s/BDI (R$)</t>
        </is>
      </c>
      <c r="H2" s="2" t="inlineStr">
        <is>
          <t>MAT s/BDI (R$)</t>
        </is>
      </c>
      <c r="I2" s="2" t="inlineStr">
        <is>
          <t>Total s/BDI (R$)</t>
        </is>
      </c>
      <c r="J2" s="2" t="inlineStr">
        <is>
          <t>MO c/BDI (R$)</t>
        </is>
      </c>
      <c r="K2" s="2" t="inlineStr">
        <is>
          <t>EQ c/BDI (R$)</t>
        </is>
      </c>
      <c r="L2" s="2" t="inlineStr">
        <is>
          <t>Comb. c/BDI (R$)</t>
        </is>
      </c>
      <c r="M2" s="2" t="inlineStr">
        <is>
          <t>MAT c/BDI (R$)</t>
        </is>
      </c>
      <c r="N2" s="2" t="inlineStr">
        <is>
          <t>Total c/BDI (R$)</t>
        </is>
      </c>
      <c r="O2" s="2" t="inlineStr">
        <is>
          <t>Criticidade</t>
        </is>
      </c>
    </row>
    <row r="3">
      <c r="A3" s="43" t="inlineStr">
        <is>
          <t>eap-3_1</t>
        </is>
      </c>
      <c r="B3" s="43" t="inlineStr">
        <is>
          <t>Cerca arame liso (5 fios) com mourões de concreto, seção quadrada 10 x 10 cm (padrão VALEC) executada em solos compostos por material de 1ª e 2ª categoria</t>
        </is>
      </c>
      <c r="C3" s="43" t="inlineStr">
        <is>
          <t>M</t>
        </is>
      </c>
      <c r="D3" s="44" t="n">
        <v>77928.38</v>
      </c>
      <c r="E3" s="45" t="n">
        <v>246694.79</v>
      </c>
      <c r="F3" s="45" t="n">
        <v>23154.56</v>
      </c>
      <c r="G3" s="45" t="n">
        <v>6101.63</v>
      </c>
      <c r="H3" s="45" t="n">
        <v>0</v>
      </c>
      <c r="I3" s="45" t="n">
        <v>275950.99</v>
      </c>
      <c r="J3" s="45" t="n">
        <v>331793.4</v>
      </c>
      <c r="K3" s="45" t="n">
        <v>31141.84</v>
      </c>
      <c r="L3" s="45" t="n">
        <v>8206.42</v>
      </c>
      <c r="M3" s="45" t="n">
        <v>0</v>
      </c>
      <c r="N3" s="45" t="n">
        <v>371141.66</v>
      </c>
      <c r="O3" s="43" t="inlineStr">
        <is>
          <t>B</t>
        </is>
      </c>
    </row>
    <row r="4">
      <c r="A4" s="46" t="inlineStr">
        <is>
          <t>eap-1_2</t>
        </is>
      </c>
      <c r="B4" s="46" t="inlineStr">
        <is>
          <t>Supressão vegetal, destocamento e limpeza de árvores, arbustos, vegetação rasteira e entulhos com remoção para área de depósito - DMT até 350m</t>
        </is>
      </c>
      <c r="C4" s="46" t="inlineStr">
        <is>
          <t>M2</t>
        </is>
      </c>
      <c r="D4" s="47" t="n">
        <v>2036512.35</v>
      </c>
      <c r="E4" s="48" t="n">
        <v>248379</v>
      </c>
      <c r="F4" s="48" t="n">
        <v>508996.19</v>
      </c>
      <c r="G4" s="48" t="n">
        <v>137287.11</v>
      </c>
      <c r="H4" s="48" t="n">
        <v>622683.39</v>
      </c>
      <c r="I4" s="48" t="n">
        <v>1517345.69</v>
      </c>
      <c r="J4" s="48" t="n">
        <v>334058.58</v>
      </c>
      <c r="K4" s="48" t="n">
        <v>684576.97</v>
      </c>
      <c r="L4" s="48" t="n">
        <v>184644.98</v>
      </c>
      <c r="M4" s="48" t="n">
        <v>747220.0699999999</v>
      </c>
      <c r="N4" s="48" t="n">
        <v>1950500.6</v>
      </c>
      <c r="O4" s="46" t="inlineStr">
        <is>
          <t>A</t>
        </is>
      </c>
    </row>
    <row r="5">
      <c r="A5" s="46" t="inlineStr">
        <is>
          <t>eap-1_1</t>
        </is>
      </c>
      <c r="B5" s="46" t="inlineStr">
        <is>
          <t>Supressão vegetal com ou sem destocamento de vegetação com Ø =&lt; 30cm, assim como remoção de arbustos, vegetação rasteira e limpeza para a área de depósito - DMT até 350m - ALTA</t>
        </is>
      </c>
      <c r="C5" s="46" t="inlineStr">
        <is>
          <t>M2</t>
        </is>
      </c>
      <c r="D5" s="47" t="n">
        <v>383592.55</v>
      </c>
      <c r="E5" s="48" t="n">
        <v>248379</v>
      </c>
      <c r="F5" s="48" t="n">
        <v>508996.19</v>
      </c>
      <c r="G5" s="48" t="n">
        <v>137287.11</v>
      </c>
      <c r="H5" s="48" t="n">
        <v>117287.14</v>
      </c>
      <c r="I5" s="48" t="n">
        <v>1011949.44</v>
      </c>
      <c r="J5" s="48" t="n">
        <v>334058.58</v>
      </c>
      <c r="K5" s="48" t="n">
        <v>684576.97</v>
      </c>
      <c r="L5" s="48" t="n">
        <v>184644.98</v>
      </c>
      <c r="M5" s="48" t="n">
        <v>140744.57</v>
      </c>
      <c r="N5" s="48" t="n">
        <v>1344025.1</v>
      </c>
      <c r="O5" s="46" t="inlineStr">
        <is>
          <t>A</t>
        </is>
      </c>
    </row>
    <row r="6">
      <c r="A6" s="43" t="inlineStr">
        <is>
          <t>eap-1_3</t>
        </is>
      </c>
      <c r="B6" s="43" t="inlineStr">
        <is>
          <t>Corte com destocamento de árvores com Ø &gt; 30cm e remoção para a área de depósito - DMT até 1000m</t>
        </is>
      </c>
      <c r="C6" s="43" t="inlineStr">
        <is>
          <t>UNIDADE</t>
        </is>
      </c>
      <c r="D6" s="44" t="n">
        <v>12240.2</v>
      </c>
      <c r="E6" s="45" t="n">
        <v>177472.83</v>
      </c>
      <c r="F6" s="45" t="n">
        <v>75778.56</v>
      </c>
      <c r="G6" s="45" t="n">
        <v>30508.29</v>
      </c>
      <c r="H6" s="45" t="n">
        <v>22848.37</v>
      </c>
      <c r="I6" s="45" t="n">
        <v>306608.04</v>
      </c>
      <c r="J6" s="45" t="n">
        <v>238692.96</v>
      </c>
      <c r="K6" s="45" t="n">
        <v>101918.75</v>
      </c>
      <c r="L6" s="45" t="n">
        <v>41032.27</v>
      </c>
      <c r="M6" s="45" t="n">
        <v>27418.05</v>
      </c>
      <c r="N6" s="45" t="n">
        <v>409062.04</v>
      </c>
      <c r="O6" s="43" t="inlineStr">
        <is>
          <t>B</t>
        </is>
      </c>
    </row>
    <row r="7">
      <c r="A7" s="46" t="inlineStr">
        <is>
          <t>eap-2_1</t>
        </is>
      </c>
      <c r="B7" s="46" t="inlineStr">
        <is>
          <t>Fornecimento e Instalação de Mata burro (padrão VALEC)</t>
        </is>
      </c>
      <c r="C7" s="46" t="inlineStr">
        <is>
          <t>UNIDADE</t>
        </is>
      </c>
      <c r="D7" s="47" t="n">
        <v>59</v>
      </c>
      <c r="E7" s="48" t="n">
        <v>220659.25</v>
      </c>
      <c r="F7" s="48" t="n">
        <v>184184</v>
      </c>
      <c r="G7" s="48" t="n">
        <v>22881.21</v>
      </c>
      <c r="H7" s="48" t="n">
        <v>0</v>
      </c>
      <c r="I7" s="48" t="n">
        <v>427724.46</v>
      </c>
      <c r="J7" s="48" t="n">
        <v>296776.76</v>
      </c>
      <c r="K7" s="48" t="n">
        <v>247719.19</v>
      </c>
      <c r="L7" s="48" t="n">
        <v>30774.2</v>
      </c>
      <c r="M7" s="48" t="n">
        <v>0</v>
      </c>
      <c r="N7" s="48" t="n">
        <v>575270.16</v>
      </c>
      <c r="O7" s="46" t="inlineStr">
        <is>
          <t>A</t>
        </is>
      </c>
    </row>
    <row r="8">
      <c r="A8" s="34" t="inlineStr">
        <is>
          <t>eap-3_3</t>
        </is>
      </c>
      <c r="B8" s="34" t="inlineStr">
        <is>
          <t>Cerca arame liso (5 fios) com mourão de eucalipto e mourão de madeira a cada 4,0 m e esticador a cada 50 m executada em solos compostos por material de 1ª e 2ª categoria</t>
        </is>
      </c>
      <c r="C8" s="34" t="inlineStr">
        <is>
          <t>M</t>
        </is>
      </c>
      <c r="D8" s="35" t="n">
        <v>16451.19</v>
      </c>
      <c r="E8" s="36" t="n">
        <v>246694.79</v>
      </c>
      <c r="F8" s="36" t="n">
        <v>23154.56</v>
      </c>
      <c r="G8" s="36" t="n">
        <v>6101.63</v>
      </c>
      <c r="H8" s="36" t="n">
        <v>0</v>
      </c>
      <c r="I8" s="36" t="n">
        <v>275950.99</v>
      </c>
      <c r="J8" s="36" t="n">
        <v>331793.4</v>
      </c>
      <c r="K8" s="36" t="n">
        <v>31141.84</v>
      </c>
      <c r="L8" s="36" t="n">
        <v>8206.42</v>
      </c>
      <c r="M8" s="36" t="n">
        <v>0</v>
      </c>
      <c r="N8" s="36" t="n">
        <v>371141.66</v>
      </c>
      <c r="O8" s="34" t="inlineStr">
        <is>
          <t>C</t>
        </is>
      </c>
    </row>
    <row r="9">
      <c r="A9" s="31" t="inlineStr">
        <is>
          <t>eap-3_6</t>
        </is>
      </c>
      <c r="B9" s="31" t="inlineStr">
        <is>
          <t>Remoção de cerca de mourão de madeira</t>
        </is>
      </c>
      <c r="C9" s="31" t="inlineStr">
        <is>
          <t>M</t>
        </is>
      </c>
      <c r="D9" s="32" t="n">
        <v>37143.75</v>
      </c>
      <c r="E9" s="33" t="n">
        <v>131997.14</v>
      </c>
      <c r="F9" s="33" t="n">
        <v>23154.56</v>
      </c>
      <c r="G9" s="33" t="n">
        <v>6101.63</v>
      </c>
      <c r="H9" s="33" t="n">
        <v>0</v>
      </c>
      <c r="I9" s="33" t="n">
        <v>161253.33</v>
      </c>
      <c r="J9" s="33" t="n">
        <v>177530.21</v>
      </c>
      <c r="K9" s="33" t="n">
        <v>31141.84</v>
      </c>
      <c r="L9" s="33" t="n">
        <v>8206.42</v>
      </c>
      <c r="M9" s="33" t="n">
        <v>0</v>
      </c>
      <c r="N9" s="33" t="n">
        <v>216878.47</v>
      </c>
      <c r="O9" s="31" t="inlineStr">
        <is>
          <t>C</t>
        </is>
      </c>
    </row>
    <row r="10">
      <c r="A10" s="43" t="inlineStr">
        <is>
          <t>eap-5_1</t>
        </is>
      </c>
      <c r="B10" s="43" t="inlineStr">
        <is>
          <t>Abertura de acesso para implantação de cerca</t>
        </is>
      </c>
      <c r="C10" s="43" t="inlineStr">
        <is>
          <t>M</t>
        </is>
      </c>
      <c r="D10" s="44" t="n">
        <v>57000</v>
      </c>
      <c r="E10" s="45" t="n">
        <v>246694.79</v>
      </c>
      <c r="F10" s="45" t="n">
        <v>23154.56</v>
      </c>
      <c r="G10" s="45" t="n">
        <v>6101.63</v>
      </c>
      <c r="H10" s="45" t="n">
        <v>0</v>
      </c>
      <c r="I10" s="45" t="n">
        <v>275950.99</v>
      </c>
      <c r="J10" s="45" t="n">
        <v>331793.4</v>
      </c>
      <c r="K10" s="45" t="n">
        <v>31141.84</v>
      </c>
      <c r="L10" s="45" t="n">
        <v>8206.42</v>
      </c>
      <c r="M10" s="45" t="n">
        <v>0</v>
      </c>
      <c r="N10" s="45" t="n">
        <v>371141.66</v>
      </c>
      <c r="O10" s="43" t="inlineStr">
        <is>
          <t>B</t>
        </is>
      </c>
    </row>
    <row r="11">
      <c r="A11" s="31" t="inlineStr">
        <is>
          <t>eap-2_3</t>
        </is>
      </c>
      <c r="B11" s="31" t="inlineStr">
        <is>
          <t>Fornecimento e Instalação de Porteira Metálica (padrão VALEC)</t>
        </is>
      </c>
      <c r="C11" s="31" t="inlineStr">
        <is>
          <t>UNIDADE</t>
        </is>
      </c>
      <c r="D11" s="32" t="n">
        <v>44</v>
      </c>
      <c r="E11" s="33" t="n">
        <v>110329.62</v>
      </c>
      <c r="F11" s="33" t="n">
        <v>0</v>
      </c>
      <c r="G11" s="33" t="n">
        <v>0</v>
      </c>
      <c r="H11" s="33" t="n">
        <v>0</v>
      </c>
      <c r="I11" s="33" t="n">
        <v>110329.62</v>
      </c>
      <c r="J11" s="33" t="n">
        <v>148388.38</v>
      </c>
      <c r="K11" s="33" t="n">
        <v>0</v>
      </c>
      <c r="L11" s="33" t="n">
        <v>0</v>
      </c>
      <c r="M11" s="33" t="n">
        <v>0</v>
      </c>
      <c r="N11" s="33" t="n">
        <v>148388.38</v>
      </c>
      <c r="O11" s="31" t="inlineStr">
        <is>
          <t>C</t>
        </is>
      </c>
    </row>
    <row r="12">
      <c r="A12" s="34" t="inlineStr">
        <is>
          <t>eap-4_1</t>
        </is>
      </c>
      <c r="B12" s="34" t="inlineStr">
        <is>
          <t>Implantação do eixo</t>
        </is>
      </c>
      <c r="C12" s="34" t="inlineStr">
        <is>
          <t>KM</t>
        </is>
      </c>
      <c r="D12" s="35" t="n">
        <v>57</v>
      </c>
      <c r="E12" s="36" t="n">
        <v>175935.43</v>
      </c>
      <c r="F12" s="36" t="n">
        <v>15787.2</v>
      </c>
      <c r="G12" s="36" t="n">
        <v>0</v>
      </c>
      <c r="H12" s="36" t="n">
        <v>0</v>
      </c>
      <c r="I12" s="36" t="n">
        <v>191722.63</v>
      </c>
      <c r="J12" s="36" t="n">
        <v>236625.23</v>
      </c>
      <c r="K12" s="36" t="n">
        <v>21233.07</v>
      </c>
      <c r="L12" s="36" t="n">
        <v>0</v>
      </c>
      <c r="M12" s="36" t="n">
        <v>0</v>
      </c>
      <c r="N12" s="36" t="n">
        <v>257858.31</v>
      </c>
      <c r="O12" s="34" t="inlineStr">
        <is>
          <t>C</t>
        </is>
      </c>
    </row>
    <row r="13">
      <c r="A13" s="31" t="inlineStr">
        <is>
          <t>eap-3_5</t>
        </is>
      </c>
      <c r="B13" s="31" t="inlineStr">
        <is>
          <t>Cerca arame liso (5 fios) com mourão de eucalipto e mourão de madeira a cada 4,0 m e esticador a cada 50 m executada em solos alagadas</t>
        </is>
      </c>
      <c r="C13" s="31" t="inlineStr">
        <is>
          <t>M</t>
        </is>
      </c>
      <c r="D13" s="32" t="n">
        <v>1827.91</v>
      </c>
      <c r="E13" s="33" t="n">
        <v>246694.79</v>
      </c>
      <c r="F13" s="33" t="n">
        <v>23154.56</v>
      </c>
      <c r="G13" s="33" t="n">
        <v>6101.63</v>
      </c>
      <c r="H13" s="33" t="n">
        <v>0</v>
      </c>
      <c r="I13" s="33" t="n">
        <v>275950.99</v>
      </c>
      <c r="J13" s="33" t="n">
        <v>331793.4</v>
      </c>
      <c r="K13" s="33" t="n">
        <v>31141.84</v>
      </c>
      <c r="L13" s="33" t="n">
        <v>8206.42</v>
      </c>
      <c r="M13" s="33" t="n">
        <v>0</v>
      </c>
      <c r="N13" s="33" t="n">
        <v>371141.66</v>
      </c>
      <c r="O13" s="31" t="inlineStr">
        <is>
          <t>C</t>
        </is>
      </c>
    </row>
    <row r="14">
      <c r="A14" s="34" t="inlineStr">
        <is>
          <t>eap-3_2</t>
        </is>
      </c>
      <c r="B14" s="34" t="inlineStr">
        <is>
          <t>Cerca arame liso (5 fios) com mourões de concreto, seção quadrada 10 x 10 cm (padrão VALEC) executada em solos alagáveis</t>
        </is>
      </c>
      <c r="C14" s="34" t="inlineStr">
        <is>
          <t>M</t>
        </is>
      </c>
      <c r="D14" s="35" t="n">
        <v>575</v>
      </c>
      <c r="E14" s="36" t="n">
        <v>246694.79</v>
      </c>
      <c r="F14" s="36" t="n">
        <v>23154.56</v>
      </c>
      <c r="G14" s="36" t="n">
        <v>6101.63</v>
      </c>
      <c r="H14" s="36" t="n">
        <v>0</v>
      </c>
      <c r="I14" s="36" t="n">
        <v>275950.99</v>
      </c>
      <c r="J14" s="36" t="n">
        <v>331793.4</v>
      </c>
      <c r="K14" s="36" t="n">
        <v>31141.84</v>
      </c>
      <c r="L14" s="36" t="n">
        <v>8206.42</v>
      </c>
      <c r="M14" s="36" t="n">
        <v>0</v>
      </c>
      <c r="N14" s="36" t="n">
        <v>371141.66</v>
      </c>
      <c r="O14" s="34" t="inlineStr">
        <is>
          <t>C</t>
        </is>
      </c>
    </row>
    <row r="15">
      <c r="A15" s="31" t="inlineStr">
        <is>
          <t>eap-2_2</t>
        </is>
      </c>
      <c r="B15" s="31" t="inlineStr">
        <is>
          <t>Fornecimento e Instalação de Porteira de Madeira (padrão VALEC)</t>
        </is>
      </c>
      <c r="C15" s="31" t="inlineStr">
        <is>
          <t>UNIDADE</t>
        </is>
      </c>
      <c r="D15" s="32" t="n">
        <v>19</v>
      </c>
      <c r="E15" s="33" t="n">
        <v>110329.62</v>
      </c>
      <c r="F15" s="33" t="n">
        <v>0</v>
      </c>
      <c r="G15" s="33" t="n">
        <v>0</v>
      </c>
      <c r="H15" s="33" t="n">
        <v>0</v>
      </c>
      <c r="I15" s="33" t="n">
        <v>110329.62</v>
      </c>
      <c r="J15" s="33" t="n">
        <v>148388.38</v>
      </c>
      <c r="K15" s="33" t="n">
        <v>0</v>
      </c>
      <c r="L15" s="33" t="n">
        <v>0</v>
      </c>
      <c r="M15" s="33" t="n">
        <v>0</v>
      </c>
      <c r="N15" s="33" t="n">
        <v>148388.38</v>
      </c>
      <c r="O15" s="31" t="inlineStr">
        <is>
          <t>C</t>
        </is>
      </c>
    </row>
    <row r="16">
      <c r="A16" s="34" t="inlineStr">
        <is>
          <t>eap-3_4</t>
        </is>
      </c>
      <c r="B16" s="34" t="inlineStr">
        <is>
          <t>Cerca arame liso (5 fios) com mourão de eucalipto e mourão de madeira a cada 2,5 m e esticador a cada 50 m executada em solos compostos por material de 1ª e 2ª categoria</t>
        </is>
      </c>
      <c r="C16" s="34" t="inlineStr">
        <is>
          <t>M</t>
        </is>
      </c>
      <c r="D16" s="35" t="n">
        <v>700</v>
      </c>
      <c r="E16" s="36" t="n">
        <v>246694.79</v>
      </c>
      <c r="F16" s="36" t="n">
        <v>23154.56</v>
      </c>
      <c r="G16" s="36" t="n">
        <v>6101.63</v>
      </c>
      <c r="H16" s="36" t="n">
        <v>0</v>
      </c>
      <c r="I16" s="36" t="n">
        <v>275950.99</v>
      </c>
      <c r="J16" s="36" t="n">
        <v>331793.4</v>
      </c>
      <c r="K16" s="36" t="n">
        <v>31141.84</v>
      </c>
      <c r="L16" s="36" t="n">
        <v>8206.42</v>
      </c>
      <c r="M16" s="36" t="n">
        <v>0</v>
      </c>
      <c r="N16" s="36" t="n">
        <v>371141.66</v>
      </c>
      <c r="O16" s="34" t="inlineStr">
        <is>
          <t>C</t>
        </is>
      </c>
    </row>
    <row r="18">
      <c r="A18" s="29" t="inlineStr">
        <is>
          <t>TOTAL</t>
        </is>
      </c>
      <c r="E18" s="30">
        <f>SUM(E3:E17)</f>
        <v/>
      </c>
      <c r="F18" s="30">
        <f>SUM(F3:F17)</f>
        <v/>
      </c>
      <c r="G18" s="30">
        <f>SUM(G3:G17)</f>
        <v/>
      </c>
      <c r="H18" s="30">
        <f>SUM(H3:H17)</f>
        <v/>
      </c>
      <c r="I18" s="30">
        <f>SUM(I3:I17)</f>
        <v/>
      </c>
      <c r="J18" s="30">
        <f>SUM(J3:J17)</f>
        <v/>
      </c>
      <c r="K18" s="30">
        <f>SUM(K3:K17)</f>
        <v/>
      </c>
      <c r="L18" s="30">
        <f>SUM(L3:L17)</f>
        <v/>
      </c>
      <c r="M18" s="30">
        <f>SUM(M3:M17)</f>
        <v/>
      </c>
      <c r="N18" s="30">
        <f>SUM(N3:N17)</f>
        <v/>
      </c>
      <c r="O18" s="30">
        <f>SUM(O3:O17)</f>
        <v/>
      </c>
    </row>
  </sheetData>
  <mergeCells count="2">
    <mergeCell ref="A1:O1"/>
    <mergeCell ref="A18:D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7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6" customWidth="1" min="3" max="3"/>
    <col width="2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>
      <c r="A1" s="1" t="inlineStr">
        <is>
          <t>CRONOGRAMA SEMANAL — ACOMPANHAMENTO FÍSICO DE PRODUÇÃO</t>
        </is>
      </c>
    </row>
    <row r="2">
      <c r="A2" s="2" t="inlineStr">
        <is>
          <t>Item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Métrica</t>
        </is>
      </c>
      <c r="E2" s="2" t="inlineStr">
        <is>
          <t>30/Dez</t>
        </is>
      </c>
      <c r="F2" s="2" t="inlineStr">
        <is>
          <t>06/Jan</t>
        </is>
      </c>
      <c r="G2" s="2" t="inlineStr">
        <is>
          <t>13/Jan</t>
        </is>
      </c>
      <c r="H2" s="2" t="inlineStr">
        <is>
          <t>20/Jan</t>
        </is>
      </c>
      <c r="I2" s="2" t="inlineStr">
        <is>
          <t>27/Jan</t>
        </is>
      </c>
      <c r="J2" s="2" t="inlineStr">
        <is>
          <t>03/Fev</t>
        </is>
      </c>
      <c r="K2" s="2" t="inlineStr">
        <is>
          <t>10/Fev</t>
        </is>
      </c>
      <c r="L2" s="2" t="inlineStr">
        <is>
          <t>17/Fev</t>
        </is>
      </c>
      <c r="M2" s="2" t="inlineStr">
        <is>
          <t>24/Fev</t>
        </is>
      </c>
      <c r="N2" s="2" t="inlineStr">
        <is>
          <t>03/Mar</t>
        </is>
      </c>
      <c r="O2" s="2" t="inlineStr">
        <is>
          <t>10/Mar</t>
        </is>
      </c>
      <c r="P2" s="2" t="inlineStr">
        <is>
          <t>17/Mar</t>
        </is>
      </c>
      <c r="Q2" s="2" t="inlineStr">
        <is>
          <t>24/Mar</t>
        </is>
      </c>
      <c r="R2" s="2" t="inlineStr">
        <is>
          <t>31/Mar</t>
        </is>
      </c>
      <c r="S2" s="2" t="inlineStr">
        <is>
          <t>07/Abr</t>
        </is>
      </c>
      <c r="T2" s="2" t="inlineStr">
        <is>
          <t>14/Abr</t>
        </is>
      </c>
      <c r="U2" s="2" t="inlineStr">
        <is>
          <t>21/Abr</t>
        </is>
      </c>
      <c r="V2" s="2" t="inlineStr">
        <is>
          <t>28/Abr</t>
        </is>
      </c>
      <c r="W2" s="2" t="inlineStr">
        <is>
          <t>05/Mai</t>
        </is>
      </c>
      <c r="X2" s="2" t="inlineStr">
        <is>
          <t>12/Mai</t>
        </is>
      </c>
      <c r="Y2" s="2" t="inlineStr">
        <is>
          <t>19/Mai</t>
        </is>
      </c>
      <c r="Z2" s="2" t="inlineStr">
        <is>
          <t>26/Mai</t>
        </is>
      </c>
      <c r="AA2" s="2" t="inlineStr">
        <is>
          <t>02/Jun</t>
        </is>
      </c>
      <c r="AB2" s="2" t="inlineStr">
        <is>
          <t>09/Jun</t>
        </is>
      </c>
      <c r="AC2" s="2" t="inlineStr">
        <is>
          <t>16/Jun</t>
        </is>
      </c>
      <c r="AD2" s="2" t="inlineStr">
        <is>
          <t>23/Jun</t>
        </is>
      </c>
      <c r="AE2" s="2" t="inlineStr">
        <is>
          <t>30/Jun</t>
        </is>
      </c>
    </row>
    <row r="3">
      <c r="A3" s="49" t="n"/>
      <c r="B3" s="49" t="n"/>
      <c r="C3" s="49" t="n"/>
      <c r="D3" s="50" t="inlineStr">
        <is>
          <t>Praticabilidade</t>
        </is>
      </c>
      <c r="E3" s="51" t="n">
        <v>0.8571</v>
      </c>
      <c r="F3" s="52" t="n">
        <v>1</v>
      </c>
      <c r="G3" s="51" t="n">
        <v>0.8571</v>
      </c>
      <c r="H3" s="51" t="n">
        <v>0.7143</v>
      </c>
      <c r="I3" s="51" t="n">
        <v>0.8571</v>
      </c>
      <c r="J3" s="51" t="n">
        <v>0.7143</v>
      </c>
      <c r="K3" s="51" t="n">
        <v>0.8571</v>
      </c>
      <c r="L3" s="51" t="n">
        <v>0.5714</v>
      </c>
      <c r="M3" s="51" t="n">
        <v>0.7143</v>
      </c>
      <c r="N3" s="51" t="n">
        <v>0.5714</v>
      </c>
      <c r="O3" s="51" t="n">
        <v>0.8571</v>
      </c>
      <c r="P3" s="51" t="n">
        <v>0.5714</v>
      </c>
      <c r="Q3" s="51" t="n">
        <v>0.5714</v>
      </c>
      <c r="R3" s="51" t="n">
        <v>0.8571</v>
      </c>
      <c r="S3" s="52" t="n">
        <v>1</v>
      </c>
      <c r="T3" s="51" t="n">
        <v>0.8571</v>
      </c>
      <c r="U3" s="51" t="n">
        <v>0.8571</v>
      </c>
      <c r="V3" s="51" t="n">
        <v>0.8571</v>
      </c>
      <c r="W3" s="51" t="n">
        <v>0.8571</v>
      </c>
      <c r="X3" s="52" t="n">
        <v>1</v>
      </c>
      <c r="Y3" s="51" t="n">
        <v>0.7143</v>
      </c>
      <c r="Z3" s="52" t="n">
        <v>1</v>
      </c>
      <c r="AA3" s="52" t="n">
        <v>1</v>
      </c>
      <c r="AB3" s="52" t="n">
        <v>1</v>
      </c>
      <c r="AC3" s="52" t="n">
        <v>1</v>
      </c>
      <c r="AD3" s="52" t="n">
        <v>1</v>
      </c>
      <c r="AE3" s="52" t="n">
        <v>1</v>
      </c>
    </row>
    <row r="4">
      <c r="A4" s="20" t="inlineStr">
        <is>
          <t>eap-3_1</t>
        </is>
      </c>
      <c r="B4" s="20" t="inlineStr">
        <is>
          <t>Cerca arame liso (5 fios) com mourões de concreto, seção quadrada 10 x 10 cm (padrão VALEC) executada em solos compostos por material de 1ª e 2ª categoria</t>
        </is>
      </c>
      <c r="C4" s="53" t="inlineStr">
        <is>
          <t>M</t>
        </is>
      </c>
      <c r="D4" s="54" t="inlineStr">
        <is>
          <t>Dias Trabalhados</t>
        </is>
      </c>
      <c r="E4" s="55" t="n">
        <v>6</v>
      </c>
      <c r="F4" s="55" t="n">
        <v>6</v>
      </c>
      <c r="G4" s="55" t="n">
        <v>6</v>
      </c>
      <c r="H4" s="55" t="n">
        <v>6</v>
      </c>
      <c r="I4" s="55" t="n">
        <v>6</v>
      </c>
      <c r="J4" s="55" t="n">
        <v>6</v>
      </c>
      <c r="K4" s="55" t="n">
        <v>6</v>
      </c>
      <c r="L4" s="55" t="n">
        <v>6</v>
      </c>
      <c r="M4" s="55" t="n">
        <v>6</v>
      </c>
      <c r="N4" s="55" t="n">
        <v>6</v>
      </c>
      <c r="O4" s="55" t="n">
        <v>6</v>
      </c>
      <c r="P4" s="55" t="n">
        <v>6</v>
      </c>
      <c r="Q4" s="55" t="n">
        <v>6</v>
      </c>
      <c r="R4" s="55" t="n">
        <v>6</v>
      </c>
      <c r="S4" s="55" t="n">
        <v>6</v>
      </c>
      <c r="T4" s="55" t="n">
        <v>6</v>
      </c>
      <c r="U4" s="55" t="n">
        <v>6</v>
      </c>
      <c r="V4" s="55" t="n">
        <v>6</v>
      </c>
      <c r="W4" s="55" t="n">
        <v>6</v>
      </c>
      <c r="X4" s="55" t="n">
        <v>6</v>
      </c>
      <c r="Y4" s="55" t="n">
        <v>6</v>
      </c>
      <c r="Z4" s="55" t="n">
        <v>6</v>
      </c>
      <c r="AA4" s="55" t="n">
        <v>6</v>
      </c>
      <c r="AB4" s="55" t="n">
        <v>6</v>
      </c>
      <c r="AC4" s="55" t="n">
        <v>6</v>
      </c>
      <c r="AD4" s="55" t="n">
        <v>6</v>
      </c>
      <c r="AE4" s="56" t="n"/>
    </row>
    <row r="5">
      <c r="A5" s="11" t="n"/>
      <c r="B5" s="11" t="n"/>
      <c r="C5" s="18" t="n"/>
      <c r="D5" s="57" t="inlineStr">
        <is>
          <t>Nº De Equipes</t>
        </is>
      </c>
      <c r="E5" s="58" t="n">
        <v>2</v>
      </c>
      <c r="F5" s="58" t="n">
        <v>2</v>
      </c>
      <c r="G5" s="58" t="n">
        <v>2</v>
      </c>
      <c r="H5" s="58" t="n">
        <v>2</v>
      </c>
      <c r="I5" s="58" t="n">
        <v>2</v>
      </c>
      <c r="J5" s="58" t="n">
        <v>2</v>
      </c>
      <c r="K5" s="58" t="n">
        <v>2</v>
      </c>
      <c r="L5" s="58" t="n">
        <v>2</v>
      </c>
      <c r="M5" s="58" t="n">
        <v>2</v>
      </c>
      <c r="N5" s="58" t="n">
        <v>2</v>
      </c>
      <c r="O5" s="58" t="n">
        <v>2</v>
      </c>
      <c r="P5" s="58" t="n">
        <v>2</v>
      </c>
      <c r="Q5" s="58" t="n">
        <v>2</v>
      </c>
      <c r="R5" s="58" t="n">
        <v>2</v>
      </c>
      <c r="S5" s="58" t="n">
        <v>2</v>
      </c>
      <c r="T5" s="58" t="n">
        <v>2</v>
      </c>
      <c r="U5" s="58" t="n">
        <v>2</v>
      </c>
      <c r="V5" s="58" t="n">
        <v>2</v>
      </c>
      <c r="W5" s="58" t="n">
        <v>2</v>
      </c>
      <c r="X5" s="58" t="n">
        <v>2</v>
      </c>
      <c r="Y5" s="58" t="n">
        <v>2</v>
      </c>
      <c r="Z5" s="58" t="n">
        <v>2</v>
      </c>
      <c r="AA5" s="58" t="n">
        <v>2</v>
      </c>
      <c r="AB5" s="58" t="n">
        <v>2</v>
      </c>
      <c r="AC5" s="58" t="n">
        <v>2</v>
      </c>
      <c r="AD5" s="58" t="n">
        <v>2</v>
      </c>
      <c r="AE5" s="59" t="n"/>
    </row>
    <row r="6">
      <c r="A6" s="11" t="n"/>
      <c r="B6" s="11" t="n"/>
      <c r="C6" s="18" t="n"/>
      <c r="D6" s="57" t="inlineStr">
        <is>
          <t>Qtd. Planejada</t>
        </is>
      </c>
      <c r="E6" s="33" t="n">
        <v>4114.08</v>
      </c>
      <c r="F6" s="33" t="n">
        <v>4800</v>
      </c>
      <c r="G6" s="33" t="n">
        <v>4114.08</v>
      </c>
      <c r="H6" s="33" t="n">
        <v>3428.64</v>
      </c>
      <c r="I6" s="33" t="n">
        <v>4114.08</v>
      </c>
      <c r="J6" s="33" t="n">
        <v>3428.64</v>
      </c>
      <c r="K6" s="33" t="n">
        <v>4114.08</v>
      </c>
      <c r="L6" s="33" t="n">
        <v>2742.72</v>
      </c>
      <c r="M6" s="33" t="n">
        <v>3428.64</v>
      </c>
      <c r="N6" s="33" t="n">
        <v>2742.72</v>
      </c>
      <c r="O6" s="33" t="n">
        <v>4114.08</v>
      </c>
      <c r="P6" s="33" t="n">
        <v>2742.72</v>
      </c>
      <c r="Q6" s="33" t="n">
        <v>2742.72</v>
      </c>
      <c r="R6" s="33" t="n">
        <v>4114.08</v>
      </c>
      <c r="S6" s="33" t="n">
        <v>4800</v>
      </c>
      <c r="T6" s="33" t="n">
        <v>4114.08</v>
      </c>
      <c r="U6" s="33" t="n">
        <v>4114.08</v>
      </c>
      <c r="V6" s="33" t="n">
        <v>4114.08</v>
      </c>
      <c r="W6" s="33" t="n">
        <v>4114.08</v>
      </c>
      <c r="X6" s="33" t="n">
        <v>4800</v>
      </c>
      <c r="Y6" s="33" t="n">
        <v>1130.78</v>
      </c>
      <c r="Z6" s="59" t="n"/>
      <c r="AA6" s="59" t="n"/>
      <c r="AB6" s="59" t="n"/>
      <c r="AC6" s="59" t="n"/>
      <c r="AD6" s="59" t="n"/>
      <c r="AE6" s="59" t="n"/>
    </row>
    <row r="7">
      <c r="A7" s="11" t="n"/>
      <c r="B7" s="11" t="n"/>
      <c r="C7" s="18" t="n"/>
      <c r="D7" s="57" t="inlineStr">
        <is>
          <t>Qtd Plan. Acumulada</t>
        </is>
      </c>
      <c r="E7" s="33" t="n">
        <v>4114.08</v>
      </c>
      <c r="F7" s="33" t="n">
        <v>8914.08</v>
      </c>
      <c r="G7" s="33" t="n">
        <v>13028.16</v>
      </c>
      <c r="H7" s="33" t="n">
        <v>16456.8</v>
      </c>
      <c r="I7" s="33" t="n">
        <v>20570.88</v>
      </c>
      <c r="J7" s="33" t="n">
        <v>23999.52</v>
      </c>
      <c r="K7" s="33" t="n">
        <v>28113.6</v>
      </c>
      <c r="L7" s="33" t="n">
        <v>30856.32</v>
      </c>
      <c r="M7" s="33" t="n">
        <v>34284.96</v>
      </c>
      <c r="N7" s="33" t="n">
        <v>37027.68</v>
      </c>
      <c r="O7" s="33" t="n">
        <v>41141.76</v>
      </c>
      <c r="P7" s="33" t="n">
        <v>43884.48</v>
      </c>
      <c r="Q7" s="33" t="n">
        <v>46627.2</v>
      </c>
      <c r="R7" s="33" t="n">
        <v>50741.28</v>
      </c>
      <c r="S7" s="33" t="n">
        <v>55541.28</v>
      </c>
      <c r="T7" s="33" t="n">
        <v>59655.36</v>
      </c>
      <c r="U7" s="33" t="n">
        <v>63769.44</v>
      </c>
      <c r="V7" s="33" t="n">
        <v>67883.52</v>
      </c>
      <c r="W7" s="33" t="n">
        <v>71997.60000000001</v>
      </c>
      <c r="X7" s="33" t="n">
        <v>76797.60000000001</v>
      </c>
      <c r="Y7" s="33" t="n">
        <v>77928.38</v>
      </c>
      <c r="Z7" s="33" t="n">
        <v>77928.38</v>
      </c>
      <c r="AA7" s="33" t="n">
        <v>77928.38</v>
      </c>
      <c r="AB7" s="33" t="n">
        <v>77928.38</v>
      </c>
      <c r="AC7" s="33" t="n">
        <v>77928.38</v>
      </c>
      <c r="AD7" s="33" t="n">
        <v>77928.38</v>
      </c>
      <c r="AE7" s="33" t="n">
        <v>77928.38</v>
      </c>
    </row>
    <row r="8">
      <c r="A8" s="11" t="n"/>
      <c r="B8" s="11" t="n"/>
      <c r="C8" s="18" t="n"/>
      <c r="D8" s="57" t="inlineStr">
        <is>
          <t>Eficiência</t>
        </is>
      </c>
      <c r="E8" s="60" t="n">
        <v>0.8571</v>
      </c>
      <c r="F8" s="60" t="n">
        <v>1</v>
      </c>
      <c r="G8" s="60" t="n">
        <v>0.8571</v>
      </c>
      <c r="H8" s="60" t="n">
        <v>0.7143</v>
      </c>
      <c r="I8" s="60" t="n">
        <v>0.8571</v>
      </c>
      <c r="J8" s="60" t="n">
        <v>0.7143</v>
      </c>
      <c r="K8" s="60" t="n">
        <v>0.8571</v>
      </c>
      <c r="L8" s="60" t="n">
        <v>0.5714</v>
      </c>
      <c r="M8" s="60" t="n">
        <v>0.7143</v>
      </c>
      <c r="N8" s="60" t="n">
        <v>0.5714</v>
      </c>
      <c r="O8" s="60" t="n">
        <v>0.8571</v>
      </c>
      <c r="P8" s="60" t="n">
        <v>0.5714</v>
      </c>
      <c r="Q8" s="60" t="n">
        <v>0.5714</v>
      </c>
      <c r="R8" s="60" t="n">
        <v>0.8571</v>
      </c>
      <c r="S8" s="60" t="n">
        <v>1</v>
      </c>
      <c r="T8" s="60" t="n">
        <v>0.8571</v>
      </c>
      <c r="U8" s="60" t="n">
        <v>0.8571</v>
      </c>
      <c r="V8" s="60" t="n">
        <v>0.8571</v>
      </c>
      <c r="W8" s="60" t="n">
        <v>0.8571</v>
      </c>
      <c r="X8" s="60" t="n">
        <v>1</v>
      </c>
      <c r="Y8" s="60" t="n">
        <v>0.7143</v>
      </c>
      <c r="Z8" s="60" t="n">
        <v>1</v>
      </c>
      <c r="AA8" s="60" t="n">
        <v>1</v>
      </c>
      <c r="AB8" s="60" t="n">
        <v>1</v>
      </c>
      <c r="AC8" s="60" t="n">
        <v>1</v>
      </c>
      <c r="AD8" s="60" t="n">
        <v>1</v>
      </c>
      <c r="AE8" s="59" t="n"/>
    </row>
    <row r="9">
      <c r="A9" s="61" t="inlineStr">
        <is>
          <t>eap-1_2</t>
        </is>
      </c>
      <c r="B9" s="61" t="inlineStr">
        <is>
          <t>Supressão vegetal, destocamento e limpeza de árvores, arbustos, vegetação rasteira e entulhos com remoção para área de depósito - DMT até 350m</t>
        </is>
      </c>
      <c r="C9" s="62" t="inlineStr">
        <is>
          <t>M2</t>
        </is>
      </c>
      <c r="D9" s="63" t="inlineStr">
        <is>
          <t>Dias Trabalhados</t>
        </is>
      </c>
      <c r="E9" s="64" t="n">
        <v>6</v>
      </c>
      <c r="F9" s="64" t="n">
        <v>6</v>
      </c>
      <c r="G9" s="64" t="n">
        <v>6</v>
      </c>
      <c r="H9" s="64" t="n">
        <v>6</v>
      </c>
      <c r="I9" s="64" t="n">
        <v>6</v>
      </c>
      <c r="J9" s="64" t="n">
        <v>6</v>
      </c>
      <c r="K9" s="64" t="n">
        <v>6</v>
      </c>
      <c r="L9" s="64" t="n">
        <v>6</v>
      </c>
      <c r="M9" s="64" t="n">
        <v>6</v>
      </c>
      <c r="N9" s="64" t="n">
        <v>6</v>
      </c>
      <c r="O9" s="64" t="n">
        <v>6</v>
      </c>
      <c r="P9" s="64" t="n">
        <v>6</v>
      </c>
      <c r="Q9" s="64" t="n">
        <v>6</v>
      </c>
      <c r="R9" s="64" t="n">
        <v>6</v>
      </c>
      <c r="S9" s="64" t="n">
        <v>6</v>
      </c>
      <c r="T9" s="64" t="n">
        <v>6</v>
      </c>
      <c r="U9" s="64" t="n">
        <v>6</v>
      </c>
      <c r="V9" s="64" t="n">
        <v>6</v>
      </c>
      <c r="W9" s="64" t="n">
        <v>6</v>
      </c>
      <c r="X9" s="64" t="n">
        <v>6</v>
      </c>
      <c r="Y9" s="64" t="n">
        <v>6</v>
      </c>
      <c r="Z9" s="64" t="n">
        <v>6</v>
      </c>
      <c r="AA9" s="64" t="n">
        <v>6</v>
      </c>
      <c r="AB9" s="64" t="n">
        <v>6</v>
      </c>
      <c r="AC9" s="64" t="n">
        <v>6</v>
      </c>
      <c r="AD9" s="64" t="n">
        <v>6</v>
      </c>
      <c r="AE9" s="65" t="n"/>
    </row>
    <row r="10">
      <c r="A10" s="13" t="n"/>
      <c r="B10" s="13" t="n"/>
      <c r="C10" s="27" t="n"/>
      <c r="D10" s="66" t="inlineStr">
        <is>
          <t>Nº De Equipes</t>
        </is>
      </c>
      <c r="E10" s="67" t="n">
        <v>6</v>
      </c>
      <c r="F10" s="67" t="n">
        <v>6</v>
      </c>
      <c r="G10" s="67" t="n">
        <v>6</v>
      </c>
      <c r="H10" s="67" t="n">
        <v>6</v>
      </c>
      <c r="I10" s="67" t="n">
        <v>6</v>
      </c>
      <c r="J10" s="67" t="n">
        <v>6</v>
      </c>
      <c r="K10" s="67" t="n">
        <v>6</v>
      </c>
      <c r="L10" s="67" t="n">
        <v>6</v>
      </c>
      <c r="M10" s="67" t="n">
        <v>6</v>
      </c>
      <c r="N10" s="67" t="n">
        <v>6</v>
      </c>
      <c r="O10" s="67" t="n">
        <v>6</v>
      </c>
      <c r="P10" s="67" t="n">
        <v>6</v>
      </c>
      <c r="Q10" s="67" t="n">
        <v>6</v>
      </c>
      <c r="R10" s="67" t="n">
        <v>6</v>
      </c>
      <c r="S10" s="67" t="n">
        <v>6</v>
      </c>
      <c r="T10" s="67" t="n">
        <v>6</v>
      </c>
      <c r="U10" s="67" t="n">
        <v>6</v>
      </c>
      <c r="V10" s="67" t="n">
        <v>6</v>
      </c>
      <c r="W10" s="67" t="n">
        <v>6</v>
      </c>
      <c r="X10" s="67" t="n">
        <v>6</v>
      </c>
      <c r="Y10" s="67" t="n">
        <v>6</v>
      </c>
      <c r="Z10" s="67" t="n">
        <v>6</v>
      </c>
      <c r="AA10" s="67" t="n">
        <v>6</v>
      </c>
      <c r="AB10" s="67" t="n">
        <v>6</v>
      </c>
      <c r="AC10" s="67" t="n">
        <v>6</v>
      </c>
      <c r="AD10" s="67" t="n">
        <v>6</v>
      </c>
      <c r="AE10" s="68" t="n"/>
    </row>
    <row r="11">
      <c r="A11" s="13" t="n"/>
      <c r="B11" s="13" t="n"/>
      <c r="C11" s="27" t="n"/>
      <c r="D11" s="66" t="inlineStr">
        <is>
          <t>Qtd. Planejada</t>
        </is>
      </c>
      <c r="E11" s="36" t="n">
        <v>86395.67999999999</v>
      </c>
      <c r="F11" s="36" t="n">
        <v>100800</v>
      </c>
      <c r="G11" s="36" t="n">
        <v>86395.67999999999</v>
      </c>
      <c r="H11" s="36" t="n">
        <v>72001.44</v>
      </c>
      <c r="I11" s="36" t="n">
        <v>86395.67999999999</v>
      </c>
      <c r="J11" s="36" t="n">
        <v>72001.44</v>
      </c>
      <c r="K11" s="36" t="n">
        <v>86395.67999999999</v>
      </c>
      <c r="L11" s="36" t="n">
        <v>57597.12</v>
      </c>
      <c r="M11" s="36" t="n">
        <v>72001.44</v>
      </c>
      <c r="N11" s="36" t="n">
        <v>57597.12</v>
      </c>
      <c r="O11" s="36" t="n">
        <v>86395.67999999999</v>
      </c>
      <c r="P11" s="36" t="n">
        <v>57597.12</v>
      </c>
      <c r="Q11" s="36" t="n">
        <v>57597.12</v>
      </c>
      <c r="R11" s="36" t="n">
        <v>86395.67999999999</v>
      </c>
      <c r="S11" s="36" t="n">
        <v>100800</v>
      </c>
      <c r="T11" s="36" t="n">
        <v>86395.67999999999</v>
      </c>
      <c r="U11" s="36" t="n">
        <v>86395.67999999999</v>
      </c>
      <c r="V11" s="36" t="n">
        <v>86395.67999999999</v>
      </c>
      <c r="W11" s="36" t="n">
        <v>86395.67999999999</v>
      </c>
      <c r="X11" s="36" t="n">
        <v>100800</v>
      </c>
      <c r="Y11" s="36" t="n">
        <v>72001.44</v>
      </c>
      <c r="Z11" s="36" t="n">
        <v>100800</v>
      </c>
      <c r="AA11" s="36" t="n">
        <v>100800</v>
      </c>
      <c r="AB11" s="36" t="n">
        <v>100800</v>
      </c>
      <c r="AC11" s="36" t="n">
        <v>49361.31</v>
      </c>
      <c r="AD11" s="68" t="n"/>
      <c r="AE11" s="68" t="n"/>
    </row>
    <row r="12">
      <c r="A12" s="13" t="n"/>
      <c r="B12" s="13" t="n"/>
      <c r="C12" s="27" t="n"/>
      <c r="D12" s="66" t="inlineStr">
        <is>
          <t>Qtd Plan. Acumulada</t>
        </is>
      </c>
      <c r="E12" s="36" t="n">
        <v>86395.67999999999</v>
      </c>
      <c r="F12" s="36" t="n">
        <v>187195.68</v>
      </c>
      <c r="G12" s="36" t="n">
        <v>273591.36</v>
      </c>
      <c r="H12" s="36" t="n">
        <v>345592.8</v>
      </c>
      <c r="I12" s="36" t="n">
        <v>431988.48</v>
      </c>
      <c r="J12" s="36" t="n">
        <v>503989.92</v>
      </c>
      <c r="K12" s="36" t="n">
        <v>590385.6</v>
      </c>
      <c r="L12" s="36" t="n">
        <v>647982.72</v>
      </c>
      <c r="M12" s="36" t="n">
        <v>719984.16</v>
      </c>
      <c r="N12" s="36" t="n">
        <v>777581.28</v>
      </c>
      <c r="O12" s="36" t="n">
        <v>863976.96</v>
      </c>
      <c r="P12" s="36" t="n">
        <v>921574.08</v>
      </c>
      <c r="Q12" s="36" t="n">
        <v>979171.2</v>
      </c>
      <c r="R12" s="36" t="n">
        <v>1065566.88</v>
      </c>
      <c r="S12" s="36" t="n">
        <v>1166366.88</v>
      </c>
      <c r="T12" s="36" t="n">
        <v>1252762.56</v>
      </c>
      <c r="U12" s="36" t="n">
        <v>1339158.24</v>
      </c>
      <c r="V12" s="36" t="n">
        <v>1425553.92</v>
      </c>
      <c r="W12" s="36" t="n">
        <v>1511949.6</v>
      </c>
      <c r="X12" s="36" t="n">
        <v>1612749.6</v>
      </c>
      <c r="Y12" s="36" t="n">
        <v>1684751.04</v>
      </c>
      <c r="Z12" s="36" t="n">
        <v>1785551.04</v>
      </c>
      <c r="AA12" s="36" t="n">
        <v>1886351.04</v>
      </c>
      <c r="AB12" s="36" t="n">
        <v>1987151.04</v>
      </c>
      <c r="AC12" s="36" t="n">
        <v>2036512.35</v>
      </c>
      <c r="AD12" s="36" t="n">
        <v>2036512.35</v>
      </c>
      <c r="AE12" s="36" t="n">
        <v>2036512.35</v>
      </c>
    </row>
    <row r="13">
      <c r="A13" s="13" t="n"/>
      <c r="B13" s="13" t="n"/>
      <c r="C13" s="27" t="n"/>
      <c r="D13" s="66" t="inlineStr">
        <is>
          <t>Eficiência</t>
        </is>
      </c>
      <c r="E13" s="69" t="n">
        <v>0.8571</v>
      </c>
      <c r="F13" s="69" t="n">
        <v>1</v>
      </c>
      <c r="G13" s="69" t="n">
        <v>0.8571</v>
      </c>
      <c r="H13" s="69" t="n">
        <v>0.7143</v>
      </c>
      <c r="I13" s="69" t="n">
        <v>0.8571</v>
      </c>
      <c r="J13" s="69" t="n">
        <v>0.7143</v>
      </c>
      <c r="K13" s="69" t="n">
        <v>0.8571</v>
      </c>
      <c r="L13" s="69" t="n">
        <v>0.5714</v>
      </c>
      <c r="M13" s="69" t="n">
        <v>0.7143</v>
      </c>
      <c r="N13" s="69" t="n">
        <v>0.5714</v>
      </c>
      <c r="O13" s="69" t="n">
        <v>0.8571</v>
      </c>
      <c r="P13" s="69" t="n">
        <v>0.5714</v>
      </c>
      <c r="Q13" s="69" t="n">
        <v>0.5714</v>
      </c>
      <c r="R13" s="69" t="n">
        <v>0.8571</v>
      </c>
      <c r="S13" s="69" t="n">
        <v>1</v>
      </c>
      <c r="T13" s="69" t="n">
        <v>0.8571</v>
      </c>
      <c r="U13" s="69" t="n">
        <v>0.8571</v>
      </c>
      <c r="V13" s="69" t="n">
        <v>0.8571</v>
      </c>
      <c r="W13" s="69" t="n">
        <v>0.8571</v>
      </c>
      <c r="X13" s="69" t="n">
        <v>1</v>
      </c>
      <c r="Y13" s="69" t="n">
        <v>0.7143</v>
      </c>
      <c r="Z13" s="69" t="n">
        <v>1</v>
      </c>
      <c r="AA13" s="69" t="n">
        <v>1</v>
      </c>
      <c r="AB13" s="69" t="n">
        <v>1</v>
      </c>
      <c r="AC13" s="69" t="n">
        <v>1</v>
      </c>
      <c r="AD13" s="69" t="n">
        <v>1</v>
      </c>
      <c r="AE13" s="68" t="n"/>
    </row>
    <row r="14">
      <c r="A14" s="20" t="inlineStr">
        <is>
          <t>eap-1_1</t>
        </is>
      </c>
      <c r="B14" s="20" t="inlineStr">
        <is>
          <t>Supressão vegetal com ou sem destocamento de vegetação com Ø =&lt; 30cm, assim como remoção de arbustos, vegetação rasteira e limpeza para a área de depósito - DMT até 350m - ALTA</t>
        </is>
      </c>
      <c r="C14" s="53" t="inlineStr">
        <is>
          <t>M2</t>
        </is>
      </c>
      <c r="D14" s="54" t="inlineStr">
        <is>
          <t>Dias Trabalhados</t>
        </is>
      </c>
      <c r="E14" s="55" t="n">
        <v>6</v>
      </c>
      <c r="F14" s="55" t="n">
        <v>6</v>
      </c>
      <c r="G14" s="55" t="n">
        <v>6</v>
      </c>
      <c r="H14" s="55" t="n">
        <v>6</v>
      </c>
      <c r="I14" s="55" t="n">
        <v>6</v>
      </c>
      <c r="J14" s="55" t="n">
        <v>6</v>
      </c>
      <c r="K14" s="55" t="n">
        <v>6</v>
      </c>
      <c r="L14" s="55" t="n">
        <v>6</v>
      </c>
      <c r="M14" s="55" t="n">
        <v>6</v>
      </c>
      <c r="N14" s="55" t="n">
        <v>6</v>
      </c>
      <c r="O14" s="55" t="n">
        <v>6</v>
      </c>
      <c r="P14" s="55" t="n">
        <v>6</v>
      </c>
      <c r="Q14" s="55" t="n">
        <v>6</v>
      </c>
      <c r="R14" s="55" t="n">
        <v>6</v>
      </c>
      <c r="S14" s="55" t="n">
        <v>6</v>
      </c>
      <c r="T14" s="55" t="n">
        <v>6</v>
      </c>
      <c r="U14" s="55" t="n">
        <v>6</v>
      </c>
      <c r="V14" s="55" t="n">
        <v>6</v>
      </c>
      <c r="W14" s="55" t="n">
        <v>6</v>
      </c>
      <c r="X14" s="55" t="n">
        <v>6</v>
      </c>
      <c r="Y14" s="55" t="n">
        <v>6</v>
      </c>
      <c r="Z14" s="55" t="n">
        <v>6</v>
      </c>
      <c r="AA14" s="55" t="n">
        <v>6</v>
      </c>
      <c r="AB14" s="55" t="n">
        <v>6</v>
      </c>
      <c r="AC14" s="55" t="n">
        <v>6</v>
      </c>
      <c r="AD14" s="55" t="n">
        <v>6</v>
      </c>
      <c r="AE14" s="56" t="n"/>
    </row>
    <row r="15">
      <c r="A15" s="11" t="n"/>
      <c r="B15" s="11" t="n"/>
      <c r="C15" s="18" t="n"/>
      <c r="D15" s="57" t="inlineStr">
        <is>
          <t>Nº De Equipes</t>
        </is>
      </c>
      <c r="E15" s="58" t="n">
        <v>2</v>
      </c>
      <c r="F15" s="58" t="n">
        <v>2</v>
      </c>
      <c r="G15" s="58" t="n">
        <v>2</v>
      </c>
      <c r="H15" s="58" t="n">
        <v>2</v>
      </c>
      <c r="I15" s="58" t="n">
        <v>2</v>
      </c>
      <c r="J15" s="58" t="n">
        <v>2</v>
      </c>
      <c r="K15" s="58" t="n">
        <v>2</v>
      </c>
      <c r="L15" s="58" t="n">
        <v>2</v>
      </c>
      <c r="M15" s="58" t="n">
        <v>2</v>
      </c>
      <c r="N15" s="58" t="n">
        <v>2</v>
      </c>
      <c r="O15" s="58" t="n">
        <v>2</v>
      </c>
      <c r="P15" s="58" t="n">
        <v>2</v>
      </c>
      <c r="Q15" s="58" t="n">
        <v>2</v>
      </c>
      <c r="R15" s="58" t="n">
        <v>2</v>
      </c>
      <c r="S15" s="58" t="n">
        <v>2</v>
      </c>
      <c r="T15" s="58" t="n">
        <v>2</v>
      </c>
      <c r="U15" s="58" t="n">
        <v>2</v>
      </c>
      <c r="V15" s="58" t="n">
        <v>2</v>
      </c>
      <c r="W15" s="58" t="n">
        <v>2</v>
      </c>
      <c r="X15" s="58" t="n">
        <v>2</v>
      </c>
      <c r="Y15" s="58" t="n">
        <v>2</v>
      </c>
      <c r="Z15" s="58" t="n">
        <v>2</v>
      </c>
      <c r="AA15" s="58" t="n">
        <v>2</v>
      </c>
      <c r="AB15" s="58" t="n">
        <v>2</v>
      </c>
      <c r="AC15" s="58" t="n">
        <v>2</v>
      </c>
      <c r="AD15" s="58" t="n">
        <v>2</v>
      </c>
      <c r="AE15" s="59" t="n"/>
    </row>
    <row r="16">
      <c r="A16" s="11" t="n"/>
      <c r="B16" s="11" t="n"/>
      <c r="C16" s="18" t="n"/>
      <c r="D16" s="57" t="inlineStr">
        <is>
          <t>Qtd. Planejada</t>
        </is>
      </c>
      <c r="E16" s="33" t="n">
        <v>28798.56</v>
      </c>
      <c r="F16" s="33" t="n">
        <v>33600</v>
      </c>
      <c r="G16" s="33" t="n">
        <v>28798.56</v>
      </c>
      <c r="H16" s="33" t="n">
        <v>24000.48</v>
      </c>
      <c r="I16" s="33" t="n">
        <v>28798.56</v>
      </c>
      <c r="J16" s="33" t="n">
        <v>24000.48</v>
      </c>
      <c r="K16" s="33" t="n">
        <v>28798.56</v>
      </c>
      <c r="L16" s="33" t="n">
        <v>19199.04</v>
      </c>
      <c r="M16" s="33" t="n">
        <v>24000.48</v>
      </c>
      <c r="N16" s="33" t="n">
        <v>19199.04</v>
      </c>
      <c r="O16" s="33" t="n">
        <v>28798.56</v>
      </c>
      <c r="P16" s="33" t="n">
        <v>19199.04</v>
      </c>
      <c r="Q16" s="33" t="n">
        <v>19199.04</v>
      </c>
      <c r="R16" s="33" t="n">
        <v>28798.56</v>
      </c>
      <c r="S16" s="33" t="n">
        <v>28403.59</v>
      </c>
      <c r="T16" s="59" t="n"/>
      <c r="U16" s="59" t="n"/>
      <c r="V16" s="59" t="n"/>
      <c r="W16" s="59" t="n"/>
      <c r="X16" s="59" t="n"/>
      <c r="Y16" s="59" t="n"/>
      <c r="Z16" s="59" t="n"/>
      <c r="AA16" s="59" t="n"/>
      <c r="AB16" s="59" t="n"/>
      <c r="AC16" s="59" t="n"/>
      <c r="AD16" s="59" t="n"/>
      <c r="AE16" s="59" t="n"/>
    </row>
    <row r="17">
      <c r="A17" s="11" t="n"/>
      <c r="B17" s="11" t="n"/>
      <c r="C17" s="18" t="n"/>
      <c r="D17" s="57" t="inlineStr">
        <is>
          <t>Qtd Plan. Acumulada</t>
        </is>
      </c>
      <c r="E17" s="33" t="n">
        <v>28798.56</v>
      </c>
      <c r="F17" s="33" t="n">
        <v>62398.56</v>
      </c>
      <c r="G17" s="33" t="n">
        <v>91197.12</v>
      </c>
      <c r="H17" s="33" t="n">
        <v>115197.6</v>
      </c>
      <c r="I17" s="33" t="n">
        <v>143996.16</v>
      </c>
      <c r="J17" s="33" t="n">
        <v>167996.64</v>
      </c>
      <c r="K17" s="33" t="n">
        <v>196795.2</v>
      </c>
      <c r="L17" s="33" t="n">
        <v>215994.24</v>
      </c>
      <c r="M17" s="33" t="n">
        <v>239994.72</v>
      </c>
      <c r="N17" s="33" t="n">
        <v>259193.76</v>
      </c>
      <c r="O17" s="33" t="n">
        <v>287992.32</v>
      </c>
      <c r="P17" s="33" t="n">
        <v>307191.36</v>
      </c>
      <c r="Q17" s="33" t="n">
        <v>326390.4</v>
      </c>
      <c r="R17" s="33" t="n">
        <v>355188.96</v>
      </c>
      <c r="S17" s="33" t="n">
        <v>383592.55</v>
      </c>
      <c r="T17" s="33" t="n">
        <v>383592.55</v>
      </c>
      <c r="U17" s="33" t="n">
        <v>383592.55</v>
      </c>
      <c r="V17" s="33" t="n">
        <v>383592.55</v>
      </c>
      <c r="W17" s="33" t="n">
        <v>383592.55</v>
      </c>
      <c r="X17" s="33" t="n">
        <v>383592.55</v>
      </c>
      <c r="Y17" s="33" t="n">
        <v>383592.55</v>
      </c>
      <c r="Z17" s="33" t="n">
        <v>383592.55</v>
      </c>
      <c r="AA17" s="33" t="n">
        <v>383592.55</v>
      </c>
      <c r="AB17" s="33" t="n">
        <v>383592.55</v>
      </c>
      <c r="AC17" s="33" t="n">
        <v>383592.55</v>
      </c>
      <c r="AD17" s="33" t="n">
        <v>383592.55</v>
      </c>
      <c r="AE17" s="33" t="n">
        <v>383592.55</v>
      </c>
    </row>
    <row r="18">
      <c r="A18" s="11" t="n"/>
      <c r="B18" s="11" t="n"/>
      <c r="C18" s="18" t="n"/>
      <c r="D18" s="57" t="inlineStr">
        <is>
          <t>Eficiência</t>
        </is>
      </c>
      <c r="E18" s="60" t="n">
        <v>0.8571</v>
      </c>
      <c r="F18" s="60" t="n">
        <v>1</v>
      </c>
      <c r="G18" s="60" t="n">
        <v>0.8571</v>
      </c>
      <c r="H18" s="60" t="n">
        <v>0.7143</v>
      </c>
      <c r="I18" s="60" t="n">
        <v>0.8571</v>
      </c>
      <c r="J18" s="60" t="n">
        <v>0.7143</v>
      </c>
      <c r="K18" s="60" t="n">
        <v>0.8571</v>
      </c>
      <c r="L18" s="60" t="n">
        <v>0.5714</v>
      </c>
      <c r="M18" s="60" t="n">
        <v>0.7143</v>
      </c>
      <c r="N18" s="60" t="n">
        <v>0.5714</v>
      </c>
      <c r="O18" s="60" t="n">
        <v>0.8571</v>
      </c>
      <c r="P18" s="60" t="n">
        <v>0.5714</v>
      </c>
      <c r="Q18" s="60" t="n">
        <v>0.5714</v>
      </c>
      <c r="R18" s="60" t="n">
        <v>0.8571</v>
      </c>
      <c r="S18" s="60" t="n">
        <v>1</v>
      </c>
      <c r="T18" s="60" t="n">
        <v>0.8571</v>
      </c>
      <c r="U18" s="60" t="n">
        <v>0.8571</v>
      </c>
      <c r="V18" s="60" t="n">
        <v>0.8571</v>
      </c>
      <c r="W18" s="60" t="n">
        <v>0.8571</v>
      </c>
      <c r="X18" s="60" t="n">
        <v>1</v>
      </c>
      <c r="Y18" s="60" t="n">
        <v>0.7143</v>
      </c>
      <c r="Z18" s="60" t="n">
        <v>1</v>
      </c>
      <c r="AA18" s="60" t="n">
        <v>1</v>
      </c>
      <c r="AB18" s="60" t="n">
        <v>1</v>
      </c>
      <c r="AC18" s="60" t="n">
        <v>1</v>
      </c>
      <c r="AD18" s="60" t="n">
        <v>1</v>
      </c>
      <c r="AE18" s="59" t="n"/>
    </row>
    <row r="19">
      <c r="A19" s="61" t="inlineStr">
        <is>
          <t>eap-1_3</t>
        </is>
      </c>
      <c r="B19" s="61" t="inlineStr">
        <is>
          <t>Corte com destocamento de árvores com Ø &gt; 30cm e remoção para a área de depósito - DMT até 1000m</t>
        </is>
      </c>
      <c r="C19" s="62" t="inlineStr">
        <is>
          <t>UNIDADE</t>
        </is>
      </c>
      <c r="D19" s="63" t="inlineStr">
        <is>
          <t>Dias Trabalhados</t>
        </is>
      </c>
      <c r="E19" s="64" t="n">
        <v>6</v>
      </c>
      <c r="F19" s="64" t="n">
        <v>6</v>
      </c>
      <c r="G19" s="64" t="n">
        <v>6</v>
      </c>
      <c r="H19" s="64" t="n">
        <v>6</v>
      </c>
      <c r="I19" s="64" t="n">
        <v>6</v>
      </c>
      <c r="J19" s="64" t="n">
        <v>6</v>
      </c>
      <c r="K19" s="64" t="n">
        <v>6</v>
      </c>
      <c r="L19" s="64" t="n">
        <v>6</v>
      </c>
      <c r="M19" s="64" t="n">
        <v>6</v>
      </c>
      <c r="N19" s="64" t="n">
        <v>6</v>
      </c>
      <c r="O19" s="64" t="n">
        <v>6</v>
      </c>
      <c r="P19" s="64" t="n">
        <v>6</v>
      </c>
      <c r="Q19" s="64" t="n">
        <v>6</v>
      </c>
      <c r="R19" s="64" t="n">
        <v>6</v>
      </c>
      <c r="S19" s="64" t="n">
        <v>6</v>
      </c>
      <c r="T19" s="64" t="n">
        <v>6</v>
      </c>
      <c r="U19" s="64" t="n">
        <v>6</v>
      </c>
      <c r="V19" s="64" t="n">
        <v>6</v>
      </c>
      <c r="W19" s="64" t="n">
        <v>6</v>
      </c>
      <c r="X19" s="64" t="n">
        <v>6</v>
      </c>
      <c r="Y19" s="64" t="n">
        <v>6</v>
      </c>
      <c r="Z19" s="64" t="n">
        <v>6</v>
      </c>
      <c r="AA19" s="64" t="n">
        <v>6</v>
      </c>
      <c r="AB19" s="64" t="n">
        <v>6</v>
      </c>
      <c r="AC19" s="64" t="n">
        <v>6</v>
      </c>
      <c r="AD19" s="64" t="n">
        <v>6</v>
      </c>
      <c r="AE19" s="65" t="n"/>
    </row>
    <row r="20">
      <c r="A20" s="13" t="n"/>
      <c r="B20" s="13" t="n"/>
      <c r="C20" s="27" t="n"/>
      <c r="D20" s="66" t="inlineStr">
        <is>
          <t>Nº De Equipes</t>
        </is>
      </c>
      <c r="E20" s="67" t="n">
        <v>3</v>
      </c>
      <c r="F20" s="67" t="n">
        <v>3</v>
      </c>
      <c r="G20" s="67" t="n">
        <v>3</v>
      </c>
      <c r="H20" s="67" t="n">
        <v>3</v>
      </c>
      <c r="I20" s="67" t="n">
        <v>3</v>
      </c>
      <c r="J20" s="67" t="n">
        <v>3</v>
      </c>
      <c r="K20" s="67" t="n">
        <v>3</v>
      </c>
      <c r="L20" s="67" t="n">
        <v>3</v>
      </c>
      <c r="M20" s="67" t="n">
        <v>3</v>
      </c>
      <c r="N20" s="67" t="n">
        <v>3</v>
      </c>
      <c r="O20" s="67" t="n">
        <v>3</v>
      </c>
      <c r="P20" s="67" t="n">
        <v>3</v>
      </c>
      <c r="Q20" s="67" t="n">
        <v>3</v>
      </c>
      <c r="R20" s="67" t="n">
        <v>3</v>
      </c>
      <c r="S20" s="67" t="n">
        <v>3</v>
      </c>
      <c r="T20" s="67" t="n">
        <v>3</v>
      </c>
      <c r="U20" s="67" t="n">
        <v>3</v>
      </c>
      <c r="V20" s="67" t="n">
        <v>3</v>
      </c>
      <c r="W20" s="67" t="n">
        <v>3</v>
      </c>
      <c r="X20" s="67" t="n">
        <v>3</v>
      </c>
      <c r="Y20" s="67" t="n">
        <v>3</v>
      </c>
      <c r="Z20" s="67" t="n">
        <v>3</v>
      </c>
      <c r="AA20" s="67" t="n">
        <v>3</v>
      </c>
      <c r="AB20" s="67" t="n">
        <v>3</v>
      </c>
      <c r="AC20" s="67" t="n">
        <v>3</v>
      </c>
      <c r="AD20" s="67" t="n">
        <v>3</v>
      </c>
      <c r="AE20" s="68" t="n"/>
    </row>
    <row r="21">
      <c r="A21" s="13" t="n"/>
      <c r="B21" s="13" t="n"/>
      <c r="C21" s="27" t="n"/>
      <c r="D21" s="66" t="inlineStr">
        <is>
          <t>Qtd. Planejada</t>
        </is>
      </c>
      <c r="E21" s="36" t="n">
        <v>740.53</v>
      </c>
      <c r="F21" s="36" t="n">
        <v>864</v>
      </c>
      <c r="G21" s="36" t="n">
        <v>740.53</v>
      </c>
      <c r="H21" s="36" t="n">
        <v>617.16</v>
      </c>
      <c r="I21" s="36" t="n">
        <v>740.53</v>
      </c>
      <c r="J21" s="36" t="n">
        <v>617.16</v>
      </c>
      <c r="K21" s="36" t="n">
        <v>740.53</v>
      </c>
      <c r="L21" s="36" t="n">
        <v>493.69</v>
      </c>
      <c r="M21" s="36" t="n">
        <v>617.16</v>
      </c>
      <c r="N21" s="36" t="n">
        <v>493.69</v>
      </c>
      <c r="O21" s="36" t="n">
        <v>740.53</v>
      </c>
      <c r="P21" s="36" t="n">
        <v>493.69</v>
      </c>
      <c r="Q21" s="36" t="n">
        <v>493.69</v>
      </c>
      <c r="R21" s="36" t="n">
        <v>740.53</v>
      </c>
      <c r="S21" s="36" t="n">
        <v>864</v>
      </c>
      <c r="T21" s="36" t="n">
        <v>740.53</v>
      </c>
      <c r="U21" s="36" t="n">
        <v>740.53</v>
      </c>
      <c r="V21" s="36" t="n">
        <v>740.53</v>
      </c>
      <c r="W21" s="36" t="n">
        <v>21.17</v>
      </c>
      <c r="X21" s="68" t="n"/>
      <c r="Y21" s="68" t="n"/>
      <c r="Z21" s="68" t="n"/>
      <c r="AA21" s="68" t="n"/>
      <c r="AB21" s="68" t="n"/>
      <c r="AC21" s="68" t="n"/>
      <c r="AD21" s="68" t="n"/>
      <c r="AE21" s="68" t="n"/>
    </row>
    <row r="22">
      <c r="A22" s="13" t="n"/>
      <c r="B22" s="13" t="n"/>
      <c r="C22" s="27" t="n"/>
      <c r="D22" s="66" t="inlineStr">
        <is>
          <t>Qtd Plan. Acumulada</t>
        </is>
      </c>
      <c r="E22" s="36" t="n">
        <v>740.53</v>
      </c>
      <c r="F22" s="36" t="n">
        <v>1604.53</v>
      </c>
      <c r="G22" s="36" t="n">
        <v>2345.07</v>
      </c>
      <c r="H22" s="36" t="n">
        <v>2962.22</v>
      </c>
      <c r="I22" s="36" t="n">
        <v>3702.76</v>
      </c>
      <c r="J22" s="36" t="n">
        <v>4319.91</v>
      </c>
      <c r="K22" s="36" t="n">
        <v>5060.45</v>
      </c>
      <c r="L22" s="36" t="n">
        <v>5554.14</v>
      </c>
      <c r="M22" s="36" t="n">
        <v>6171.29</v>
      </c>
      <c r="N22" s="36" t="n">
        <v>6664.98</v>
      </c>
      <c r="O22" s="36" t="n">
        <v>7405.52</v>
      </c>
      <c r="P22" s="36" t="n">
        <v>7899.21</v>
      </c>
      <c r="Q22" s="36" t="n">
        <v>8392.9</v>
      </c>
      <c r="R22" s="36" t="n">
        <v>9133.43</v>
      </c>
      <c r="S22" s="36" t="n">
        <v>9997.43</v>
      </c>
      <c r="T22" s="36" t="n">
        <v>10737.96</v>
      </c>
      <c r="U22" s="36" t="n">
        <v>11478.5</v>
      </c>
      <c r="V22" s="36" t="n">
        <v>12219.03</v>
      </c>
      <c r="W22" s="36" t="n">
        <v>12240.2</v>
      </c>
      <c r="X22" s="36" t="n">
        <v>12240.2</v>
      </c>
      <c r="Y22" s="36" t="n">
        <v>12240.2</v>
      </c>
      <c r="Z22" s="36" t="n">
        <v>12240.2</v>
      </c>
      <c r="AA22" s="36" t="n">
        <v>12240.2</v>
      </c>
      <c r="AB22" s="36" t="n">
        <v>12240.2</v>
      </c>
      <c r="AC22" s="36" t="n">
        <v>12240.2</v>
      </c>
      <c r="AD22" s="36" t="n">
        <v>12240.2</v>
      </c>
      <c r="AE22" s="36" t="n">
        <v>12240.2</v>
      </c>
    </row>
    <row r="23">
      <c r="A23" s="13" t="n"/>
      <c r="B23" s="13" t="n"/>
      <c r="C23" s="27" t="n"/>
      <c r="D23" s="66" t="inlineStr">
        <is>
          <t>Eficiência</t>
        </is>
      </c>
      <c r="E23" s="69" t="n">
        <v>0.8571</v>
      </c>
      <c r="F23" s="69" t="n">
        <v>1</v>
      </c>
      <c r="G23" s="69" t="n">
        <v>0.8571</v>
      </c>
      <c r="H23" s="69" t="n">
        <v>0.7143</v>
      </c>
      <c r="I23" s="69" t="n">
        <v>0.8571</v>
      </c>
      <c r="J23" s="69" t="n">
        <v>0.7143</v>
      </c>
      <c r="K23" s="69" t="n">
        <v>0.8571</v>
      </c>
      <c r="L23" s="69" t="n">
        <v>0.5714</v>
      </c>
      <c r="M23" s="69" t="n">
        <v>0.7143</v>
      </c>
      <c r="N23" s="69" t="n">
        <v>0.5714</v>
      </c>
      <c r="O23" s="69" t="n">
        <v>0.8571</v>
      </c>
      <c r="P23" s="69" t="n">
        <v>0.5714</v>
      </c>
      <c r="Q23" s="69" t="n">
        <v>0.5714</v>
      </c>
      <c r="R23" s="69" t="n">
        <v>0.8571</v>
      </c>
      <c r="S23" s="69" t="n">
        <v>1</v>
      </c>
      <c r="T23" s="69" t="n">
        <v>0.8571</v>
      </c>
      <c r="U23" s="69" t="n">
        <v>0.8571</v>
      </c>
      <c r="V23" s="69" t="n">
        <v>0.8571</v>
      </c>
      <c r="W23" s="69" t="n">
        <v>0.8571</v>
      </c>
      <c r="X23" s="69" t="n">
        <v>1</v>
      </c>
      <c r="Y23" s="69" t="n">
        <v>0.7143</v>
      </c>
      <c r="Z23" s="69" t="n">
        <v>1</v>
      </c>
      <c r="AA23" s="69" t="n">
        <v>1</v>
      </c>
      <c r="AB23" s="69" t="n">
        <v>1</v>
      </c>
      <c r="AC23" s="69" t="n">
        <v>1</v>
      </c>
      <c r="AD23" s="69" t="n">
        <v>1</v>
      </c>
      <c r="AE23" s="68" t="n"/>
    </row>
    <row r="24">
      <c r="A24" s="20" t="inlineStr">
        <is>
          <t>eap-2_1</t>
        </is>
      </c>
      <c r="B24" s="20" t="inlineStr">
        <is>
          <t>Fornecimento e Instalação de Mata burro (padrão VALEC)</t>
        </is>
      </c>
      <c r="C24" s="53" t="inlineStr">
        <is>
          <t>UNIDADE</t>
        </is>
      </c>
      <c r="D24" s="54" t="inlineStr">
        <is>
          <t>Dias Trabalhados</t>
        </is>
      </c>
      <c r="E24" s="55" t="n">
        <v>6</v>
      </c>
      <c r="F24" s="55" t="n">
        <v>6</v>
      </c>
      <c r="G24" s="55" t="n">
        <v>6</v>
      </c>
      <c r="H24" s="55" t="n">
        <v>6</v>
      </c>
      <c r="I24" s="55" t="n">
        <v>6</v>
      </c>
      <c r="J24" s="55" t="n">
        <v>6</v>
      </c>
      <c r="K24" s="55" t="n">
        <v>6</v>
      </c>
      <c r="L24" s="55" t="n">
        <v>6</v>
      </c>
      <c r="M24" s="55" t="n">
        <v>6</v>
      </c>
      <c r="N24" s="55" t="n">
        <v>6</v>
      </c>
      <c r="O24" s="55" t="n">
        <v>6</v>
      </c>
      <c r="P24" s="55" t="n">
        <v>6</v>
      </c>
      <c r="Q24" s="55" t="n">
        <v>6</v>
      </c>
      <c r="R24" s="55" t="n">
        <v>6</v>
      </c>
      <c r="S24" s="55" t="n">
        <v>6</v>
      </c>
      <c r="T24" s="55" t="n">
        <v>6</v>
      </c>
      <c r="U24" s="55" t="n">
        <v>6</v>
      </c>
      <c r="V24" s="55" t="n">
        <v>6</v>
      </c>
      <c r="W24" s="55" t="n">
        <v>6</v>
      </c>
      <c r="X24" s="55" t="n">
        <v>6</v>
      </c>
      <c r="Y24" s="55" t="n">
        <v>6</v>
      </c>
      <c r="Z24" s="55" t="n">
        <v>6</v>
      </c>
      <c r="AA24" s="55" t="n">
        <v>6</v>
      </c>
      <c r="AB24" s="55" t="n">
        <v>6</v>
      </c>
      <c r="AC24" s="55" t="n">
        <v>6</v>
      </c>
      <c r="AD24" s="55" t="n">
        <v>6</v>
      </c>
      <c r="AE24" s="56" t="n"/>
    </row>
    <row r="25">
      <c r="A25" s="11" t="n"/>
      <c r="B25" s="11" t="n"/>
      <c r="C25" s="18" t="n"/>
      <c r="D25" s="57" t="inlineStr">
        <is>
          <t>Nº De Equipes</t>
        </is>
      </c>
      <c r="E25" s="58" t="n">
        <v>2</v>
      </c>
      <c r="F25" s="58" t="n">
        <v>2</v>
      </c>
      <c r="G25" s="58" t="n">
        <v>2</v>
      </c>
      <c r="H25" s="58" t="n">
        <v>2</v>
      </c>
      <c r="I25" s="58" t="n">
        <v>2</v>
      </c>
      <c r="J25" s="58" t="n">
        <v>2</v>
      </c>
      <c r="K25" s="58" t="n">
        <v>2</v>
      </c>
      <c r="L25" s="58" t="n">
        <v>2</v>
      </c>
      <c r="M25" s="58" t="n">
        <v>2</v>
      </c>
      <c r="N25" s="58" t="n">
        <v>2</v>
      </c>
      <c r="O25" s="58" t="n">
        <v>2</v>
      </c>
      <c r="P25" s="58" t="n">
        <v>2</v>
      </c>
      <c r="Q25" s="58" t="n">
        <v>2</v>
      </c>
      <c r="R25" s="58" t="n">
        <v>2</v>
      </c>
      <c r="S25" s="58" t="n">
        <v>2</v>
      </c>
      <c r="T25" s="58" t="n">
        <v>2</v>
      </c>
      <c r="U25" s="58" t="n">
        <v>2</v>
      </c>
      <c r="V25" s="58" t="n">
        <v>2</v>
      </c>
      <c r="W25" s="58" t="n">
        <v>2</v>
      </c>
      <c r="X25" s="58" t="n">
        <v>2</v>
      </c>
      <c r="Y25" s="58" t="n">
        <v>2</v>
      </c>
      <c r="Z25" s="58" t="n">
        <v>2</v>
      </c>
      <c r="AA25" s="58" t="n">
        <v>2</v>
      </c>
      <c r="AB25" s="58" t="n">
        <v>2</v>
      </c>
      <c r="AC25" s="58" t="n">
        <v>2</v>
      </c>
      <c r="AD25" s="58" t="n">
        <v>2</v>
      </c>
      <c r="AE25" s="59" t="n"/>
    </row>
    <row r="26">
      <c r="A26" s="11" t="n"/>
      <c r="B26" s="11" t="n"/>
      <c r="C26" s="18" t="n"/>
      <c r="D26" s="57" t="inlineStr">
        <is>
          <t>Qtd. Planejada</t>
        </is>
      </c>
      <c r="E26" s="33" t="n">
        <v>4.11</v>
      </c>
      <c r="F26" s="33" t="n">
        <v>4.8</v>
      </c>
      <c r="G26" s="33" t="n">
        <v>4.11</v>
      </c>
      <c r="H26" s="33" t="n">
        <v>3.43</v>
      </c>
      <c r="I26" s="33" t="n">
        <v>4.11</v>
      </c>
      <c r="J26" s="33" t="n">
        <v>3.43</v>
      </c>
      <c r="K26" s="33" t="n">
        <v>4.11</v>
      </c>
      <c r="L26" s="33" t="n">
        <v>2.74</v>
      </c>
      <c r="M26" s="33" t="n">
        <v>3.43</v>
      </c>
      <c r="N26" s="33" t="n">
        <v>2.74</v>
      </c>
      <c r="O26" s="33" t="n">
        <v>4.11</v>
      </c>
      <c r="P26" s="33" t="n">
        <v>2.74</v>
      </c>
      <c r="Q26" s="33" t="n">
        <v>2.74</v>
      </c>
      <c r="R26" s="33" t="n">
        <v>4.11</v>
      </c>
      <c r="S26" s="33" t="n">
        <v>4.8</v>
      </c>
      <c r="T26" s="33" t="n">
        <v>3.46</v>
      </c>
      <c r="U26" s="59" t="n"/>
      <c r="V26" s="59" t="n"/>
      <c r="W26" s="59" t="n"/>
      <c r="X26" s="59" t="n"/>
      <c r="Y26" s="59" t="n"/>
      <c r="Z26" s="59" t="n"/>
      <c r="AA26" s="59" t="n"/>
      <c r="AB26" s="59" t="n"/>
      <c r="AC26" s="59" t="n"/>
      <c r="AD26" s="59" t="n"/>
      <c r="AE26" s="59" t="n"/>
    </row>
    <row r="27">
      <c r="A27" s="11" t="n"/>
      <c r="B27" s="11" t="n"/>
      <c r="C27" s="18" t="n"/>
      <c r="D27" s="57" t="inlineStr">
        <is>
          <t>Qtd Plan. Acumulada</t>
        </is>
      </c>
      <c r="E27" s="33" t="n">
        <v>4.11</v>
      </c>
      <c r="F27" s="33" t="n">
        <v>8.91</v>
      </c>
      <c r="G27" s="33" t="n">
        <v>13.03</v>
      </c>
      <c r="H27" s="33" t="n">
        <v>16.46</v>
      </c>
      <c r="I27" s="33" t="n">
        <v>20.57</v>
      </c>
      <c r="J27" s="33" t="n">
        <v>24</v>
      </c>
      <c r="K27" s="33" t="n">
        <v>28.11</v>
      </c>
      <c r="L27" s="33" t="n">
        <v>30.86</v>
      </c>
      <c r="M27" s="33" t="n">
        <v>34.28</v>
      </c>
      <c r="N27" s="33" t="n">
        <v>37.03</v>
      </c>
      <c r="O27" s="33" t="n">
        <v>41.14</v>
      </c>
      <c r="P27" s="33" t="n">
        <v>43.88</v>
      </c>
      <c r="Q27" s="33" t="n">
        <v>46.63</v>
      </c>
      <c r="R27" s="33" t="n">
        <v>50.74</v>
      </c>
      <c r="S27" s="33" t="n">
        <v>55.54</v>
      </c>
      <c r="T27" s="33" t="n">
        <v>59</v>
      </c>
      <c r="U27" s="33" t="n">
        <v>59</v>
      </c>
      <c r="V27" s="33" t="n">
        <v>59</v>
      </c>
      <c r="W27" s="33" t="n">
        <v>59</v>
      </c>
      <c r="X27" s="33" t="n">
        <v>59</v>
      </c>
      <c r="Y27" s="33" t="n">
        <v>59</v>
      </c>
      <c r="Z27" s="33" t="n">
        <v>59</v>
      </c>
      <c r="AA27" s="33" t="n">
        <v>59</v>
      </c>
      <c r="AB27" s="33" t="n">
        <v>59</v>
      </c>
      <c r="AC27" s="33" t="n">
        <v>59</v>
      </c>
      <c r="AD27" s="33" t="n">
        <v>59</v>
      </c>
      <c r="AE27" s="33" t="n">
        <v>59</v>
      </c>
    </row>
    <row r="28">
      <c r="A28" s="11" t="n"/>
      <c r="B28" s="11" t="n"/>
      <c r="C28" s="18" t="n"/>
      <c r="D28" s="57" t="inlineStr">
        <is>
          <t>Eficiência</t>
        </is>
      </c>
      <c r="E28" s="60" t="n">
        <v>0.8571</v>
      </c>
      <c r="F28" s="60" t="n">
        <v>1</v>
      </c>
      <c r="G28" s="60" t="n">
        <v>0.8571</v>
      </c>
      <c r="H28" s="60" t="n">
        <v>0.7143</v>
      </c>
      <c r="I28" s="60" t="n">
        <v>0.8571</v>
      </c>
      <c r="J28" s="60" t="n">
        <v>0.7143</v>
      </c>
      <c r="K28" s="60" t="n">
        <v>0.8571</v>
      </c>
      <c r="L28" s="60" t="n">
        <v>0.5714</v>
      </c>
      <c r="M28" s="60" t="n">
        <v>0.7143</v>
      </c>
      <c r="N28" s="60" t="n">
        <v>0.5714</v>
      </c>
      <c r="O28" s="60" t="n">
        <v>0.8571</v>
      </c>
      <c r="P28" s="60" t="n">
        <v>0.5714</v>
      </c>
      <c r="Q28" s="60" t="n">
        <v>0.5714</v>
      </c>
      <c r="R28" s="60" t="n">
        <v>0.8571</v>
      </c>
      <c r="S28" s="60" t="n">
        <v>1</v>
      </c>
      <c r="T28" s="60" t="n">
        <v>0.8571</v>
      </c>
      <c r="U28" s="60" t="n">
        <v>0.8571</v>
      </c>
      <c r="V28" s="60" t="n">
        <v>0.8571</v>
      </c>
      <c r="W28" s="60" t="n">
        <v>0.8571</v>
      </c>
      <c r="X28" s="60" t="n">
        <v>1</v>
      </c>
      <c r="Y28" s="60" t="n">
        <v>0.7143</v>
      </c>
      <c r="Z28" s="60" t="n">
        <v>1</v>
      </c>
      <c r="AA28" s="60" t="n">
        <v>1</v>
      </c>
      <c r="AB28" s="60" t="n">
        <v>1</v>
      </c>
      <c r="AC28" s="60" t="n">
        <v>1</v>
      </c>
      <c r="AD28" s="60" t="n">
        <v>1</v>
      </c>
      <c r="AE28" s="59" t="n"/>
    </row>
    <row r="29">
      <c r="A29" s="61" t="inlineStr">
        <is>
          <t>eap-3_3</t>
        </is>
      </c>
      <c r="B29" s="61" t="inlineStr">
        <is>
          <t>Cerca arame liso (5 fios) com mourão de eucalipto e mourão de madeira a cada 4,0 m e esticador a cada 50 m executada em solos compostos por material de 1ª e 2ª categoria</t>
        </is>
      </c>
      <c r="C29" s="62" t="inlineStr">
        <is>
          <t>M</t>
        </is>
      </c>
      <c r="D29" s="63" t="inlineStr">
        <is>
          <t>Dias Trabalhados</t>
        </is>
      </c>
      <c r="E29" s="64" t="n">
        <v>6</v>
      </c>
      <c r="F29" s="64" t="n">
        <v>6</v>
      </c>
      <c r="G29" s="64" t="n">
        <v>6</v>
      </c>
      <c r="H29" s="64" t="n">
        <v>6</v>
      </c>
      <c r="I29" s="64" t="n">
        <v>6</v>
      </c>
      <c r="J29" s="64" t="n">
        <v>6</v>
      </c>
      <c r="K29" s="64" t="n">
        <v>6</v>
      </c>
      <c r="L29" s="64" t="n">
        <v>6</v>
      </c>
      <c r="M29" s="64" t="n">
        <v>6</v>
      </c>
      <c r="N29" s="64" t="n">
        <v>6</v>
      </c>
      <c r="O29" s="64" t="n">
        <v>6</v>
      </c>
      <c r="P29" s="64" t="n">
        <v>6</v>
      </c>
      <c r="Q29" s="64" t="n">
        <v>6</v>
      </c>
      <c r="R29" s="64" t="n">
        <v>6</v>
      </c>
      <c r="S29" s="64" t="n">
        <v>6</v>
      </c>
      <c r="T29" s="64" t="n">
        <v>6</v>
      </c>
      <c r="U29" s="64" t="n">
        <v>6</v>
      </c>
      <c r="V29" s="64" t="n">
        <v>6</v>
      </c>
      <c r="W29" s="64" t="n">
        <v>6</v>
      </c>
      <c r="X29" s="64" t="n">
        <v>6</v>
      </c>
      <c r="Y29" s="64" t="n">
        <v>6</v>
      </c>
      <c r="Z29" s="64" t="n">
        <v>6</v>
      </c>
      <c r="AA29" s="64" t="n">
        <v>6</v>
      </c>
      <c r="AB29" s="64" t="n">
        <v>6</v>
      </c>
      <c r="AC29" s="64" t="n">
        <v>6</v>
      </c>
      <c r="AD29" s="64" t="n">
        <v>6</v>
      </c>
      <c r="AE29" s="65" t="n"/>
    </row>
    <row r="30">
      <c r="A30" s="13" t="n"/>
      <c r="B30" s="13" t="n"/>
      <c r="C30" s="27" t="n"/>
      <c r="D30" s="66" t="inlineStr">
        <is>
          <t>Nº De Equipes</t>
        </is>
      </c>
      <c r="E30" s="67" t="n">
        <v>1</v>
      </c>
      <c r="F30" s="67" t="n">
        <v>1</v>
      </c>
      <c r="G30" s="67" t="n">
        <v>1</v>
      </c>
      <c r="H30" s="67" t="n">
        <v>1</v>
      </c>
      <c r="I30" s="67" t="n">
        <v>1</v>
      </c>
      <c r="J30" s="67" t="n">
        <v>1</v>
      </c>
      <c r="K30" s="67" t="n">
        <v>1</v>
      </c>
      <c r="L30" s="67" t="n">
        <v>1</v>
      </c>
      <c r="M30" s="67" t="n">
        <v>1</v>
      </c>
      <c r="N30" s="67" t="n">
        <v>1</v>
      </c>
      <c r="O30" s="67" t="n">
        <v>1</v>
      </c>
      <c r="P30" s="67" t="n">
        <v>1</v>
      </c>
      <c r="Q30" s="67" t="n">
        <v>1</v>
      </c>
      <c r="R30" s="67" t="n">
        <v>1</v>
      </c>
      <c r="S30" s="67" t="n">
        <v>1</v>
      </c>
      <c r="T30" s="67" t="n">
        <v>1</v>
      </c>
      <c r="U30" s="67" t="n">
        <v>1</v>
      </c>
      <c r="V30" s="67" t="n">
        <v>1</v>
      </c>
      <c r="W30" s="67" t="n">
        <v>1</v>
      </c>
      <c r="X30" s="67" t="n">
        <v>1</v>
      </c>
      <c r="Y30" s="67" t="n">
        <v>1</v>
      </c>
      <c r="Z30" s="67" t="n">
        <v>1</v>
      </c>
      <c r="AA30" s="67" t="n">
        <v>1</v>
      </c>
      <c r="AB30" s="67" t="n">
        <v>1</v>
      </c>
      <c r="AC30" s="67" t="n">
        <v>1</v>
      </c>
      <c r="AD30" s="67" t="n">
        <v>1</v>
      </c>
      <c r="AE30" s="68" t="n"/>
    </row>
    <row r="31">
      <c r="A31" s="13" t="n"/>
      <c r="B31" s="13" t="n"/>
      <c r="C31" s="27" t="n"/>
      <c r="D31" s="66" t="inlineStr">
        <is>
          <t>Qtd. Planejada</t>
        </is>
      </c>
      <c r="E31" s="36" t="n">
        <v>1542.78</v>
      </c>
      <c r="F31" s="36" t="n">
        <v>1800</v>
      </c>
      <c r="G31" s="36" t="n">
        <v>1542.78</v>
      </c>
      <c r="H31" s="36" t="n">
        <v>1285.74</v>
      </c>
      <c r="I31" s="36" t="n">
        <v>1542.78</v>
      </c>
      <c r="J31" s="36" t="n">
        <v>1285.74</v>
      </c>
      <c r="K31" s="36" t="n">
        <v>1542.78</v>
      </c>
      <c r="L31" s="36" t="n">
        <v>1028.52</v>
      </c>
      <c r="M31" s="36" t="n">
        <v>1285.74</v>
      </c>
      <c r="N31" s="36" t="n">
        <v>1028.52</v>
      </c>
      <c r="O31" s="36" t="n">
        <v>1542.78</v>
      </c>
      <c r="P31" s="36" t="n">
        <v>1023.03</v>
      </c>
      <c r="Q31" s="68" t="n"/>
      <c r="R31" s="68" t="n"/>
      <c r="S31" s="68" t="n"/>
      <c r="T31" s="68" t="n"/>
      <c r="U31" s="68" t="n"/>
      <c r="V31" s="68" t="n"/>
      <c r="W31" s="68" t="n"/>
      <c r="X31" s="68" t="n"/>
      <c r="Y31" s="68" t="n"/>
      <c r="Z31" s="68" t="n"/>
      <c r="AA31" s="68" t="n"/>
      <c r="AB31" s="68" t="n"/>
      <c r="AC31" s="68" t="n"/>
      <c r="AD31" s="68" t="n"/>
      <c r="AE31" s="68" t="n"/>
    </row>
    <row r="32">
      <c r="A32" s="13" t="n"/>
      <c r="B32" s="13" t="n"/>
      <c r="C32" s="27" t="n"/>
      <c r="D32" s="66" t="inlineStr">
        <is>
          <t>Qtd Plan. Acumulada</t>
        </is>
      </c>
      <c r="E32" s="36" t="n">
        <v>1542.78</v>
      </c>
      <c r="F32" s="36" t="n">
        <v>3342.78</v>
      </c>
      <c r="G32" s="36" t="n">
        <v>4885.56</v>
      </c>
      <c r="H32" s="36" t="n">
        <v>6171.3</v>
      </c>
      <c r="I32" s="36" t="n">
        <v>7714.08</v>
      </c>
      <c r="J32" s="36" t="n">
        <v>8999.82</v>
      </c>
      <c r="K32" s="36" t="n">
        <v>10542.6</v>
      </c>
      <c r="L32" s="36" t="n">
        <v>11571.12</v>
      </c>
      <c r="M32" s="36" t="n">
        <v>12856.86</v>
      </c>
      <c r="N32" s="36" t="n">
        <v>13885.38</v>
      </c>
      <c r="O32" s="36" t="n">
        <v>15428.16</v>
      </c>
      <c r="P32" s="36" t="n">
        <v>16451.19</v>
      </c>
      <c r="Q32" s="36" t="n">
        <v>16451.19</v>
      </c>
      <c r="R32" s="36" t="n">
        <v>16451.19</v>
      </c>
      <c r="S32" s="36" t="n">
        <v>16451.19</v>
      </c>
      <c r="T32" s="36" t="n">
        <v>16451.19</v>
      </c>
      <c r="U32" s="36" t="n">
        <v>16451.19</v>
      </c>
      <c r="V32" s="36" t="n">
        <v>16451.19</v>
      </c>
      <c r="W32" s="36" t="n">
        <v>16451.19</v>
      </c>
      <c r="X32" s="36" t="n">
        <v>16451.19</v>
      </c>
      <c r="Y32" s="36" t="n">
        <v>16451.19</v>
      </c>
      <c r="Z32" s="36" t="n">
        <v>16451.19</v>
      </c>
      <c r="AA32" s="36" t="n">
        <v>16451.19</v>
      </c>
      <c r="AB32" s="36" t="n">
        <v>16451.19</v>
      </c>
      <c r="AC32" s="36" t="n">
        <v>16451.19</v>
      </c>
      <c r="AD32" s="36" t="n">
        <v>16451.19</v>
      </c>
      <c r="AE32" s="36" t="n">
        <v>16451.19</v>
      </c>
    </row>
    <row r="33">
      <c r="A33" s="13" t="n"/>
      <c r="B33" s="13" t="n"/>
      <c r="C33" s="27" t="n"/>
      <c r="D33" s="66" t="inlineStr">
        <is>
          <t>Eficiência</t>
        </is>
      </c>
      <c r="E33" s="69" t="n">
        <v>0.8571</v>
      </c>
      <c r="F33" s="69" t="n">
        <v>1</v>
      </c>
      <c r="G33" s="69" t="n">
        <v>0.8571</v>
      </c>
      <c r="H33" s="69" t="n">
        <v>0.7143</v>
      </c>
      <c r="I33" s="69" t="n">
        <v>0.8571</v>
      </c>
      <c r="J33" s="69" t="n">
        <v>0.7143</v>
      </c>
      <c r="K33" s="69" t="n">
        <v>0.8571</v>
      </c>
      <c r="L33" s="69" t="n">
        <v>0.5714</v>
      </c>
      <c r="M33" s="69" t="n">
        <v>0.7143</v>
      </c>
      <c r="N33" s="69" t="n">
        <v>0.5714</v>
      </c>
      <c r="O33" s="69" t="n">
        <v>0.8571</v>
      </c>
      <c r="P33" s="69" t="n">
        <v>0.5714</v>
      </c>
      <c r="Q33" s="69" t="n">
        <v>0.5714</v>
      </c>
      <c r="R33" s="69" t="n">
        <v>0.8571</v>
      </c>
      <c r="S33" s="69" t="n">
        <v>1</v>
      </c>
      <c r="T33" s="69" t="n">
        <v>0.8571</v>
      </c>
      <c r="U33" s="69" t="n">
        <v>0.8571</v>
      </c>
      <c r="V33" s="69" t="n">
        <v>0.8571</v>
      </c>
      <c r="W33" s="69" t="n">
        <v>0.8571</v>
      </c>
      <c r="X33" s="69" t="n">
        <v>1</v>
      </c>
      <c r="Y33" s="69" t="n">
        <v>0.7143</v>
      </c>
      <c r="Z33" s="69" t="n">
        <v>1</v>
      </c>
      <c r="AA33" s="69" t="n">
        <v>1</v>
      </c>
      <c r="AB33" s="69" t="n">
        <v>1</v>
      </c>
      <c r="AC33" s="69" t="n">
        <v>1</v>
      </c>
      <c r="AD33" s="69" t="n">
        <v>1</v>
      </c>
      <c r="AE33" s="68" t="n"/>
    </row>
    <row r="34">
      <c r="A34" s="20" t="inlineStr">
        <is>
          <t>eap-3_6</t>
        </is>
      </c>
      <c r="B34" s="20" t="inlineStr">
        <is>
          <t>Remoção de cerca de mourão de madeira</t>
        </is>
      </c>
      <c r="C34" s="53" t="inlineStr">
        <is>
          <t>M</t>
        </is>
      </c>
      <c r="D34" s="54" t="inlineStr">
        <is>
          <t>Dias Trabalhados</t>
        </is>
      </c>
      <c r="E34" s="55" t="n">
        <v>6</v>
      </c>
      <c r="F34" s="55" t="n">
        <v>6</v>
      </c>
      <c r="G34" s="55" t="n">
        <v>6</v>
      </c>
      <c r="H34" s="55" t="n">
        <v>6</v>
      </c>
      <c r="I34" s="55" t="n">
        <v>6</v>
      </c>
      <c r="J34" s="55" t="n">
        <v>6</v>
      </c>
      <c r="K34" s="55" t="n">
        <v>6</v>
      </c>
      <c r="L34" s="55" t="n">
        <v>6</v>
      </c>
      <c r="M34" s="55" t="n">
        <v>6</v>
      </c>
      <c r="N34" s="55" t="n">
        <v>6</v>
      </c>
      <c r="O34" s="55" t="n">
        <v>6</v>
      </c>
      <c r="P34" s="55" t="n">
        <v>6</v>
      </c>
      <c r="Q34" s="55" t="n">
        <v>6</v>
      </c>
      <c r="R34" s="55" t="n">
        <v>6</v>
      </c>
      <c r="S34" s="55" t="n">
        <v>6</v>
      </c>
      <c r="T34" s="55" t="n">
        <v>6</v>
      </c>
      <c r="U34" s="55" t="n">
        <v>6</v>
      </c>
      <c r="V34" s="55" t="n">
        <v>6</v>
      </c>
      <c r="W34" s="55" t="n">
        <v>6</v>
      </c>
      <c r="X34" s="55" t="n">
        <v>6</v>
      </c>
      <c r="Y34" s="55" t="n">
        <v>6</v>
      </c>
      <c r="Z34" s="55" t="n">
        <v>6</v>
      </c>
      <c r="AA34" s="55" t="n">
        <v>6</v>
      </c>
      <c r="AB34" s="55" t="n">
        <v>6</v>
      </c>
      <c r="AC34" s="55" t="n">
        <v>6</v>
      </c>
      <c r="AD34" s="55" t="n">
        <v>6</v>
      </c>
      <c r="AE34" s="56" t="n"/>
    </row>
    <row r="35">
      <c r="A35" s="11" t="n"/>
      <c r="B35" s="11" t="n"/>
      <c r="C35" s="18" t="n"/>
      <c r="D35" s="57" t="inlineStr">
        <is>
          <t>Nº De Equipes</t>
        </is>
      </c>
      <c r="E35" s="58" t="n">
        <v>1</v>
      </c>
      <c r="F35" s="58" t="n">
        <v>1</v>
      </c>
      <c r="G35" s="58" t="n">
        <v>1</v>
      </c>
      <c r="H35" s="58" t="n">
        <v>1</v>
      </c>
      <c r="I35" s="58" t="n">
        <v>1</v>
      </c>
      <c r="J35" s="58" t="n">
        <v>1</v>
      </c>
      <c r="K35" s="58" t="n">
        <v>1</v>
      </c>
      <c r="L35" s="58" t="n">
        <v>1</v>
      </c>
      <c r="M35" s="58" t="n">
        <v>1</v>
      </c>
      <c r="N35" s="58" t="n">
        <v>1</v>
      </c>
      <c r="O35" s="58" t="n">
        <v>1</v>
      </c>
      <c r="P35" s="58" t="n">
        <v>1</v>
      </c>
      <c r="Q35" s="58" t="n">
        <v>1</v>
      </c>
      <c r="R35" s="58" t="n">
        <v>1</v>
      </c>
      <c r="S35" s="58" t="n">
        <v>1</v>
      </c>
      <c r="T35" s="58" t="n">
        <v>1</v>
      </c>
      <c r="U35" s="58" t="n">
        <v>1</v>
      </c>
      <c r="V35" s="58" t="n">
        <v>1</v>
      </c>
      <c r="W35" s="58" t="n">
        <v>1</v>
      </c>
      <c r="X35" s="58" t="n">
        <v>1</v>
      </c>
      <c r="Y35" s="58" t="n">
        <v>1</v>
      </c>
      <c r="Z35" s="58" t="n">
        <v>1</v>
      </c>
      <c r="AA35" s="58" t="n">
        <v>1</v>
      </c>
      <c r="AB35" s="58" t="n">
        <v>1</v>
      </c>
      <c r="AC35" s="58" t="n">
        <v>1</v>
      </c>
      <c r="AD35" s="58" t="n">
        <v>1</v>
      </c>
      <c r="AE35" s="59" t="n"/>
    </row>
    <row r="36">
      <c r="A36" s="11" t="n"/>
      <c r="B36" s="11" t="n"/>
      <c r="C36" s="18" t="n"/>
      <c r="D36" s="57" t="inlineStr">
        <is>
          <t>Qtd. Planejada</t>
        </is>
      </c>
      <c r="E36" s="33" t="n">
        <v>1763.29</v>
      </c>
      <c r="F36" s="33" t="n">
        <v>2057.28</v>
      </c>
      <c r="G36" s="33" t="n">
        <v>1763.29</v>
      </c>
      <c r="H36" s="33" t="n">
        <v>1469.52</v>
      </c>
      <c r="I36" s="33" t="n">
        <v>1763.29</v>
      </c>
      <c r="J36" s="33" t="n">
        <v>1469.52</v>
      </c>
      <c r="K36" s="33" t="n">
        <v>1763.29</v>
      </c>
      <c r="L36" s="33" t="n">
        <v>1175.53</v>
      </c>
      <c r="M36" s="33" t="n">
        <v>1469.52</v>
      </c>
      <c r="N36" s="33" t="n">
        <v>1175.53</v>
      </c>
      <c r="O36" s="33" t="n">
        <v>1763.29</v>
      </c>
      <c r="P36" s="33" t="n">
        <v>1175.53</v>
      </c>
      <c r="Q36" s="33" t="n">
        <v>1175.53</v>
      </c>
      <c r="R36" s="33" t="n">
        <v>1763.29</v>
      </c>
      <c r="S36" s="33" t="n">
        <v>2057.28</v>
      </c>
      <c r="T36" s="33" t="n">
        <v>1763.29</v>
      </c>
      <c r="U36" s="33" t="n">
        <v>1763.29</v>
      </c>
      <c r="V36" s="33" t="n">
        <v>1763.29</v>
      </c>
      <c r="W36" s="33" t="n">
        <v>1763.29</v>
      </c>
      <c r="X36" s="33" t="n">
        <v>2057.28</v>
      </c>
      <c r="Y36" s="33" t="n">
        <v>1469.52</v>
      </c>
      <c r="Z36" s="33" t="n">
        <v>2057.28</v>
      </c>
      <c r="AA36" s="33" t="n">
        <v>701.5</v>
      </c>
      <c r="AB36" s="59" t="n"/>
      <c r="AC36" s="59" t="n"/>
      <c r="AD36" s="59" t="n"/>
      <c r="AE36" s="59" t="n"/>
    </row>
    <row r="37">
      <c r="A37" s="11" t="n"/>
      <c r="B37" s="11" t="n"/>
      <c r="C37" s="18" t="n"/>
      <c r="D37" s="57" t="inlineStr">
        <is>
          <t>Qtd Plan. Acumulada</t>
        </is>
      </c>
      <c r="E37" s="33" t="n">
        <v>1763.29</v>
      </c>
      <c r="F37" s="33" t="n">
        <v>3820.57</v>
      </c>
      <c r="G37" s="33" t="n">
        <v>5583.87</v>
      </c>
      <c r="H37" s="33" t="n">
        <v>7053.38</v>
      </c>
      <c r="I37" s="33" t="n">
        <v>8816.68</v>
      </c>
      <c r="J37" s="33" t="n">
        <v>10286.19</v>
      </c>
      <c r="K37" s="33" t="n">
        <v>12049.49</v>
      </c>
      <c r="L37" s="33" t="n">
        <v>13225.02</v>
      </c>
      <c r="M37" s="33" t="n">
        <v>14694.53</v>
      </c>
      <c r="N37" s="33" t="n">
        <v>15870.06</v>
      </c>
      <c r="O37" s="33" t="n">
        <v>17633.36</v>
      </c>
      <c r="P37" s="33" t="n">
        <v>18808.89</v>
      </c>
      <c r="Q37" s="33" t="n">
        <v>19984.42</v>
      </c>
      <c r="R37" s="33" t="n">
        <v>21747.71</v>
      </c>
      <c r="S37" s="33" t="n">
        <v>23804.99</v>
      </c>
      <c r="T37" s="33" t="n">
        <v>25568.29</v>
      </c>
      <c r="U37" s="33" t="n">
        <v>27331.58</v>
      </c>
      <c r="V37" s="33" t="n">
        <v>29094.88</v>
      </c>
      <c r="W37" s="33" t="n">
        <v>30858.17</v>
      </c>
      <c r="X37" s="33" t="n">
        <v>32915.45</v>
      </c>
      <c r="Y37" s="33" t="n">
        <v>34384.97</v>
      </c>
      <c r="Z37" s="33" t="n">
        <v>36442.25</v>
      </c>
      <c r="AA37" s="33" t="n">
        <v>37143.75</v>
      </c>
      <c r="AB37" s="33" t="n">
        <v>37143.75</v>
      </c>
      <c r="AC37" s="33" t="n">
        <v>37143.75</v>
      </c>
      <c r="AD37" s="33" t="n">
        <v>37143.75</v>
      </c>
      <c r="AE37" s="33" t="n">
        <v>37143.75</v>
      </c>
    </row>
    <row r="38">
      <c r="A38" s="11" t="n"/>
      <c r="B38" s="11" t="n"/>
      <c r="C38" s="18" t="n"/>
      <c r="D38" s="57" t="inlineStr">
        <is>
          <t>Eficiência</t>
        </is>
      </c>
      <c r="E38" s="60" t="n">
        <v>0.8571</v>
      </c>
      <c r="F38" s="60" t="n">
        <v>1</v>
      </c>
      <c r="G38" s="60" t="n">
        <v>0.8571</v>
      </c>
      <c r="H38" s="60" t="n">
        <v>0.7143</v>
      </c>
      <c r="I38" s="60" t="n">
        <v>0.8571</v>
      </c>
      <c r="J38" s="60" t="n">
        <v>0.7143</v>
      </c>
      <c r="K38" s="60" t="n">
        <v>0.8571</v>
      </c>
      <c r="L38" s="60" t="n">
        <v>0.5714</v>
      </c>
      <c r="M38" s="60" t="n">
        <v>0.7143</v>
      </c>
      <c r="N38" s="60" t="n">
        <v>0.5714</v>
      </c>
      <c r="O38" s="60" t="n">
        <v>0.8571</v>
      </c>
      <c r="P38" s="60" t="n">
        <v>0.5714</v>
      </c>
      <c r="Q38" s="60" t="n">
        <v>0.5714</v>
      </c>
      <c r="R38" s="60" t="n">
        <v>0.8571</v>
      </c>
      <c r="S38" s="60" t="n">
        <v>1</v>
      </c>
      <c r="T38" s="60" t="n">
        <v>0.8571</v>
      </c>
      <c r="U38" s="60" t="n">
        <v>0.8571</v>
      </c>
      <c r="V38" s="60" t="n">
        <v>0.8571</v>
      </c>
      <c r="W38" s="60" t="n">
        <v>0.8571</v>
      </c>
      <c r="X38" s="60" t="n">
        <v>1</v>
      </c>
      <c r="Y38" s="60" t="n">
        <v>0.7143</v>
      </c>
      <c r="Z38" s="60" t="n">
        <v>1</v>
      </c>
      <c r="AA38" s="60" t="n">
        <v>1</v>
      </c>
      <c r="AB38" s="60" t="n">
        <v>1</v>
      </c>
      <c r="AC38" s="60" t="n">
        <v>1</v>
      </c>
      <c r="AD38" s="60" t="n">
        <v>1</v>
      </c>
      <c r="AE38" s="59" t="n"/>
    </row>
    <row r="39">
      <c r="A39" s="61" t="inlineStr">
        <is>
          <t>eap-5_1</t>
        </is>
      </c>
      <c r="B39" s="61" t="inlineStr">
        <is>
          <t>Abertura de acesso para implantação de cerca</t>
        </is>
      </c>
      <c r="C39" s="62" t="inlineStr">
        <is>
          <t>M</t>
        </is>
      </c>
      <c r="D39" s="63" t="inlineStr">
        <is>
          <t>Dias Trabalhados</t>
        </is>
      </c>
      <c r="E39" s="64" t="n">
        <v>6</v>
      </c>
      <c r="F39" s="64" t="n">
        <v>6</v>
      </c>
      <c r="G39" s="64" t="n">
        <v>6</v>
      </c>
      <c r="H39" s="64" t="n">
        <v>6</v>
      </c>
      <c r="I39" s="64" t="n">
        <v>6</v>
      </c>
      <c r="J39" s="64" t="n">
        <v>6</v>
      </c>
      <c r="K39" s="64" t="n">
        <v>6</v>
      </c>
      <c r="L39" s="64" t="n">
        <v>6</v>
      </c>
      <c r="M39" s="64" t="n">
        <v>6</v>
      </c>
      <c r="N39" s="64" t="n">
        <v>6</v>
      </c>
      <c r="O39" s="64" t="n">
        <v>6</v>
      </c>
      <c r="P39" s="64" t="n">
        <v>6</v>
      </c>
      <c r="Q39" s="64" t="n">
        <v>6</v>
      </c>
      <c r="R39" s="64" t="n">
        <v>6</v>
      </c>
      <c r="S39" s="64" t="n">
        <v>6</v>
      </c>
      <c r="T39" s="64" t="n">
        <v>6</v>
      </c>
      <c r="U39" s="64" t="n">
        <v>6</v>
      </c>
      <c r="V39" s="64" t="n">
        <v>6</v>
      </c>
      <c r="W39" s="64" t="n">
        <v>6</v>
      </c>
      <c r="X39" s="64" t="n">
        <v>6</v>
      </c>
      <c r="Y39" s="64" t="n">
        <v>6</v>
      </c>
      <c r="Z39" s="64" t="n">
        <v>6</v>
      </c>
      <c r="AA39" s="64" t="n">
        <v>6</v>
      </c>
      <c r="AB39" s="64" t="n">
        <v>6</v>
      </c>
      <c r="AC39" s="64" t="n">
        <v>6</v>
      </c>
      <c r="AD39" s="64" t="n">
        <v>6</v>
      </c>
      <c r="AE39" s="65" t="n"/>
    </row>
    <row r="40">
      <c r="A40" s="13" t="n"/>
      <c r="B40" s="13" t="n"/>
      <c r="C40" s="27" t="n"/>
      <c r="D40" s="66" t="inlineStr">
        <is>
          <t>Nº De Equipes</t>
        </is>
      </c>
      <c r="E40" s="67" t="n">
        <v>2</v>
      </c>
      <c r="F40" s="67" t="n">
        <v>2</v>
      </c>
      <c r="G40" s="67" t="n">
        <v>2</v>
      </c>
      <c r="H40" s="67" t="n">
        <v>2</v>
      </c>
      <c r="I40" s="67" t="n">
        <v>2</v>
      </c>
      <c r="J40" s="67" t="n">
        <v>2</v>
      </c>
      <c r="K40" s="67" t="n">
        <v>2</v>
      </c>
      <c r="L40" s="67" t="n">
        <v>2</v>
      </c>
      <c r="M40" s="67" t="n">
        <v>2</v>
      </c>
      <c r="N40" s="67" t="n">
        <v>2</v>
      </c>
      <c r="O40" s="67" t="n">
        <v>2</v>
      </c>
      <c r="P40" s="67" t="n">
        <v>2</v>
      </c>
      <c r="Q40" s="67" t="n">
        <v>2</v>
      </c>
      <c r="R40" s="67" t="n">
        <v>2</v>
      </c>
      <c r="S40" s="67" t="n">
        <v>2</v>
      </c>
      <c r="T40" s="67" t="n">
        <v>2</v>
      </c>
      <c r="U40" s="67" t="n">
        <v>2</v>
      </c>
      <c r="V40" s="67" t="n">
        <v>2</v>
      </c>
      <c r="W40" s="67" t="n">
        <v>2</v>
      </c>
      <c r="X40" s="67" t="n">
        <v>2</v>
      </c>
      <c r="Y40" s="67" t="n">
        <v>2</v>
      </c>
      <c r="Z40" s="67" t="n">
        <v>2</v>
      </c>
      <c r="AA40" s="67" t="n">
        <v>2</v>
      </c>
      <c r="AB40" s="67" t="n">
        <v>2</v>
      </c>
      <c r="AC40" s="67" t="n">
        <v>2</v>
      </c>
      <c r="AD40" s="67" t="n">
        <v>2</v>
      </c>
      <c r="AE40" s="68" t="n"/>
    </row>
    <row r="41">
      <c r="A41" s="13" t="n"/>
      <c r="B41" s="13" t="n"/>
      <c r="C41" s="27" t="n"/>
      <c r="D41" s="66" t="inlineStr">
        <is>
          <t>Qtd. Planejada</t>
        </is>
      </c>
      <c r="E41" s="36" t="n">
        <v>3085.56</v>
      </c>
      <c r="F41" s="36" t="n">
        <v>3600</v>
      </c>
      <c r="G41" s="36" t="n">
        <v>3085.56</v>
      </c>
      <c r="H41" s="36" t="n">
        <v>2571.48</v>
      </c>
      <c r="I41" s="36" t="n">
        <v>3085.56</v>
      </c>
      <c r="J41" s="36" t="n">
        <v>2571.48</v>
      </c>
      <c r="K41" s="36" t="n">
        <v>3085.56</v>
      </c>
      <c r="L41" s="36" t="n">
        <v>2057.04</v>
      </c>
      <c r="M41" s="36" t="n">
        <v>2571.48</v>
      </c>
      <c r="N41" s="36" t="n">
        <v>2057.04</v>
      </c>
      <c r="O41" s="36" t="n">
        <v>3085.56</v>
      </c>
      <c r="P41" s="36" t="n">
        <v>2057.04</v>
      </c>
      <c r="Q41" s="36" t="n">
        <v>2057.04</v>
      </c>
      <c r="R41" s="36" t="n">
        <v>3085.56</v>
      </c>
      <c r="S41" s="36" t="n">
        <v>3600</v>
      </c>
      <c r="T41" s="36" t="n">
        <v>3085.56</v>
      </c>
      <c r="U41" s="36" t="n">
        <v>3085.56</v>
      </c>
      <c r="V41" s="36" t="n">
        <v>3085.56</v>
      </c>
      <c r="W41" s="36" t="n">
        <v>3085.56</v>
      </c>
      <c r="X41" s="36" t="n">
        <v>3001.8</v>
      </c>
      <c r="Y41" s="68" t="n"/>
      <c r="Z41" s="68" t="n"/>
      <c r="AA41" s="68" t="n"/>
      <c r="AB41" s="68" t="n"/>
      <c r="AC41" s="68" t="n"/>
      <c r="AD41" s="68" t="n"/>
      <c r="AE41" s="68" t="n"/>
    </row>
    <row r="42">
      <c r="A42" s="13" t="n"/>
      <c r="B42" s="13" t="n"/>
      <c r="C42" s="27" t="n"/>
      <c r="D42" s="66" t="inlineStr">
        <is>
          <t>Qtd Plan. Acumulada</t>
        </is>
      </c>
      <c r="E42" s="36" t="n">
        <v>3085.56</v>
      </c>
      <c r="F42" s="36" t="n">
        <v>6685.56</v>
      </c>
      <c r="G42" s="36" t="n">
        <v>9771.120000000001</v>
      </c>
      <c r="H42" s="36" t="n">
        <v>12342.6</v>
      </c>
      <c r="I42" s="36" t="n">
        <v>15428.16</v>
      </c>
      <c r="J42" s="36" t="n">
        <v>17999.64</v>
      </c>
      <c r="K42" s="36" t="n">
        <v>21085.2</v>
      </c>
      <c r="L42" s="36" t="n">
        <v>23142.24</v>
      </c>
      <c r="M42" s="36" t="n">
        <v>25713.72</v>
      </c>
      <c r="N42" s="36" t="n">
        <v>27770.76</v>
      </c>
      <c r="O42" s="36" t="n">
        <v>30856.32</v>
      </c>
      <c r="P42" s="36" t="n">
        <v>32913.36</v>
      </c>
      <c r="Q42" s="36" t="n">
        <v>34970.4</v>
      </c>
      <c r="R42" s="36" t="n">
        <v>38055.96</v>
      </c>
      <c r="S42" s="36" t="n">
        <v>41655.96</v>
      </c>
      <c r="T42" s="36" t="n">
        <v>44741.52</v>
      </c>
      <c r="U42" s="36" t="n">
        <v>47827.08</v>
      </c>
      <c r="V42" s="36" t="n">
        <v>50912.64</v>
      </c>
      <c r="W42" s="36" t="n">
        <v>53998.2</v>
      </c>
      <c r="X42" s="36" t="n">
        <v>57000</v>
      </c>
      <c r="Y42" s="36" t="n">
        <v>57000</v>
      </c>
      <c r="Z42" s="36" t="n">
        <v>57000</v>
      </c>
      <c r="AA42" s="36" t="n">
        <v>57000</v>
      </c>
      <c r="AB42" s="36" t="n">
        <v>57000</v>
      </c>
      <c r="AC42" s="36" t="n">
        <v>57000</v>
      </c>
      <c r="AD42" s="36" t="n">
        <v>57000</v>
      </c>
      <c r="AE42" s="36" t="n">
        <v>57000</v>
      </c>
    </row>
    <row r="43">
      <c r="A43" s="13" t="n"/>
      <c r="B43" s="13" t="n"/>
      <c r="C43" s="27" t="n"/>
      <c r="D43" s="66" t="inlineStr">
        <is>
          <t>Eficiência</t>
        </is>
      </c>
      <c r="E43" s="69" t="n">
        <v>0.8571</v>
      </c>
      <c r="F43" s="69" t="n">
        <v>1</v>
      </c>
      <c r="G43" s="69" t="n">
        <v>0.8571</v>
      </c>
      <c r="H43" s="69" t="n">
        <v>0.7143</v>
      </c>
      <c r="I43" s="69" t="n">
        <v>0.8571</v>
      </c>
      <c r="J43" s="69" t="n">
        <v>0.7143</v>
      </c>
      <c r="K43" s="69" t="n">
        <v>0.8571</v>
      </c>
      <c r="L43" s="69" t="n">
        <v>0.5714</v>
      </c>
      <c r="M43" s="69" t="n">
        <v>0.7143</v>
      </c>
      <c r="N43" s="69" t="n">
        <v>0.5714</v>
      </c>
      <c r="O43" s="69" t="n">
        <v>0.8571</v>
      </c>
      <c r="P43" s="69" t="n">
        <v>0.5714</v>
      </c>
      <c r="Q43" s="69" t="n">
        <v>0.5714</v>
      </c>
      <c r="R43" s="69" t="n">
        <v>0.8571</v>
      </c>
      <c r="S43" s="69" t="n">
        <v>1</v>
      </c>
      <c r="T43" s="69" t="n">
        <v>0.8571</v>
      </c>
      <c r="U43" s="69" t="n">
        <v>0.8571</v>
      </c>
      <c r="V43" s="69" t="n">
        <v>0.8571</v>
      </c>
      <c r="W43" s="69" t="n">
        <v>0.8571</v>
      </c>
      <c r="X43" s="69" t="n">
        <v>1</v>
      </c>
      <c r="Y43" s="69" t="n">
        <v>0.7143</v>
      </c>
      <c r="Z43" s="69" t="n">
        <v>1</v>
      </c>
      <c r="AA43" s="69" t="n">
        <v>1</v>
      </c>
      <c r="AB43" s="69" t="n">
        <v>1</v>
      </c>
      <c r="AC43" s="69" t="n">
        <v>1</v>
      </c>
      <c r="AD43" s="69" t="n">
        <v>1</v>
      </c>
      <c r="AE43" s="68" t="n"/>
    </row>
    <row r="44">
      <c r="A44" s="20" t="inlineStr">
        <is>
          <t>eap-2_3</t>
        </is>
      </c>
      <c r="B44" s="20" t="inlineStr">
        <is>
          <t>Fornecimento e Instalação de Porteira Metálica (padrão VALEC)</t>
        </is>
      </c>
      <c r="C44" s="53" t="inlineStr">
        <is>
          <t>UNIDADE</t>
        </is>
      </c>
      <c r="D44" s="54" t="inlineStr">
        <is>
          <t>Dias Trabalhados</t>
        </is>
      </c>
      <c r="E44" s="55" t="n">
        <v>6</v>
      </c>
      <c r="F44" s="55" t="n">
        <v>6</v>
      </c>
      <c r="G44" s="55" t="n">
        <v>6</v>
      </c>
      <c r="H44" s="55" t="n">
        <v>6</v>
      </c>
      <c r="I44" s="55" t="n">
        <v>6</v>
      </c>
      <c r="J44" s="55" t="n">
        <v>6</v>
      </c>
      <c r="K44" s="55" t="n">
        <v>6</v>
      </c>
      <c r="L44" s="55" t="n">
        <v>6</v>
      </c>
      <c r="M44" s="55" t="n">
        <v>6</v>
      </c>
      <c r="N44" s="55" t="n">
        <v>6</v>
      </c>
      <c r="O44" s="55" t="n">
        <v>6</v>
      </c>
      <c r="P44" s="55" t="n">
        <v>6</v>
      </c>
      <c r="Q44" s="55" t="n">
        <v>6</v>
      </c>
      <c r="R44" s="55" t="n">
        <v>6</v>
      </c>
      <c r="S44" s="55" t="n">
        <v>6</v>
      </c>
      <c r="T44" s="55" t="n">
        <v>6</v>
      </c>
      <c r="U44" s="55" t="n">
        <v>6</v>
      </c>
      <c r="V44" s="55" t="n">
        <v>6</v>
      </c>
      <c r="W44" s="55" t="n">
        <v>6</v>
      </c>
      <c r="X44" s="55" t="n">
        <v>6</v>
      </c>
      <c r="Y44" s="55" t="n">
        <v>6</v>
      </c>
      <c r="Z44" s="55" t="n">
        <v>6</v>
      </c>
      <c r="AA44" s="55" t="n">
        <v>6</v>
      </c>
      <c r="AB44" s="55" t="n">
        <v>6</v>
      </c>
      <c r="AC44" s="55" t="n">
        <v>6</v>
      </c>
      <c r="AD44" s="55" t="n">
        <v>6</v>
      </c>
      <c r="AE44" s="56" t="n"/>
    </row>
    <row r="45">
      <c r="A45" s="11" t="n"/>
      <c r="B45" s="11" t="n"/>
      <c r="C45" s="18" t="n"/>
      <c r="D45" s="57" t="inlineStr">
        <is>
          <t>Nº De Equipes</t>
        </is>
      </c>
      <c r="E45" s="58" t="n">
        <v>1</v>
      </c>
      <c r="F45" s="58" t="n">
        <v>1</v>
      </c>
      <c r="G45" s="58" t="n">
        <v>1</v>
      </c>
      <c r="H45" s="58" t="n">
        <v>1</v>
      </c>
      <c r="I45" s="58" t="n">
        <v>1</v>
      </c>
      <c r="J45" s="58" t="n">
        <v>1</v>
      </c>
      <c r="K45" s="58" t="n">
        <v>1</v>
      </c>
      <c r="L45" s="58" t="n">
        <v>1</v>
      </c>
      <c r="M45" s="58" t="n">
        <v>1</v>
      </c>
      <c r="N45" s="58" t="n">
        <v>1</v>
      </c>
      <c r="O45" s="58" t="n">
        <v>1</v>
      </c>
      <c r="P45" s="58" t="n">
        <v>1</v>
      </c>
      <c r="Q45" s="58" t="n">
        <v>1</v>
      </c>
      <c r="R45" s="58" t="n">
        <v>1</v>
      </c>
      <c r="S45" s="58" t="n">
        <v>1</v>
      </c>
      <c r="T45" s="58" t="n">
        <v>1</v>
      </c>
      <c r="U45" s="58" t="n">
        <v>1</v>
      </c>
      <c r="V45" s="58" t="n">
        <v>1</v>
      </c>
      <c r="W45" s="58" t="n">
        <v>1</v>
      </c>
      <c r="X45" s="58" t="n">
        <v>1</v>
      </c>
      <c r="Y45" s="58" t="n">
        <v>1</v>
      </c>
      <c r="Z45" s="58" t="n">
        <v>1</v>
      </c>
      <c r="AA45" s="58" t="n">
        <v>1</v>
      </c>
      <c r="AB45" s="58" t="n">
        <v>1</v>
      </c>
      <c r="AC45" s="58" t="n">
        <v>1</v>
      </c>
      <c r="AD45" s="58" t="n">
        <v>1</v>
      </c>
      <c r="AE45" s="59" t="n"/>
    </row>
    <row r="46">
      <c r="A46" s="11" t="n"/>
      <c r="B46" s="11" t="n"/>
      <c r="C46" s="18" t="n"/>
      <c r="D46" s="57" t="inlineStr">
        <is>
          <t>Qtd. Planejada</t>
        </is>
      </c>
      <c r="E46" s="33" t="n">
        <v>5.14</v>
      </c>
      <c r="F46" s="33" t="n">
        <v>6</v>
      </c>
      <c r="G46" s="33" t="n">
        <v>5.14</v>
      </c>
      <c r="H46" s="33" t="n">
        <v>4.29</v>
      </c>
      <c r="I46" s="33" t="n">
        <v>5.14</v>
      </c>
      <c r="J46" s="33" t="n">
        <v>4.29</v>
      </c>
      <c r="K46" s="33" t="n">
        <v>5.14</v>
      </c>
      <c r="L46" s="33" t="n">
        <v>3.43</v>
      </c>
      <c r="M46" s="33" t="n">
        <v>4.29</v>
      </c>
      <c r="N46" s="33" t="n">
        <v>1.14</v>
      </c>
      <c r="O46" s="59" t="n"/>
      <c r="P46" s="59" t="n"/>
      <c r="Q46" s="59" t="n"/>
      <c r="R46" s="59" t="n"/>
      <c r="S46" s="59" t="n"/>
      <c r="T46" s="59" t="n"/>
      <c r="U46" s="59" t="n"/>
      <c r="V46" s="59" t="n"/>
      <c r="W46" s="59" t="n"/>
      <c r="X46" s="59" t="n"/>
      <c r="Y46" s="59" t="n"/>
      <c r="Z46" s="59" t="n"/>
      <c r="AA46" s="59" t="n"/>
      <c r="AB46" s="59" t="n"/>
      <c r="AC46" s="59" t="n"/>
      <c r="AD46" s="59" t="n"/>
      <c r="AE46" s="59" t="n"/>
    </row>
    <row r="47">
      <c r="A47" s="11" t="n"/>
      <c r="B47" s="11" t="n"/>
      <c r="C47" s="18" t="n"/>
      <c r="D47" s="57" t="inlineStr">
        <is>
          <t>Qtd Plan. Acumulada</t>
        </is>
      </c>
      <c r="E47" s="33" t="n">
        <v>5.14</v>
      </c>
      <c r="F47" s="33" t="n">
        <v>11.14</v>
      </c>
      <c r="G47" s="33" t="n">
        <v>16.29</v>
      </c>
      <c r="H47" s="33" t="n">
        <v>20.57</v>
      </c>
      <c r="I47" s="33" t="n">
        <v>25.71</v>
      </c>
      <c r="J47" s="33" t="n">
        <v>30</v>
      </c>
      <c r="K47" s="33" t="n">
        <v>35.14</v>
      </c>
      <c r="L47" s="33" t="n">
        <v>38.57</v>
      </c>
      <c r="M47" s="33" t="n">
        <v>42.86</v>
      </c>
      <c r="N47" s="33" t="n">
        <v>44</v>
      </c>
      <c r="O47" s="33" t="n">
        <v>44</v>
      </c>
      <c r="P47" s="33" t="n">
        <v>44</v>
      </c>
      <c r="Q47" s="33" t="n">
        <v>44</v>
      </c>
      <c r="R47" s="33" t="n">
        <v>44</v>
      </c>
      <c r="S47" s="33" t="n">
        <v>44</v>
      </c>
      <c r="T47" s="33" t="n">
        <v>44</v>
      </c>
      <c r="U47" s="33" t="n">
        <v>44</v>
      </c>
      <c r="V47" s="33" t="n">
        <v>44</v>
      </c>
      <c r="W47" s="33" t="n">
        <v>44</v>
      </c>
      <c r="X47" s="33" t="n">
        <v>44</v>
      </c>
      <c r="Y47" s="33" t="n">
        <v>44</v>
      </c>
      <c r="Z47" s="33" t="n">
        <v>44</v>
      </c>
      <c r="AA47" s="33" t="n">
        <v>44</v>
      </c>
      <c r="AB47" s="33" t="n">
        <v>44</v>
      </c>
      <c r="AC47" s="33" t="n">
        <v>44</v>
      </c>
      <c r="AD47" s="33" t="n">
        <v>44</v>
      </c>
      <c r="AE47" s="33" t="n">
        <v>44</v>
      </c>
    </row>
    <row r="48">
      <c r="A48" s="11" t="n"/>
      <c r="B48" s="11" t="n"/>
      <c r="C48" s="18" t="n"/>
      <c r="D48" s="57" t="inlineStr">
        <is>
          <t>Eficiência</t>
        </is>
      </c>
      <c r="E48" s="60" t="n">
        <v>0.8571</v>
      </c>
      <c r="F48" s="60" t="n">
        <v>1</v>
      </c>
      <c r="G48" s="60" t="n">
        <v>0.8571</v>
      </c>
      <c r="H48" s="60" t="n">
        <v>0.7143</v>
      </c>
      <c r="I48" s="60" t="n">
        <v>0.8571</v>
      </c>
      <c r="J48" s="60" t="n">
        <v>0.7143</v>
      </c>
      <c r="K48" s="60" t="n">
        <v>0.8571</v>
      </c>
      <c r="L48" s="60" t="n">
        <v>0.5714</v>
      </c>
      <c r="M48" s="60" t="n">
        <v>0.7143</v>
      </c>
      <c r="N48" s="60" t="n">
        <v>0.5714</v>
      </c>
      <c r="O48" s="60" t="n">
        <v>0.8571</v>
      </c>
      <c r="P48" s="60" t="n">
        <v>0.5714</v>
      </c>
      <c r="Q48" s="60" t="n">
        <v>0.5714</v>
      </c>
      <c r="R48" s="60" t="n">
        <v>0.8571</v>
      </c>
      <c r="S48" s="60" t="n">
        <v>1</v>
      </c>
      <c r="T48" s="60" t="n">
        <v>0.8571</v>
      </c>
      <c r="U48" s="60" t="n">
        <v>0.8571</v>
      </c>
      <c r="V48" s="60" t="n">
        <v>0.8571</v>
      </c>
      <c r="W48" s="60" t="n">
        <v>0.8571</v>
      </c>
      <c r="X48" s="60" t="n">
        <v>1</v>
      </c>
      <c r="Y48" s="60" t="n">
        <v>0.7143</v>
      </c>
      <c r="Z48" s="60" t="n">
        <v>1</v>
      </c>
      <c r="AA48" s="60" t="n">
        <v>1</v>
      </c>
      <c r="AB48" s="60" t="n">
        <v>1</v>
      </c>
      <c r="AC48" s="60" t="n">
        <v>1</v>
      </c>
      <c r="AD48" s="60" t="n">
        <v>1</v>
      </c>
      <c r="AE48" s="59" t="n"/>
    </row>
    <row r="49">
      <c r="A49" s="61" t="inlineStr">
        <is>
          <t>eap-4_1</t>
        </is>
      </c>
      <c r="B49" s="61" t="inlineStr">
        <is>
          <t>Implantação do eixo</t>
        </is>
      </c>
      <c r="C49" s="62" t="inlineStr">
        <is>
          <t>KM</t>
        </is>
      </c>
      <c r="D49" s="63" t="inlineStr">
        <is>
          <t>Dias Trabalhados</t>
        </is>
      </c>
      <c r="E49" s="64" t="n">
        <v>6</v>
      </c>
      <c r="F49" s="64" t="n">
        <v>6</v>
      </c>
      <c r="G49" s="64" t="n">
        <v>6</v>
      </c>
      <c r="H49" s="64" t="n">
        <v>6</v>
      </c>
      <c r="I49" s="64" t="n">
        <v>6</v>
      </c>
      <c r="J49" s="64" t="n">
        <v>6</v>
      </c>
      <c r="K49" s="64" t="n">
        <v>6</v>
      </c>
      <c r="L49" s="64" t="n">
        <v>6</v>
      </c>
      <c r="M49" s="64" t="n">
        <v>6</v>
      </c>
      <c r="N49" s="64" t="n">
        <v>6</v>
      </c>
      <c r="O49" s="64" t="n">
        <v>6</v>
      </c>
      <c r="P49" s="64" t="n">
        <v>6</v>
      </c>
      <c r="Q49" s="64" t="n">
        <v>6</v>
      </c>
      <c r="R49" s="64" t="n">
        <v>6</v>
      </c>
      <c r="S49" s="64" t="n">
        <v>6</v>
      </c>
      <c r="T49" s="64" t="n">
        <v>6</v>
      </c>
      <c r="U49" s="64" t="n">
        <v>6</v>
      </c>
      <c r="V49" s="64" t="n">
        <v>6</v>
      </c>
      <c r="W49" s="64" t="n">
        <v>6</v>
      </c>
      <c r="X49" s="64" t="n">
        <v>6</v>
      </c>
      <c r="Y49" s="64" t="n">
        <v>6</v>
      </c>
      <c r="Z49" s="64" t="n">
        <v>6</v>
      </c>
      <c r="AA49" s="64" t="n">
        <v>6</v>
      </c>
      <c r="AB49" s="64" t="n">
        <v>6</v>
      </c>
      <c r="AC49" s="64" t="n">
        <v>6</v>
      </c>
      <c r="AD49" s="64" t="n">
        <v>6</v>
      </c>
      <c r="AE49" s="65" t="n"/>
    </row>
    <row r="50">
      <c r="A50" s="13" t="n"/>
      <c r="B50" s="13" t="n"/>
      <c r="C50" s="27" t="n"/>
      <c r="D50" s="66" t="inlineStr">
        <is>
          <t>Nº De Equipes</t>
        </is>
      </c>
      <c r="E50" s="67" t="n">
        <v>1</v>
      </c>
      <c r="F50" s="67" t="n">
        <v>1</v>
      </c>
      <c r="G50" s="67" t="n">
        <v>1</v>
      </c>
      <c r="H50" s="67" t="n">
        <v>1</v>
      </c>
      <c r="I50" s="67" t="n">
        <v>1</v>
      </c>
      <c r="J50" s="67" t="n">
        <v>1</v>
      </c>
      <c r="K50" s="67" t="n">
        <v>1</v>
      </c>
      <c r="L50" s="67" t="n">
        <v>1</v>
      </c>
      <c r="M50" s="67" t="n">
        <v>1</v>
      </c>
      <c r="N50" s="67" t="n">
        <v>1</v>
      </c>
      <c r="O50" s="67" t="n">
        <v>1</v>
      </c>
      <c r="P50" s="67" t="n">
        <v>1</v>
      </c>
      <c r="Q50" s="67" t="n">
        <v>1</v>
      </c>
      <c r="R50" s="67" t="n">
        <v>1</v>
      </c>
      <c r="S50" s="67" t="n">
        <v>1</v>
      </c>
      <c r="T50" s="67" t="n">
        <v>1</v>
      </c>
      <c r="U50" s="67" t="n">
        <v>1</v>
      </c>
      <c r="V50" s="67" t="n">
        <v>1</v>
      </c>
      <c r="W50" s="67" t="n">
        <v>1</v>
      </c>
      <c r="X50" s="67" t="n">
        <v>1</v>
      </c>
      <c r="Y50" s="67" t="n">
        <v>1</v>
      </c>
      <c r="Z50" s="67" t="n">
        <v>1</v>
      </c>
      <c r="AA50" s="67" t="n">
        <v>1</v>
      </c>
      <c r="AB50" s="67" t="n">
        <v>1</v>
      </c>
      <c r="AC50" s="67" t="n">
        <v>1</v>
      </c>
      <c r="AD50" s="67" t="n">
        <v>1</v>
      </c>
      <c r="AE50" s="68" t="n"/>
    </row>
    <row r="51">
      <c r="A51" s="13" t="n"/>
      <c r="B51" s="13" t="n"/>
      <c r="C51" s="27" t="n"/>
      <c r="D51" s="66" t="inlineStr">
        <is>
          <t>Qtd. Planejada</t>
        </is>
      </c>
      <c r="E51" s="36" t="n">
        <v>5.76</v>
      </c>
      <c r="F51" s="36" t="n">
        <v>6.72</v>
      </c>
      <c r="G51" s="36" t="n">
        <v>5.76</v>
      </c>
      <c r="H51" s="36" t="n">
        <v>4.8</v>
      </c>
      <c r="I51" s="36" t="n">
        <v>5.76</v>
      </c>
      <c r="J51" s="36" t="n">
        <v>4.8</v>
      </c>
      <c r="K51" s="36" t="n">
        <v>5.76</v>
      </c>
      <c r="L51" s="36" t="n">
        <v>3.84</v>
      </c>
      <c r="M51" s="36" t="n">
        <v>4.8</v>
      </c>
      <c r="N51" s="36" t="n">
        <v>3.84</v>
      </c>
      <c r="O51" s="36" t="n">
        <v>5.16</v>
      </c>
      <c r="P51" s="68" t="n"/>
      <c r="Q51" s="68" t="n"/>
      <c r="R51" s="68" t="n"/>
      <c r="S51" s="68" t="n"/>
      <c r="T51" s="68" t="n"/>
      <c r="U51" s="68" t="n"/>
      <c r="V51" s="68" t="n"/>
      <c r="W51" s="68" t="n"/>
      <c r="X51" s="68" t="n"/>
      <c r="Y51" s="68" t="n"/>
      <c r="Z51" s="68" t="n"/>
      <c r="AA51" s="68" t="n"/>
      <c r="AB51" s="68" t="n"/>
      <c r="AC51" s="68" t="n"/>
      <c r="AD51" s="68" t="n"/>
      <c r="AE51" s="68" t="n"/>
    </row>
    <row r="52">
      <c r="A52" s="13" t="n"/>
      <c r="B52" s="13" t="n"/>
      <c r="C52" s="27" t="n"/>
      <c r="D52" s="66" t="inlineStr">
        <is>
          <t>Qtd Plan. Acumulada</t>
        </is>
      </c>
      <c r="E52" s="36" t="n">
        <v>5.76</v>
      </c>
      <c r="F52" s="36" t="n">
        <v>12.48</v>
      </c>
      <c r="G52" s="36" t="n">
        <v>18.24</v>
      </c>
      <c r="H52" s="36" t="n">
        <v>23.04</v>
      </c>
      <c r="I52" s="36" t="n">
        <v>28.8</v>
      </c>
      <c r="J52" s="36" t="n">
        <v>33.6</v>
      </c>
      <c r="K52" s="36" t="n">
        <v>39.36</v>
      </c>
      <c r="L52" s="36" t="n">
        <v>43.2</v>
      </c>
      <c r="M52" s="36" t="n">
        <v>48</v>
      </c>
      <c r="N52" s="36" t="n">
        <v>51.84</v>
      </c>
      <c r="O52" s="36" t="n">
        <v>57</v>
      </c>
      <c r="P52" s="36" t="n">
        <v>57</v>
      </c>
      <c r="Q52" s="36" t="n">
        <v>57</v>
      </c>
      <c r="R52" s="36" t="n">
        <v>57</v>
      </c>
      <c r="S52" s="36" t="n">
        <v>57</v>
      </c>
      <c r="T52" s="36" t="n">
        <v>57</v>
      </c>
      <c r="U52" s="36" t="n">
        <v>57</v>
      </c>
      <c r="V52" s="36" t="n">
        <v>57</v>
      </c>
      <c r="W52" s="36" t="n">
        <v>57</v>
      </c>
      <c r="X52" s="36" t="n">
        <v>57</v>
      </c>
      <c r="Y52" s="36" t="n">
        <v>57</v>
      </c>
      <c r="Z52" s="36" t="n">
        <v>57</v>
      </c>
      <c r="AA52" s="36" t="n">
        <v>57</v>
      </c>
      <c r="AB52" s="36" t="n">
        <v>57</v>
      </c>
      <c r="AC52" s="36" t="n">
        <v>57</v>
      </c>
      <c r="AD52" s="36" t="n">
        <v>57</v>
      </c>
      <c r="AE52" s="36" t="n">
        <v>57</v>
      </c>
    </row>
    <row r="53">
      <c r="A53" s="13" t="n"/>
      <c r="B53" s="13" t="n"/>
      <c r="C53" s="27" t="n"/>
      <c r="D53" s="66" t="inlineStr">
        <is>
          <t>Eficiência</t>
        </is>
      </c>
      <c r="E53" s="69" t="n">
        <v>0.8571</v>
      </c>
      <c r="F53" s="69" t="n">
        <v>1</v>
      </c>
      <c r="G53" s="69" t="n">
        <v>0.8571</v>
      </c>
      <c r="H53" s="69" t="n">
        <v>0.7143</v>
      </c>
      <c r="I53" s="69" t="n">
        <v>0.8571</v>
      </c>
      <c r="J53" s="69" t="n">
        <v>0.7143</v>
      </c>
      <c r="K53" s="69" t="n">
        <v>0.8571</v>
      </c>
      <c r="L53" s="69" t="n">
        <v>0.5714</v>
      </c>
      <c r="M53" s="69" t="n">
        <v>0.7143</v>
      </c>
      <c r="N53" s="69" t="n">
        <v>0.5714</v>
      </c>
      <c r="O53" s="69" t="n">
        <v>0.8571</v>
      </c>
      <c r="P53" s="69" t="n">
        <v>0.5714</v>
      </c>
      <c r="Q53" s="69" t="n">
        <v>0.5714</v>
      </c>
      <c r="R53" s="69" t="n">
        <v>0.8571</v>
      </c>
      <c r="S53" s="69" t="n">
        <v>1</v>
      </c>
      <c r="T53" s="69" t="n">
        <v>0.8571</v>
      </c>
      <c r="U53" s="69" t="n">
        <v>0.8571</v>
      </c>
      <c r="V53" s="69" t="n">
        <v>0.8571</v>
      </c>
      <c r="W53" s="69" t="n">
        <v>0.8571</v>
      </c>
      <c r="X53" s="69" t="n">
        <v>1</v>
      </c>
      <c r="Y53" s="69" t="n">
        <v>0.7143</v>
      </c>
      <c r="Z53" s="69" t="n">
        <v>1</v>
      </c>
      <c r="AA53" s="69" t="n">
        <v>1</v>
      </c>
      <c r="AB53" s="69" t="n">
        <v>1</v>
      </c>
      <c r="AC53" s="69" t="n">
        <v>1</v>
      </c>
      <c r="AD53" s="69" t="n">
        <v>1</v>
      </c>
      <c r="AE53" s="68" t="n"/>
    </row>
    <row r="54">
      <c r="A54" s="20" t="inlineStr">
        <is>
          <t>eap-3_5</t>
        </is>
      </c>
      <c r="B54" s="20" t="inlineStr">
        <is>
          <t>Cerca arame liso (5 fios) com mourão de eucalipto e mourão de madeira a cada 4,0 m e esticador a cada 50 m executada em solos alagadas</t>
        </is>
      </c>
      <c r="C54" s="53" t="inlineStr">
        <is>
          <t>M</t>
        </is>
      </c>
      <c r="D54" s="54" t="inlineStr">
        <is>
          <t>Dias Trabalhados</t>
        </is>
      </c>
      <c r="E54" s="55" t="n">
        <v>6</v>
      </c>
      <c r="F54" s="55" t="n">
        <v>6</v>
      </c>
      <c r="G54" s="55" t="n">
        <v>6</v>
      </c>
      <c r="H54" s="55" t="n">
        <v>6</v>
      </c>
      <c r="I54" s="55" t="n">
        <v>6</v>
      </c>
      <c r="J54" s="55" t="n">
        <v>6</v>
      </c>
      <c r="K54" s="55" t="n">
        <v>6</v>
      </c>
      <c r="L54" s="55" t="n">
        <v>6</v>
      </c>
      <c r="M54" s="55" t="n">
        <v>6</v>
      </c>
      <c r="N54" s="55" t="n">
        <v>6</v>
      </c>
      <c r="O54" s="55" t="n">
        <v>6</v>
      </c>
      <c r="P54" s="55" t="n">
        <v>6</v>
      </c>
      <c r="Q54" s="55" t="n">
        <v>6</v>
      </c>
      <c r="R54" s="55" t="n">
        <v>6</v>
      </c>
      <c r="S54" s="55" t="n">
        <v>6</v>
      </c>
      <c r="T54" s="55" t="n">
        <v>6</v>
      </c>
      <c r="U54" s="55" t="n">
        <v>6</v>
      </c>
      <c r="V54" s="55" t="n">
        <v>6</v>
      </c>
      <c r="W54" s="55" t="n">
        <v>6</v>
      </c>
      <c r="X54" s="55" t="n">
        <v>6</v>
      </c>
      <c r="Y54" s="55" t="n">
        <v>6</v>
      </c>
      <c r="Z54" s="55" t="n">
        <v>6</v>
      </c>
      <c r="AA54" s="55" t="n">
        <v>6</v>
      </c>
      <c r="AB54" s="55" t="n">
        <v>6</v>
      </c>
      <c r="AC54" s="55" t="n">
        <v>6</v>
      </c>
      <c r="AD54" s="55" t="n">
        <v>6</v>
      </c>
      <c r="AE54" s="56" t="n"/>
    </row>
    <row r="55">
      <c r="A55" s="11" t="n"/>
      <c r="B55" s="11" t="n"/>
      <c r="C55" s="18" t="n"/>
      <c r="D55" s="57" t="inlineStr">
        <is>
          <t>Nº De Equipes</t>
        </is>
      </c>
      <c r="E55" s="58" t="n">
        <v>1</v>
      </c>
      <c r="F55" s="58" t="n">
        <v>1</v>
      </c>
      <c r="G55" s="58" t="n">
        <v>1</v>
      </c>
      <c r="H55" s="58" t="n">
        <v>1</v>
      </c>
      <c r="I55" s="58" t="n">
        <v>1</v>
      </c>
      <c r="J55" s="58" t="n">
        <v>1</v>
      </c>
      <c r="K55" s="58" t="n">
        <v>1</v>
      </c>
      <c r="L55" s="58" t="n">
        <v>1</v>
      </c>
      <c r="M55" s="58" t="n">
        <v>1</v>
      </c>
      <c r="N55" s="58" t="n">
        <v>1</v>
      </c>
      <c r="O55" s="58" t="n">
        <v>1</v>
      </c>
      <c r="P55" s="58" t="n">
        <v>1</v>
      </c>
      <c r="Q55" s="58" t="n">
        <v>1</v>
      </c>
      <c r="R55" s="58" t="n">
        <v>1</v>
      </c>
      <c r="S55" s="58" t="n">
        <v>1</v>
      </c>
      <c r="T55" s="58" t="n">
        <v>1</v>
      </c>
      <c r="U55" s="58" t="n">
        <v>1</v>
      </c>
      <c r="V55" s="58" t="n">
        <v>1</v>
      </c>
      <c r="W55" s="58" t="n">
        <v>1</v>
      </c>
      <c r="X55" s="58" t="n">
        <v>1</v>
      </c>
      <c r="Y55" s="58" t="n">
        <v>1</v>
      </c>
      <c r="Z55" s="58" t="n">
        <v>1</v>
      </c>
      <c r="AA55" s="58" t="n">
        <v>1</v>
      </c>
      <c r="AB55" s="58" t="n">
        <v>1</v>
      </c>
      <c r="AC55" s="58" t="n">
        <v>1</v>
      </c>
      <c r="AD55" s="58" t="n">
        <v>1</v>
      </c>
      <c r="AE55" s="59" t="n"/>
    </row>
    <row r="56">
      <c r="A56" s="11" t="n"/>
      <c r="B56" s="11" t="n"/>
      <c r="C56" s="18" t="n"/>
      <c r="D56" s="57" t="inlineStr">
        <is>
          <t>Qtd. Planejada</t>
        </is>
      </c>
      <c r="E56" s="33" t="n">
        <v>1542.78</v>
      </c>
      <c r="F56" s="33" t="n">
        <v>285.13</v>
      </c>
      <c r="G56" s="59" t="n"/>
      <c r="H56" s="59" t="n"/>
      <c r="I56" s="59" t="n"/>
      <c r="J56" s="59" t="n"/>
      <c r="K56" s="59" t="n"/>
      <c r="L56" s="59" t="n"/>
      <c r="M56" s="59" t="n"/>
      <c r="N56" s="59" t="n"/>
      <c r="O56" s="59" t="n"/>
      <c r="P56" s="59" t="n"/>
      <c r="Q56" s="59" t="n"/>
      <c r="R56" s="59" t="n"/>
      <c r="S56" s="59" t="n"/>
      <c r="T56" s="59" t="n"/>
      <c r="U56" s="59" t="n"/>
      <c r="V56" s="59" t="n"/>
      <c r="W56" s="59" t="n"/>
      <c r="X56" s="59" t="n"/>
      <c r="Y56" s="59" t="n"/>
      <c r="Z56" s="59" t="n"/>
      <c r="AA56" s="59" t="n"/>
      <c r="AB56" s="59" t="n"/>
      <c r="AC56" s="59" t="n"/>
      <c r="AD56" s="59" t="n"/>
      <c r="AE56" s="59" t="n"/>
    </row>
    <row r="57">
      <c r="A57" s="11" t="n"/>
      <c r="B57" s="11" t="n"/>
      <c r="C57" s="18" t="n"/>
      <c r="D57" s="57" t="inlineStr">
        <is>
          <t>Qtd Plan. Acumulada</t>
        </is>
      </c>
      <c r="E57" s="33" t="n">
        <v>1542.78</v>
      </c>
      <c r="F57" s="33" t="n">
        <v>1827.91</v>
      </c>
      <c r="G57" s="33" t="n">
        <v>1827.91</v>
      </c>
      <c r="H57" s="33" t="n">
        <v>1827.91</v>
      </c>
      <c r="I57" s="33" t="n">
        <v>1827.91</v>
      </c>
      <c r="J57" s="33" t="n">
        <v>1827.91</v>
      </c>
      <c r="K57" s="33" t="n">
        <v>1827.91</v>
      </c>
      <c r="L57" s="33" t="n">
        <v>1827.91</v>
      </c>
      <c r="M57" s="33" t="n">
        <v>1827.91</v>
      </c>
      <c r="N57" s="33" t="n">
        <v>1827.91</v>
      </c>
      <c r="O57" s="33" t="n">
        <v>1827.91</v>
      </c>
      <c r="P57" s="33" t="n">
        <v>1827.91</v>
      </c>
      <c r="Q57" s="33" t="n">
        <v>1827.91</v>
      </c>
      <c r="R57" s="33" t="n">
        <v>1827.91</v>
      </c>
      <c r="S57" s="33" t="n">
        <v>1827.91</v>
      </c>
      <c r="T57" s="33" t="n">
        <v>1827.91</v>
      </c>
      <c r="U57" s="33" t="n">
        <v>1827.91</v>
      </c>
      <c r="V57" s="33" t="n">
        <v>1827.91</v>
      </c>
      <c r="W57" s="33" t="n">
        <v>1827.91</v>
      </c>
      <c r="X57" s="33" t="n">
        <v>1827.91</v>
      </c>
      <c r="Y57" s="33" t="n">
        <v>1827.91</v>
      </c>
      <c r="Z57" s="33" t="n">
        <v>1827.91</v>
      </c>
      <c r="AA57" s="33" t="n">
        <v>1827.91</v>
      </c>
      <c r="AB57" s="33" t="n">
        <v>1827.91</v>
      </c>
      <c r="AC57" s="33" t="n">
        <v>1827.91</v>
      </c>
      <c r="AD57" s="33" t="n">
        <v>1827.91</v>
      </c>
      <c r="AE57" s="33" t="n">
        <v>1827.91</v>
      </c>
    </row>
    <row r="58">
      <c r="A58" s="11" t="n"/>
      <c r="B58" s="11" t="n"/>
      <c r="C58" s="18" t="n"/>
      <c r="D58" s="57" t="inlineStr">
        <is>
          <t>Eficiência</t>
        </is>
      </c>
      <c r="E58" s="60" t="n">
        <v>0.8571</v>
      </c>
      <c r="F58" s="60" t="n">
        <v>1</v>
      </c>
      <c r="G58" s="60" t="n">
        <v>0.8571</v>
      </c>
      <c r="H58" s="60" t="n">
        <v>0.7143</v>
      </c>
      <c r="I58" s="60" t="n">
        <v>0.8571</v>
      </c>
      <c r="J58" s="60" t="n">
        <v>0.7143</v>
      </c>
      <c r="K58" s="60" t="n">
        <v>0.8571</v>
      </c>
      <c r="L58" s="60" t="n">
        <v>0.5714</v>
      </c>
      <c r="M58" s="60" t="n">
        <v>0.7143</v>
      </c>
      <c r="N58" s="60" t="n">
        <v>0.5714</v>
      </c>
      <c r="O58" s="60" t="n">
        <v>0.8571</v>
      </c>
      <c r="P58" s="60" t="n">
        <v>0.5714</v>
      </c>
      <c r="Q58" s="60" t="n">
        <v>0.5714</v>
      </c>
      <c r="R58" s="60" t="n">
        <v>0.8571</v>
      </c>
      <c r="S58" s="60" t="n">
        <v>1</v>
      </c>
      <c r="T58" s="60" t="n">
        <v>0.8571</v>
      </c>
      <c r="U58" s="60" t="n">
        <v>0.8571</v>
      </c>
      <c r="V58" s="60" t="n">
        <v>0.8571</v>
      </c>
      <c r="W58" s="60" t="n">
        <v>0.8571</v>
      </c>
      <c r="X58" s="60" t="n">
        <v>1</v>
      </c>
      <c r="Y58" s="60" t="n">
        <v>0.7143</v>
      </c>
      <c r="Z58" s="60" t="n">
        <v>1</v>
      </c>
      <c r="AA58" s="60" t="n">
        <v>1</v>
      </c>
      <c r="AB58" s="60" t="n">
        <v>1</v>
      </c>
      <c r="AC58" s="60" t="n">
        <v>1</v>
      </c>
      <c r="AD58" s="60" t="n">
        <v>1</v>
      </c>
      <c r="AE58" s="59" t="n"/>
    </row>
    <row r="59">
      <c r="A59" s="61" t="inlineStr">
        <is>
          <t>eap-3_2</t>
        </is>
      </c>
      <c r="B59" s="61" t="inlineStr">
        <is>
          <t>Cerca arame liso (5 fios) com mourões de concreto, seção quadrada 10 x 10 cm (padrão VALEC) executada em solos alagáveis</t>
        </is>
      </c>
      <c r="C59" s="62" t="inlineStr">
        <is>
          <t>M</t>
        </is>
      </c>
      <c r="D59" s="63" t="inlineStr">
        <is>
          <t>Dias Trabalhados</t>
        </is>
      </c>
      <c r="E59" s="64" t="n">
        <v>6</v>
      </c>
      <c r="F59" s="64" t="n">
        <v>6</v>
      </c>
      <c r="G59" s="64" t="n">
        <v>6</v>
      </c>
      <c r="H59" s="64" t="n">
        <v>6</v>
      </c>
      <c r="I59" s="64" t="n">
        <v>6</v>
      </c>
      <c r="J59" s="64" t="n">
        <v>6</v>
      </c>
      <c r="K59" s="64" t="n">
        <v>6</v>
      </c>
      <c r="L59" s="64" t="n">
        <v>6</v>
      </c>
      <c r="M59" s="64" t="n">
        <v>6</v>
      </c>
      <c r="N59" s="64" t="n">
        <v>6</v>
      </c>
      <c r="O59" s="64" t="n">
        <v>6</v>
      </c>
      <c r="P59" s="64" t="n">
        <v>6</v>
      </c>
      <c r="Q59" s="64" t="n">
        <v>6</v>
      </c>
      <c r="R59" s="64" t="n">
        <v>6</v>
      </c>
      <c r="S59" s="64" t="n">
        <v>6</v>
      </c>
      <c r="T59" s="64" t="n">
        <v>6</v>
      </c>
      <c r="U59" s="64" t="n">
        <v>6</v>
      </c>
      <c r="V59" s="64" t="n">
        <v>6</v>
      </c>
      <c r="W59" s="64" t="n">
        <v>6</v>
      </c>
      <c r="X59" s="64" t="n">
        <v>6</v>
      </c>
      <c r="Y59" s="64" t="n">
        <v>6</v>
      </c>
      <c r="Z59" s="64" t="n">
        <v>6</v>
      </c>
      <c r="AA59" s="64" t="n">
        <v>6</v>
      </c>
      <c r="AB59" s="64" t="n">
        <v>6</v>
      </c>
      <c r="AC59" s="64" t="n">
        <v>6</v>
      </c>
      <c r="AD59" s="64" t="n">
        <v>6</v>
      </c>
      <c r="AE59" s="65" t="n"/>
    </row>
    <row r="60">
      <c r="A60" s="13" t="n"/>
      <c r="B60" s="13" t="n"/>
      <c r="C60" s="27" t="n"/>
      <c r="D60" s="66" t="inlineStr">
        <is>
          <t>Nº De Equipes</t>
        </is>
      </c>
      <c r="E60" s="67" t="n">
        <v>1</v>
      </c>
      <c r="F60" s="67" t="n">
        <v>1</v>
      </c>
      <c r="G60" s="67" t="n">
        <v>1</v>
      </c>
      <c r="H60" s="67" t="n">
        <v>1</v>
      </c>
      <c r="I60" s="67" t="n">
        <v>1</v>
      </c>
      <c r="J60" s="67" t="n">
        <v>1</v>
      </c>
      <c r="K60" s="67" t="n">
        <v>1</v>
      </c>
      <c r="L60" s="67" t="n">
        <v>1</v>
      </c>
      <c r="M60" s="67" t="n">
        <v>1</v>
      </c>
      <c r="N60" s="67" t="n">
        <v>1</v>
      </c>
      <c r="O60" s="67" t="n">
        <v>1</v>
      </c>
      <c r="P60" s="67" t="n">
        <v>1</v>
      </c>
      <c r="Q60" s="67" t="n">
        <v>1</v>
      </c>
      <c r="R60" s="67" t="n">
        <v>1</v>
      </c>
      <c r="S60" s="67" t="n">
        <v>1</v>
      </c>
      <c r="T60" s="67" t="n">
        <v>1</v>
      </c>
      <c r="U60" s="67" t="n">
        <v>1</v>
      </c>
      <c r="V60" s="67" t="n">
        <v>1</v>
      </c>
      <c r="W60" s="67" t="n">
        <v>1</v>
      </c>
      <c r="X60" s="67" t="n">
        <v>1</v>
      </c>
      <c r="Y60" s="67" t="n">
        <v>1</v>
      </c>
      <c r="Z60" s="67" t="n">
        <v>1</v>
      </c>
      <c r="AA60" s="67" t="n">
        <v>1</v>
      </c>
      <c r="AB60" s="67" t="n">
        <v>1</v>
      </c>
      <c r="AC60" s="67" t="n">
        <v>1</v>
      </c>
      <c r="AD60" s="67" t="n">
        <v>1</v>
      </c>
      <c r="AE60" s="68" t="n"/>
    </row>
    <row r="61">
      <c r="A61" s="13" t="n"/>
      <c r="B61" s="13" t="n"/>
      <c r="C61" s="27" t="n"/>
      <c r="D61" s="66" t="inlineStr">
        <is>
          <t>Qtd. Planejada</t>
        </is>
      </c>
      <c r="E61" s="36" t="n">
        <v>575</v>
      </c>
      <c r="F61" s="68" t="n"/>
      <c r="G61" s="68" t="n"/>
      <c r="H61" s="68" t="n"/>
      <c r="I61" s="68" t="n"/>
      <c r="J61" s="68" t="n"/>
      <c r="K61" s="68" t="n"/>
      <c r="L61" s="68" t="n"/>
      <c r="M61" s="68" t="n"/>
      <c r="N61" s="68" t="n"/>
      <c r="O61" s="68" t="n"/>
      <c r="P61" s="68" t="n"/>
      <c r="Q61" s="68" t="n"/>
      <c r="R61" s="68" t="n"/>
      <c r="S61" s="68" t="n"/>
      <c r="T61" s="68" t="n"/>
      <c r="U61" s="68" t="n"/>
      <c r="V61" s="68" t="n"/>
      <c r="W61" s="68" t="n"/>
      <c r="X61" s="68" t="n"/>
      <c r="Y61" s="68" t="n"/>
      <c r="Z61" s="68" t="n"/>
      <c r="AA61" s="68" t="n"/>
      <c r="AB61" s="68" t="n"/>
      <c r="AC61" s="68" t="n"/>
      <c r="AD61" s="68" t="n"/>
      <c r="AE61" s="68" t="n"/>
    </row>
    <row r="62">
      <c r="A62" s="13" t="n"/>
      <c r="B62" s="13" t="n"/>
      <c r="C62" s="27" t="n"/>
      <c r="D62" s="66" t="inlineStr">
        <is>
          <t>Qtd Plan. Acumulada</t>
        </is>
      </c>
      <c r="E62" s="36" t="n">
        <v>575</v>
      </c>
      <c r="F62" s="36" t="n">
        <v>575</v>
      </c>
      <c r="G62" s="36" t="n">
        <v>575</v>
      </c>
      <c r="H62" s="36" t="n">
        <v>575</v>
      </c>
      <c r="I62" s="36" t="n">
        <v>575</v>
      </c>
      <c r="J62" s="36" t="n">
        <v>575</v>
      </c>
      <c r="K62" s="36" t="n">
        <v>575</v>
      </c>
      <c r="L62" s="36" t="n">
        <v>575</v>
      </c>
      <c r="M62" s="36" t="n">
        <v>575</v>
      </c>
      <c r="N62" s="36" t="n">
        <v>575</v>
      </c>
      <c r="O62" s="36" t="n">
        <v>575</v>
      </c>
      <c r="P62" s="36" t="n">
        <v>575</v>
      </c>
      <c r="Q62" s="36" t="n">
        <v>575</v>
      </c>
      <c r="R62" s="36" t="n">
        <v>575</v>
      </c>
      <c r="S62" s="36" t="n">
        <v>575</v>
      </c>
      <c r="T62" s="36" t="n">
        <v>575</v>
      </c>
      <c r="U62" s="36" t="n">
        <v>575</v>
      </c>
      <c r="V62" s="36" t="n">
        <v>575</v>
      </c>
      <c r="W62" s="36" t="n">
        <v>575</v>
      </c>
      <c r="X62" s="36" t="n">
        <v>575</v>
      </c>
      <c r="Y62" s="36" t="n">
        <v>575</v>
      </c>
      <c r="Z62" s="36" t="n">
        <v>575</v>
      </c>
      <c r="AA62" s="36" t="n">
        <v>575</v>
      </c>
      <c r="AB62" s="36" t="n">
        <v>575</v>
      </c>
      <c r="AC62" s="36" t="n">
        <v>575</v>
      </c>
      <c r="AD62" s="36" t="n">
        <v>575</v>
      </c>
      <c r="AE62" s="36" t="n">
        <v>575</v>
      </c>
    </row>
    <row r="63">
      <c r="A63" s="13" t="n"/>
      <c r="B63" s="13" t="n"/>
      <c r="C63" s="27" t="n"/>
      <c r="D63" s="66" t="inlineStr">
        <is>
          <t>Eficiência</t>
        </is>
      </c>
      <c r="E63" s="69" t="n">
        <v>0.8571</v>
      </c>
      <c r="F63" s="69" t="n">
        <v>1</v>
      </c>
      <c r="G63" s="69" t="n">
        <v>0.8571</v>
      </c>
      <c r="H63" s="69" t="n">
        <v>0.7143</v>
      </c>
      <c r="I63" s="69" t="n">
        <v>0.8571</v>
      </c>
      <c r="J63" s="69" t="n">
        <v>0.7143</v>
      </c>
      <c r="K63" s="69" t="n">
        <v>0.8571</v>
      </c>
      <c r="L63" s="69" t="n">
        <v>0.5714</v>
      </c>
      <c r="M63" s="69" t="n">
        <v>0.7143</v>
      </c>
      <c r="N63" s="69" t="n">
        <v>0.5714</v>
      </c>
      <c r="O63" s="69" t="n">
        <v>0.8571</v>
      </c>
      <c r="P63" s="69" t="n">
        <v>0.5714</v>
      </c>
      <c r="Q63" s="69" t="n">
        <v>0.5714</v>
      </c>
      <c r="R63" s="69" t="n">
        <v>0.8571</v>
      </c>
      <c r="S63" s="69" t="n">
        <v>1</v>
      </c>
      <c r="T63" s="69" t="n">
        <v>0.8571</v>
      </c>
      <c r="U63" s="69" t="n">
        <v>0.8571</v>
      </c>
      <c r="V63" s="69" t="n">
        <v>0.8571</v>
      </c>
      <c r="W63" s="69" t="n">
        <v>0.8571</v>
      </c>
      <c r="X63" s="69" t="n">
        <v>1</v>
      </c>
      <c r="Y63" s="69" t="n">
        <v>0.7143</v>
      </c>
      <c r="Z63" s="69" t="n">
        <v>1</v>
      </c>
      <c r="AA63" s="69" t="n">
        <v>1</v>
      </c>
      <c r="AB63" s="69" t="n">
        <v>1</v>
      </c>
      <c r="AC63" s="69" t="n">
        <v>1</v>
      </c>
      <c r="AD63" s="69" t="n">
        <v>1</v>
      </c>
      <c r="AE63" s="68" t="n"/>
    </row>
    <row r="64">
      <c r="A64" s="20" t="inlineStr">
        <is>
          <t>eap-2_2</t>
        </is>
      </c>
      <c r="B64" s="20" t="inlineStr">
        <is>
          <t>Fornecimento e Instalação de Porteira de Madeira (padrão VALEC)</t>
        </is>
      </c>
      <c r="C64" s="53" t="inlineStr">
        <is>
          <t>UNIDADE</t>
        </is>
      </c>
      <c r="D64" s="54" t="inlineStr">
        <is>
          <t>Dias Trabalhados</t>
        </is>
      </c>
      <c r="E64" s="55" t="n">
        <v>6</v>
      </c>
      <c r="F64" s="55" t="n">
        <v>6</v>
      </c>
      <c r="G64" s="55" t="n">
        <v>6</v>
      </c>
      <c r="H64" s="55" t="n">
        <v>6</v>
      </c>
      <c r="I64" s="55" t="n">
        <v>6</v>
      </c>
      <c r="J64" s="55" t="n">
        <v>6</v>
      </c>
      <c r="K64" s="55" t="n">
        <v>6</v>
      </c>
      <c r="L64" s="55" t="n">
        <v>6</v>
      </c>
      <c r="M64" s="55" t="n">
        <v>6</v>
      </c>
      <c r="N64" s="55" t="n">
        <v>6</v>
      </c>
      <c r="O64" s="55" t="n">
        <v>6</v>
      </c>
      <c r="P64" s="55" t="n">
        <v>6</v>
      </c>
      <c r="Q64" s="55" t="n">
        <v>6</v>
      </c>
      <c r="R64" s="55" t="n">
        <v>6</v>
      </c>
      <c r="S64" s="55" t="n">
        <v>6</v>
      </c>
      <c r="T64" s="55" t="n">
        <v>6</v>
      </c>
      <c r="U64" s="55" t="n">
        <v>6</v>
      </c>
      <c r="V64" s="55" t="n">
        <v>6</v>
      </c>
      <c r="W64" s="55" t="n">
        <v>6</v>
      </c>
      <c r="X64" s="55" t="n">
        <v>6</v>
      </c>
      <c r="Y64" s="55" t="n">
        <v>6</v>
      </c>
      <c r="Z64" s="55" t="n">
        <v>6</v>
      </c>
      <c r="AA64" s="55" t="n">
        <v>6</v>
      </c>
      <c r="AB64" s="55" t="n">
        <v>6</v>
      </c>
      <c r="AC64" s="55" t="n">
        <v>6</v>
      </c>
      <c r="AD64" s="55" t="n">
        <v>6</v>
      </c>
      <c r="AE64" s="56" t="n"/>
    </row>
    <row r="65">
      <c r="A65" s="11" t="n"/>
      <c r="B65" s="11" t="n"/>
      <c r="C65" s="18" t="n"/>
      <c r="D65" s="57" t="inlineStr">
        <is>
          <t>Nº De Equipes</t>
        </is>
      </c>
      <c r="E65" s="58" t="n">
        <v>1</v>
      </c>
      <c r="F65" s="58" t="n">
        <v>1</v>
      </c>
      <c r="G65" s="58" t="n">
        <v>1</v>
      </c>
      <c r="H65" s="58" t="n">
        <v>1</v>
      </c>
      <c r="I65" s="58" t="n">
        <v>1</v>
      </c>
      <c r="J65" s="58" t="n">
        <v>1</v>
      </c>
      <c r="K65" s="58" t="n">
        <v>1</v>
      </c>
      <c r="L65" s="58" t="n">
        <v>1</v>
      </c>
      <c r="M65" s="58" t="n">
        <v>1</v>
      </c>
      <c r="N65" s="58" t="n">
        <v>1</v>
      </c>
      <c r="O65" s="58" t="n">
        <v>1</v>
      </c>
      <c r="P65" s="58" t="n">
        <v>1</v>
      </c>
      <c r="Q65" s="58" t="n">
        <v>1</v>
      </c>
      <c r="R65" s="58" t="n">
        <v>1</v>
      </c>
      <c r="S65" s="58" t="n">
        <v>1</v>
      </c>
      <c r="T65" s="58" t="n">
        <v>1</v>
      </c>
      <c r="U65" s="58" t="n">
        <v>1</v>
      </c>
      <c r="V65" s="58" t="n">
        <v>1</v>
      </c>
      <c r="W65" s="58" t="n">
        <v>1</v>
      </c>
      <c r="X65" s="58" t="n">
        <v>1</v>
      </c>
      <c r="Y65" s="58" t="n">
        <v>1</v>
      </c>
      <c r="Z65" s="58" t="n">
        <v>1</v>
      </c>
      <c r="AA65" s="58" t="n">
        <v>1</v>
      </c>
      <c r="AB65" s="58" t="n">
        <v>1</v>
      </c>
      <c r="AC65" s="58" t="n">
        <v>1</v>
      </c>
      <c r="AD65" s="58" t="n">
        <v>1</v>
      </c>
      <c r="AE65" s="59" t="n"/>
    </row>
    <row r="66">
      <c r="A66" s="11" t="n"/>
      <c r="B66" s="11" t="n"/>
      <c r="C66" s="18" t="n"/>
      <c r="D66" s="57" t="inlineStr">
        <is>
          <t>Qtd. Planejada</t>
        </is>
      </c>
      <c r="E66" s="33" t="n">
        <v>5.14</v>
      </c>
      <c r="F66" s="33" t="n">
        <v>6</v>
      </c>
      <c r="G66" s="33" t="n">
        <v>5.14</v>
      </c>
      <c r="H66" s="33" t="n">
        <v>2.71</v>
      </c>
      <c r="I66" s="59" t="n"/>
      <c r="J66" s="59" t="n"/>
      <c r="K66" s="59" t="n"/>
      <c r="L66" s="59" t="n"/>
      <c r="M66" s="59" t="n"/>
      <c r="N66" s="59" t="n"/>
      <c r="O66" s="59" t="n"/>
      <c r="P66" s="59" t="n"/>
      <c r="Q66" s="59" t="n"/>
      <c r="R66" s="59" t="n"/>
      <c r="S66" s="59" t="n"/>
      <c r="T66" s="59" t="n"/>
      <c r="U66" s="59" t="n"/>
      <c r="V66" s="59" t="n"/>
      <c r="W66" s="59" t="n"/>
      <c r="X66" s="59" t="n"/>
      <c r="Y66" s="59" t="n"/>
      <c r="Z66" s="59" t="n"/>
      <c r="AA66" s="59" t="n"/>
      <c r="AB66" s="59" t="n"/>
      <c r="AC66" s="59" t="n"/>
      <c r="AD66" s="59" t="n"/>
      <c r="AE66" s="59" t="n"/>
    </row>
    <row r="67">
      <c r="A67" s="11" t="n"/>
      <c r="B67" s="11" t="n"/>
      <c r="C67" s="18" t="n"/>
      <c r="D67" s="57" t="inlineStr">
        <is>
          <t>Qtd Plan. Acumulada</t>
        </is>
      </c>
      <c r="E67" s="33" t="n">
        <v>5.14</v>
      </c>
      <c r="F67" s="33" t="n">
        <v>11.14</v>
      </c>
      <c r="G67" s="33" t="n">
        <v>16.29</v>
      </c>
      <c r="H67" s="33" t="n">
        <v>19</v>
      </c>
      <c r="I67" s="33" t="n">
        <v>19</v>
      </c>
      <c r="J67" s="33" t="n">
        <v>19</v>
      </c>
      <c r="K67" s="33" t="n">
        <v>19</v>
      </c>
      <c r="L67" s="33" t="n">
        <v>19</v>
      </c>
      <c r="M67" s="33" t="n">
        <v>19</v>
      </c>
      <c r="N67" s="33" t="n">
        <v>19</v>
      </c>
      <c r="O67" s="33" t="n">
        <v>19</v>
      </c>
      <c r="P67" s="33" t="n">
        <v>19</v>
      </c>
      <c r="Q67" s="33" t="n">
        <v>19</v>
      </c>
      <c r="R67" s="33" t="n">
        <v>19</v>
      </c>
      <c r="S67" s="33" t="n">
        <v>19</v>
      </c>
      <c r="T67" s="33" t="n">
        <v>19</v>
      </c>
      <c r="U67" s="33" t="n">
        <v>19</v>
      </c>
      <c r="V67" s="33" t="n">
        <v>19</v>
      </c>
      <c r="W67" s="33" t="n">
        <v>19</v>
      </c>
      <c r="X67" s="33" t="n">
        <v>19</v>
      </c>
      <c r="Y67" s="33" t="n">
        <v>19</v>
      </c>
      <c r="Z67" s="33" t="n">
        <v>19</v>
      </c>
      <c r="AA67" s="33" t="n">
        <v>19</v>
      </c>
      <c r="AB67" s="33" t="n">
        <v>19</v>
      </c>
      <c r="AC67" s="33" t="n">
        <v>19</v>
      </c>
      <c r="AD67" s="33" t="n">
        <v>19</v>
      </c>
      <c r="AE67" s="33" t="n">
        <v>19</v>
      </c>
    </row>
    <row r="68">
      <c r="A68" s="11" t="n"/>
      <c r="B68" s="11" t="n"/>
      <c r="C68" s="18" t="n"/>
      <c r="D68" s="57" t="inlineStr">
        <is>
          <t>Eficiência</t>
        </is>
      </c>
      <c r="E68" s="60" t="n">
        <v>0.8571</v>
      </c>
      <c r="F68" s="60" t="n">
        <v>1</v>
      </c>
      <c r="G68" s="60" t="n">
        <v>0.8571</v>
      </c>
      <c r="H68" s="60" t="n">
        <v>0.7143</v>
      </c>
      <c r="I68" s="60" t="n">
        <v>0.8571</v>
      </c>
      <c r="J68" s="60" t="n">
        <v>0.7143</v>
      </c>
      <c r="K68" s="60" t="n">
        <v>0.8571</v>
      </c>
      <c r="L68" s="60" t="n">
        <v>0.5714</v>
      </c>
      <c r="M68" s="60" t="n">
        <v>0.7143</v>
      </c>
      <c r="N68" s="60" t="n">
        <v>0.5714</v>
      </c>
      <c r="O68" s="60" t="n">
        <v>0.8571</v>
      </c>
      <c r="P68" s="60" t="n">
        <v>0.5714</v>
      </c>
      <c r="Q68" s="60" t="n">
        <v>0.5714</v>
      </c>
      <c r="R68" s="60" t="n">
        <v>0.8571</v>
      </c>
      <c r="S68" s="60" t="n">
        <v>1</v>
      </c>
      <c r="T68" s="60" t="n">
        <v>0.8571</v>
      </c>
      <c r="U68" s="60" t="n">
        <v>0.8571</v>
      </c>
      <c r="V68" s="60" t="n">
        <v>0.8571</v>
      </c>
      <c r="W68" s="60" t="n">
        <v>0.8571</v>
      </c>
      <c r="X68" s="60" t="n">
        <v>1</v>
      </c>
      <c r="Y68" s="60" t="n">
        <v>0.7143</v>
      </c>
      <c r="Z68" s="60" t="n">
        <v>1</v>
      </c>
      <c r="AA68" s="60" t="n">
        <v>1</v>
      </c>
      <c r="AB68" s="60" t="n">
        <v>1</v>
      </c>
      <c r="AC68" s="60" t="n">
        <v>1</v>
      </c>
      <c r="AD68" s="60" t="n">
        <v>1</v>
      </c>
      <c r="AE68" s="59" t="n"/>
    </row>
    <row r="69">
      <c r="A69" s="61" t="inlineStr">
        <is>
          <t>eap-3_4</t>
        </is>
      </c>
      <c r="B69" s="61" t="inlineStr">
        <is>
          <t>Cerca arame liso (5 fios) com mourão de eucalipto e mourão de madeira a cada 2,5 m e esticador a cada 50 m executada em solos compostos por material de 1ª e 2ª categoria</t>
        </is>
      </c>
      <c r="C69" s="62" t="inlineStr">
        <is>
          <t>M</t>
        </is>
      </c>
      <c r="D69" s="63" t="inlineStr">
        <is>
          <t>Dias Trabalhados</t>
        </is>
      </c>
      <c r="E69" s="64" t="n">
        <v>6</v>
      </c>
      <c r="F69" s="64" t="n">
        <v>6</v>
      </c>
      <c r="G69" s="64" t="n">
        <v>6</v>
      </c>
      <c r="H69" s="64" t="n">
        <v>6</v>
      </c>
      <c r="I69" s="64" t="n">
        <v>6</v>
      </c>
      <c r="J69" s="64" t="n">
        <v>6</v>
      </c>
      <c r="K69" s="64" t="n">
        <v>6</v>
      </c>
      <c r="L69" s="64" t="n">
        <v>6</v>
      </c>
      <c r="M69" s="64" t="n">
        <v>6</v>
      </c>
      <c r="N69" s="64" t="n">
        <v>6</v>
      </c>
      <c r="O69" s="64" t="n">
        <v>6</v>
      </c>
      <c r="P69" s="64" t="n">
        <v>6</v>
      </c>
      <c r="Q69" s="64" t="n">
        <v>6</v>
      </c>
      <c r="R69" s="64" t="n">
        <v>6</v>
      </c>
      <c r="S69" s="64" t="n">
        <v>6</v>
      </c>
      <c r="T69" s="64" t="n">
        <v>6</v>
      </c>
      <c r="U69" s="64" t="n">
        <v>6</v>
      </c>
      <c r="V69" s="64" t="n">
        <v>6</v>
      </c>
      <c r="W69" s="64" t="n">
        <v>6</v>
      </c>
      <c r="X69" s="64" t="n">
        <v>6</v>
      </c>
      <c r="Y69" s="64" t="n">
        <v>6</v>
      </c>
      <c r="Z69" s="64" t="n">
        <v>6</v>
      </c>
      <c r="AA69" s="64" t="n">
        <v>6</v>
      </c>
      <c r="AB69" s="64" t="n">
        <v>6</v>
      </c>
      <c r="AC69" s="64" t="n">
        <v>6</v>
      </c>
      <c r="AD69" s="64" t="n">
        <v>6</v>
      </c>
      <c r="AE69" s="65" t="n"/>
    </row>
    <row r="70">
      <c r="A70" s="13" t="n"/>
      <c r="B70" s="13" t="n"/>
      <c r="C70" s="27" t="n"/>
      <c r="D70" s="66" t="inlineStr">
        <is>
          <t>Nº De Equipes</t>
        </is>
      </c>
      <c r="E70" s="67" t="n">
        <v>1</v>
      </c>
      <c r="F70" s="67" t="n">
        <v>1</v>
      </c>
      <c r="G70" s="67" t="n">
        <v>1</v>
      </c>
      <c r="H70" s="67" t="n">
        <v>1</v>
      </c>
      <c r="I70" s="67" t="n">
        <v>1</v>
      </c>
      <c r="J70" s="67" t="n">
        <v>1</v>
      </c>
      <c r="K70" s="67" t="n">
        <v>1</v>
      </c>
      <c r="L70" s="67" t="n">
        <v>1</v>
      </c>
      <c r="M70" s="67" t="n">
        <v>1</v>
      </c>
      <c r="N70" s="67" t="n">
        <v>1</v>
      </c>
      <c r="O70" s="67" t="n">
        <v>1</v>
      </c>
      <c r="P70" s="67" t="n">
        <v>1</v>
      </c>
      <c r="Q70" s="67" t="n">
        <v>1</v>
      </c>
      <c r="R70" s="67" t="n">
        <v>1</v>
      </c>
      <c r="S70" s="67" t="n">
        <v>1</v>
      </c>
      <c r="T70" s="67" t="n">
        <v>1</v>
      </c>
      <c r="U70" s="67" t="n">
        <v>1</v>
      </c>
      <c r="V70" s="67" t="n">
        <v>1</v>
      </c>
      <c r="W70" s="67" t="n">
        <v>1</v>
      </c>
      <c r="X70" s="67" t="n">
        <v>1</v>
      </c>
      <c r="Y70" s="67" t="n">
        <v>1</v>
      </c>
      <c r="Z70" s="67" t="n">
        <v>1</v>
      </c>
      <c r="AA70" s="67" t="n">
        <v>1</v>
      </c>
      <c r="AB70" s="67" t="n">
        <v>1</v>
      </c>
      <c r="AC70" s="67" t="n">
        <v>1</v>
      </c>
      <c r="AD70" s="67" t="n">
        <v>1</v>
      </c>
      <c r="AE70" s="68" t="n"/>
    </row>
    <row r="71">
      <c r="A71" s="13" t="n"/>
      <c r="B71" s="13" t="n"/>
      <c r="C71" s="27" t="n"/>
      <c r="D71" s="66" t="inlineStr">
        <is>
          <t>Qtd. Planejada</t>
        </is>
      </c>
      <c r="E71" s="36" t="n">
        <v>700</v>
      </c>
      <c r="F71" s="68" t="n"/>
      <c r="G71" s="68" t="n"/>
      <c r="H71" s="68" t="n"/>
      <c r="I71" s="68" t="n"/>
      <c r="J71" s="68" t="n"/>
      <c r="K71" s="68" t="n"/>
      <c r="L71" s="68" t="n"/>
      <c r="M71" s="68" t="n"/>
      <c r="N71" s="68" t="n"/>
      <c r="O71" s="68" t="n"/>
      <c r="P71" s="68" t="n"/>
      <c r="Q71" s="68" t="n"/>
      <c r="R71" s="68" t="n"/>
      <c r="S71" s="68" t="n"/>
      <c r="T71" s="68" t="n"/>
      <c r="U71" s="68" t="n"/>
      <c r="V71" s="68" t="n"/>
      <c r="W71" s="68" t="n"/>
      <c r="X71" s="68" t="n"/>
      <c r="Y71" s="68" t="n"/>
      <c r="Z71" s="68" t="n"/>
      <c r="AA71" s="68" t="n"/>
      <c r="AB71" s="68" t="n"/>
      <c r="AC71" s="68" t="n"/>
      <c r="AD71" s="68" t="n"/>
      <c r="AE71" s="68" t="n"/>
    </row>
    <row r="72">
      <c r="A72" s="13" t="n"/>
      <c r="B72" s="13" t="n"/>
      <c r="C72" s="27" t="n"/>
      <c r="D72" s="66" t="inlineStr">
        <is>
          <t>Qtd Plan. Acumulada</t>
        </is>
      </c>
      <c r="E72" s="36" t="n">
        <v>700</v>
      </c>
      <c r="F72" s="36" t="n">
        <v>700</v>
      </c>
      <c r="G72" s="36" t="n">
        <v>700</v>
      </c>
      <c r="H72" s="36" t="n">
        <v>700</v>
      </c>
      <c r="I72" s="36" t="n">
        <v>700</v>
      </c>
      <c r="J72" s="36" t="n">
        <v>700</v>
      </c>
      <c r="K72" s="36" t="n">
        <v>700</v>
      </c>
      <c r="L72" s="36" t="n">
        <v>700</v>
      </c>
      <c r="M72" s="36" t="n">
        <v>700</v>
      </c>
      <c r="N72" s="36" t="n">
        <v>700</v>
      </c>
      <c r="O72" s="36" t="n">
        <v>700</v>
      </c>
      <c r="P72" s="36" t="n">
        <v>700</v>
      </c>
      <c r="Q72" s="36" t="n">
        <v>700</v>
      </c>
      <c r="R72" s="36" t="n">
        <v>700</v>
      </c>
      <c r="S72" s="36" t="n">
        <v>700</v>
      </c>
      <c r="T72" s="36" t="n">
        <v>700</v>
      </c>
      <c r="U72" s="36" t="n">
        <v>700</v>
      </c>
      <c r="V72" s="36" t="n">
        <v>700</v>
      </c>
      <c r="W72" s="36" t="n">
        <v>700</v>
      </c>
      <c r="X72" s="36" t="n">
        <v>700</v>
      </c>
      <c r="Y72" s="36" t="n">
        <v>700</v>
      </c>
      <c r="Z72" s="36" t="n">
        <v>700</v>
      </c>
      <c r="AA72" s="36" t="n">
        <v>700</v>
      </c>
      <c r="AB72" s="36" t="n">
        <v>700</v>
      </c>
      <c r="AC72" s="36" t="n">
        <v>700</v>
      </c>
      <c r="AD72" s="36" t="n">
        <v>700</v>
      </c>
      <c r="AE72" s="36" t="n">
        <v>700</v>
      </c>
    </row>
    <row r="73">
      <c r="A73" s="13" t="n"/>
      <c r="B73" s="13" t="n"/>
      <c r="C73" s="27" t="n"/>
      <c r="D73" s="66" t="inlineStr">
        <is>
          <t>Eficiência</t>
        </is>
      </c>
      <c r="E73" s="69" t="n">
        <v>0.8571</v>
      </c>
      <c r="F73" s="69" t="n">
        <v>1</v>
      </c>
      <c r="G73" s="69" t="n">
        <v>0.8571</v>
      </c>
      <c r="H73" s="69" t="n">
        <v>0.7143</v>
      </c>
      <c r="I73" s="69" t="n">
        <v>0.8571</v>
      </c>
      <c r="J73" s="69" t="n">
        <v>0.7143</v>
      </c>
      <c r="K73" s="69" t="n">
        <v>0.8571</v>
      </c>
      <c r="L73" s="69" t="n">
        <v>0.5714</v>
      </c>
      <c r="M73" s="69" t="n">
        <v>0.7143</v>
      </c>
      <c r="N73" s="69" t="n">
        <v>0.5714</v>
      </c>
      <c r="O73" s="69" t="n">
        <v>0.8571</v>
      </c>
      <c r="P73" s="69" t="n">
        <v>0.5714</v>
      </c>
      <c r="Q73" s="69" t="n">
        <v>0.5714</v>
      </c>
      <c r="R73" s="69" t="n">
        <v>0.8571</v>
      </c>
      <c r="S73" s="69" t="n">
        <v>1</v>
      </c>
      <c r="T73" s="69" t="n">
        <v>0.8571</v>
      </c>
      <c r="U73" s="69" t="n">
        <v>0.8571</v>
      </c>
      <c r="V73" s="69" t="n">
        <v>0.8571</v>
      </c>
      <c r="W73" s="69" t="n">
        <v>0.8571</v>
      </c>
      <c r="X73" s="69" t="n">
        <v>1</v>
      </c>
      <c r="Y73" s="69" t="n">
        <v>0.7143</v>
      </c>
      <c r="Z73" s="69" t="n">
        <v>1</v>
      </c>
      <c r="AA73" s="69" t="n">
        <v>1</v>
      </c>
      <c r="AB73" s="69" t="n">
        <v>1</v>
      </c>
      <c r="AC73" s="69" t="n">
        <v>1</v>
      </c>
      <c r="AD73" s="69" t="n">
        <v>1</v>
      </c>
      <c r="AE73" s="68" t="n"/>
    </row>
  </sheetData>
  <mergeCells count="1">
    <mergeCell ref="A1:A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4" ySplit="2" topLeftCell="E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CRONOGRAMA RESUMIDO — PRODUÇÃO MENSAL POR EAP</t>
        </is>
      </c>
    </row>
    <row r="2">
      <c r="A2" s="2" t="inlineStr">
        <is>
          <t>Item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Total Qtd</t>
        </is>
      </c>
      <c r="E2" s="2" t="inlineStr">
        <is>
          <t>Dez/24</t>
        </is>
      </c>
      <c r="F2" s="2" t="inlineStr">
        <is>
          <t>Jan/25</t>
        </is>
      </c>
      <c r="G2" s="2" t="inlineStr">
        <is>
          <t>Fev/25</t>
        </is>
      </c>
      <c r="H2" s="2" t="inlineStr">
        <is>
          <t>Mar/25</t>
        </is>
      </c>
      <c r="I2" s="2" t="inlineStr">
        <is>
          <t>Abr/25</t>
        </is>
      </c>
      <c r="J2" s="2" t="inlineStr">
        <is>
          <t>Mai/25</t>
        </is>
      </c>
      <c r="K2" s="2" t="inlineStr">
        <is>
          <t>Jun/25</t>
        </is>
      </c>
    </row>
    <row r="3">
      <c r="A3" s="11" t="inlineStr">
        <is>
          <t>eap-3_1</t>
        </is>
      </c>
      <c r="B3" s="70" t="inlineStr">
        <is>
          <t>Cerca arame liso (5 fios) com mourões de concreto, seção quadrada 10 x 10 cm (padrão VALEC) executada em solos compostos por material de 1ª e 2ª categoria</t>
        </is>
      </c>
      <c r="C3" s="18" t="inlineStr">
        <is>
          <t>M</t>
        </is>
      </c>
      <c r="D3" s="32" t="n">
        <v>77928.38</v>
      </c>
      <c r="E3" s="32" t="n">
        <v>4114.08</v>
      </c>
      <c r="F3" s="32" t="n">
        <v>16456.8</v>
      </c>
      <c r="G3" s="32" t="n">
        <v>13714.08</v>
      </c>
      <c r="H3" s="32" t="n">
        <v>16456.32</v>
      </c>
      <c r="I3" s="32" t="n">
        <v>17142.24</v>
      </c>
      <c r="J3" s="32" t="n">
        <v>10044.86</v>
      </c>
      <c r="K3" s="12" t="n"/>
    </row>
    <row r="4">
      <c r="A4" s="13" t="inlineStr">
        <is>
          <t>eap-1_2</t>
        </is>
      </c>
      <c r="B4" s="71" t="inlineStr">
        <is>
          <t>Supressão vegetal, destocamento e limpeza de árvores, arbustos, vegetação rasteira e entulhos com remoção para área de depósito - DMT até 350m</t>
        </is>
      </c>
      <c r="C4" s="27" t="inlineStr">
        <is>
          <t>M2</t>
        </is>
      </c>
      <c r="D4" s="35" t="n">
        <v>2036512.35</v>
      </c>
      <c r="E4" s="35" t="n">
        <v>86395.67999999999</v>
      </c>
      <c r="F4" s="35" t="n">
        <v>345592.8</v>
      </c>
      <c r="G4" s="35" t="n">
        <v>287995.68</v>
      </c>
      <c r="H4" s="35" t="n">
        <v>345582.72</v>
      </c>
      <c r="I4" s="35" t="n">
        <v>359987.04</v>
      </c>
      <c r="J4" s="35" t="n">
        <v>359997.12</v>
      </c>
      <c r="K4" s="35" t="n">
        <v>250961.31</v>
      </c>
    </row>
    <row r="5">
      <c r="A5" s="11" t="inlineStr">
        <is>
          <t>eap-1_1</t>
        </is>
      </c>
      <c r="B5" s="70" t="inlineStr">
        <is>
          <t>Supressão vegetal com ou sem destocamento de vegetação com Ø =&lt; 30cm, assim como remoção de arbustos, vegetação rasteira e limpeza para a área de depósito - DMT até 350m - ALTA</t>
        </is>
      </c>
      <c r="C5" s="18" t="inlineStr">
        <is>
          <t>M2</t>
        </is>
      </c>
      <c r="D5" s="32" t="n">
        <v>383592.55</v>
      </c>
      <c r="E5" s="32" t="n">
        <v>28798.56</v>
      </c>
      <c r="F5" s="32" t="n">
        <v>115197.6</v>
      </c>
      <c r="G5" s="32" t="n">
        <v>95998.56</v>
      </c>
      <c r="H5" s="32" t="n">
        <v>115194.24</v>
      </c>
      <c r="I5" s="32" t="n">
        <v>28403.59</v>
      </c>
      <c r="J5" s="12" t="n"/>
      <c r="K5" s="12" t="n"/>
    </row>
    <row r="6">
      <c r="A6" s="13" t="inlineStr">
        <is>
          <t>eap-1_3</t>
        </is>
      </c>
      <c r="B6" s="71" t="inlineStr">
        <is>
          <t>Corte com destocamento de árvores com Ø &gt; 30cm e remoção para a área de depósito - DMT até 1000m</t>
        </is>
      </c>
      <c r="C6" s="27" t="inlineStr">
        <is>
          <t>UNIDADE</t>
        </is>
      </c>
      <c r="D6" s="35" t="n">
        <v>12240.2</v>
      </c>
      <c r="E6" s="35" t="n">
        <v>740.53</v>
      </c>
      <c r="F6" s="35" t="n">
        <v>2962.22</v>
      </c>
      <c r="G6" s="35" t="n">
        <v>2468.54</v>
      </c>
      <c r="H6" s="35" t="n">
        <v>2962.13</v>
      </c>
      <c r="I6" s="35" t="n">
        <v>3085.59</v>
      </c>
      <c r="J6" s="35" t="n">
        <v>21.17</v>
      </c>
      <c r="K6" s="14" t="n"/>
    </row>
    <row r="7">
      <c r="A7" s="11" t="inlineStr">
        <is>
          <t>eap-2_1</t>
        </is>
      </c>
      <c r="B7" s="70" t="inlineStr">
        <is>
          <t>Fornecimento e Instalação de Mata burro (padrão VALEC)</t>
        </is>
      </c>
      <c r="C7" s="18" t="inlineStr">
        <is>
          <t>UNIDADE</t>
        </is>
      </c>
      <c r="D7" s="32" t="n">
        <v>59</v>
      </c>
      <c r="E7" s="32" t="n">
        <v>4.11</v>
      </c>
      <c r="F7" s="32" t="n">
        <v>16.45</v>
      </c>
      <c r="G7" s="32" t="n">
        <v>13.71</v>
      </c>
      <c r="H7" s="32" t="n">
        <v>16.44</v>
      </c>
      <c r="I7" s="32" t="n">
        <v>8.26</v>
      </c>
      <c r="J7" s="12" t="n"/>
      <c r="K7" s="12" t="n"/>
    </row>
    <row r="8">
      <c r="A8" s="13" t="inlineStr">
        <is>
          <t>eap-3_3</t>
        </is>
      </c>
      <c r="B8" s="71" t="inlineStr">
        <is>
          <t>Cerca arame liso (5 fios) com mourão de eucalipto e mourão de madeira a cada 4,0 m e esticador a cada 50 m executada em solos compostos por material de 1ª e 2ª categoria</t>
        </is>
      </c>
      <c r="C8" s="27" t="inlineStr">
        <is>
          <t>M</t>
        </is>
      </c>
      <c r="D8" s="35" t="n">
        <v>16451.19</v>
      </c>
      <c r="E8" s="35" t="n">
        <v>1542.78</v>
      </c>
      <c r="F8" s="35" t="n">
        <v>6171.3</v>
      </c>
      <c r="G8" s="35" t="n">
        <v>5142.78</v>
      </c>
      <c r="H8" s="35" t="n">
        <v>3594.33</v>
      </c>
      <c r="I8" s="14" t="n"/>
      <c r="J8" s="14" t="n"/>
      <c r="K8" s="14" t="n"/>
    </row>
    <row r="9">
      <c r="A9" s="11" t="inlineStr">
        <is>
          <t>eap-3_6</t>
        </is>
      </c>
      <c r="B9" s="70" t="inlineStr">
        <is>
          <t>Remoção de cerca de mourão de madeira</t>
        </is>
      </c>
      <c r="C9" s="18" t="inlineStr">
        <is>
          <t>M</t>
        </is>
      </c>
      <c r="D9" s="32" t="n">
        <v>37143.75</v>
      </c>
      <c r="E9" s="32" t="n">
        <v>1763.29</v>
      </c>
      <c r="F9" s="32" t="n">
        <v>7053.38</v>
      </c>
      <c r="G9" s="32" t="n">
        <v>5877.86</v>
      </c>
      <c r="H9" s="32" t="n">
        <v>7053.17</v>
      </c>
      <c r="I9" s="32" t="n">
        <v>7347.15</v>
      </c>
      <c r="J9" s="32" t="n">
        <v>7347.37</v>
      </c>
      <c r="K9" s="32" t="n">
        <v>701.5</v>
      </c>
    </row>
    <row r="10">
      <c r="A10" s="13" t="inlineStr">
        <is>
          <t>eap-5_1</t>
        </is>
      </c>
      <c r="B10" s="71" t="inlineStr">
        <is>
          <t>Abertura de acesso para implantação de cerca</t>
        </is>
      </c>
      <c r="C10" s="27" t="inlineStr">
        <is>
          <t>M</t>
        </is>
      </c>
      <c r="D10" s="35" t="n">
        <v>57000</v>
      </c>
      <c r="E10" s="35" t="n">
        <v>3085.56</v>
      </c>
      <c r="F10" s="35" t="n">
        <v>12342.6</v>
      </c>
      <c r="G10" s="35" t="n">
        <v>10285.56</v>
      </c>
      <c r="H10" s="35" t="n">
        <v>12342.24</v>
      </c>
      <c r="I10" s="35" t="n">
        <v>12856.68</v>
      </c>
      <c r="J10" s="35" t="n">
        <v>6087.36</v>
      </c>
      <c r="K10" s="14" t="n"/>
    </row>
    <row r="11">
      <c r="A11" s="11" t="inlineStr">
        <is>
          <t>eap-2_3</t>
        </is>
      </c>
      <c r="B11" s="70" t="inlineStr">
        <is>
          <t>Fornecimento e Instalação de Porteira Metálica (padrão VALEC)</t>
        </is>
      </c>
      <c r="C11" s="18" t="inlineStr">
        <is>
          <t>UNIDADE</t>
        </is>
      </c>
      <c r="D11" s="32" t="n">
        <v>44</v>
      </c>
      <c r="E11" s="32" t="n">
        <v>5.14</v>
      </c>
      <c r="F11" s="32" t="n">
        <v>20.57</v>
      </c>
      <c r="G11" s="32" t="n">
        <v>17.15</v>
      </c>
      <c r="H11" s="32" t="n">
        <v>1.14</v>
      </c>
      <c r="I11" s="12" t="n"/>
      <c r="J11" s="12" t="n"/>
      <c r="K11" s="12" t="n"/>
    </row>
    <row r="12">
      <c r="A12" s="13" t="inlineStr">
        <is>
          <t>eap-4_1</t>
        </is>
      </c>
      <c r="B12" s="71" t="inlineStr">
        <is>
          <t>Implantação do eixo</t>
        </is>
      </c>
      <c r="C12" s="27" t="inlineStr">
        <is>
          <t>KM</t>
        </is>
      </c>
      <c r="D12" s="35" t="n">
        <v>57</v>
      </c>
      <c r="E12" s="35" t="n">
        <v>5.76</v>
      </c>
      <c r="F12" s="35" t="n">
        <v>23.04</v>
      </c>
      <c r="G12" s="35" t="n">
        <v>19.2</v>
      </c>
      <c r="H12" s="35" t="n">
        <v>9</v>
      </c>
      <c r="I12" s="14" t="n"/>
      <c r="J12" s="14" t="n"/>
      <c r="K12" s="14" t="n"/>
    </row>
    <row r="13">
      <c r="A13" s="11" t="inlineStr">
        <is>
          <t>eap-3_5</t>
        </is>
      </c>
      <c r="B13" s="70" t="inlineStr">
        <is>
          <t>Cerca arame liso (5 fios) com mourão de eucalipto e mourão de madeira a cada 4,0 m e esticador a cada 50 m executada em solos alagadas</t>
        </is>
      </c>
      <c r="C13" s="18" t="inlineStr">
        <is>
          <t>M</t>
        </is>
      </c>
      <c r="D13" s="32" t="n">
        <v>1827.91</v>
      </c>
      <c r="E13" s="32" t="n">
        <v>1542.78</v>
      </c>
      <c r="F13" s="32" t="n">
        <v>285.13</v>
      </c>
      <c r="G13" s="12" t="n"/>
      <c r="H13" s="12" t="n"/>
      <c r="I13" s="12" t="n"/>
      <c r="J13" s="12" t="n"/>
      <c r="K13" s="12" t="n"/>
    </row>
    <row r="14">
      <c r="A14" s="13" t="inlineStr">
        <is>
          <t>eap-3_2</t>
        </is>
      </c>
      <c r="B14" s="71" t="inlineStr">
        <is>
          <t>Cerca arame liso (5 fios) com mourões de concreto, seção quadrada 10 x 10 cm (padrão VALEC) executada em solos alagáveis</t>
        </is>
      </c>
      <c r="C14" s="27" t="inlineStr">
        <is>
          <t>M</t>
        </is>
      </c>
      <c r="D14" s="35" t="n">
        <v>575</v>
      </c>
      <c r="E14" s="35" t="n">
        <v>575</v>
      </c>
      <c r="F14" s="14" t="n"/>
      <c r="G14" s="14" t="n"/>
      <c r="H14" s="14" t="n"/>
      <c r="I14" s="14" t="n"/>
      <c r="J14" s="14" t="n"/>
      <c r="K14" s="14" t="n"/>
    </row>
    <row r="15">
      <c r="A15" s="11" t="inlineStr">
        <is>
          <t>eap-2_2</t>
        </is>
      </c>
      <c r="B15" s="70" t="inlineStr">
        <is>
          <t>Fornecimento e Instalação de Porteira de Madeira (padrão VALEC)</t>
        </is>
      </c>
      <c r="C15" s="18" t="inlineStr">
        <is>
          <t>UNIDADE</t>
        </is>
      </c>
      <c r="D15" s="32" t="n">
        <v>19</v>
      </c>
      <c r="E15" s="32" t="n">
        <v>5.14</v>
      </c>
      <c r="F15" s="32" t="n">
        <v>13.85</v>
      </c>
      <c r="G15" s="12" t="n"/>
      <c r="H15" s="12" t="n"/>
      <c r="I15" s="12" t="n"/>
      <c r="J15" s="12" t="n"/>
      <c r="K15" s="12" t="n"/>
    </row>
    <row r="16">
      <c r="A16" s="13" t="inlineStr">
        <is>
          <t>eap-3_4</t>
        </is>
      </c>
      <c r="B16" s="71" t="inlineStr">
        <is>
          <t>Cerca arame liso (5 fios) com mourão de eucalipto e mourão de madeira a cada 2,5 m e esticador a cada 50 m executada em solos compostos por material de 1ª e 2ª categoria</t>
        </is>
      </c>
      <c r="C16" s="27" t="inlineStr">
        <is>
          <t>M</t>
        </is>
      </c>
      <c r="D16" s="35" t="n">
        <v>700</v>
      </c>
      <c r="E16" s="35" t="n">
        <v>700</v>
      </c>
      <c r="F16" s="14" t="n"/>
      <c r="G16" s="14" t="n"/>
      <c r="H16" s="14" t="n"/>
      <c r="I16" s="14" t="n"/>
      <c r="J16" s="14" t="n"/>
      <c r="K16" s="14" t="n"/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8" customWidth="1" min="4" max="4"/>
    <col width="6" customWidth="1" min="5" max="5"/>
    <col width="18" customWidth="1" min="6" max="6"/>
    <col width="10" customWidth="1" min="7" max="7"/>
    <col width="8" customWidth="1" min="8" max="8"/>
    <col width="18" customWidth="1" min="9" max="9"/>
  </cols>
  <sheetData>
    <row r="1">
      <c r="A1" s="1" t="inlineStr">
        <is>
          <t>EQUIPE — COMPOSIÇÃO DE RECURSOS DIRETOS POR ATIVIDADE</t>
        </is>
      </c>
    </row>
    <row r="2">
      <c r="A2" s="2" t="inlineStr">
        <is>
          <t>Item ID</t>
        </is>
      </c>
      <c r="B2" s="2" t="inlineStr">
        <is>
          <t>CPU ID</t>
        </is>
      </c>
      <c r="C2" s="2" t="inlineStr">
        <is>
          <t>Nome / Tipo</t>
        </is>
      </c>
      <c r="D2" s="2" t="inlineStr">
        <is>
          <t>Papel</t>
        </is>
      </c>
      <c r="E2" s="2" t="inlineStr">
        <is>
          <t>Qtd</t>
        </is>
      </c>
      <c r="F2" s="2" t="inlineStr">
        <is>
          <t>Custo Mensal (R$)</t>
        </is>
      </c>
      <c r="G2" s="2" t="inlineStr">
        <is>
          <t>Perm. (m)</t>
        </is>
      </c>
      <c r="H2" s="2" t="inlineStr">
        <is>
          <t>Nº Eq.</t>
        </is>
      </c>
      <c r="I2" s="2" t="inlineStr">
        <is>
          <t>Custo Total (R$)</t>
        </is>
      </c>
    </row>
    <row r="3">
      <c r="A3" s="9" t="inlineStr">
        <is>
          <t>eap-3_1 — Cerca arame liso (5 fios) com mourões de concreto, seção quadrada 10 x 10 cm (padrão VALEC) executada em solos compostos por material de 1ª e 2ª categoria</t>
        </is>
      </c>
    </row>
    <row r="4">
      <c r="A4" s="11" t="inlineStr">
        <is>
          <t>eap-3_1</t>
        </is>
      </c>
      <c r="B4" s="11" t="inlineStr">
        <is>
          <t>CPU-DIVER-ATI-066</t>
        </is>
      </c>
      <c r="C4" s="11" t="inlineStr">
        <is>
          <t>Encarregado de Terraplenagem</t>
        </is>
      </c>
      <c r="D4" s="15" t="inlineStr">
        <is>
          <t>DIRETO</t>
        </is>
      </c>
      <c r="E4" s="16" t="n">
        <v>1</v>
      </c>
      <c r="F4" s="17" t="n">
        <v>11549.8</v>
      </c>
      <c r="G4" s="16" t="n">
        <v>5.98</v>
      </c>
      <c r="H4" s="16" t="n">
        <v>1</v>
      </c>
      <c r="I4" s="17" t="n">
        <v>69067.8</v>
      </c>
    </row>
    <row r="5">
      <c r="A5" s="11" t="inlineStr">
        <is>
          <t>eap-3_1</t>
        </is>
      </c>
      <c r="B5" s="11" t="inlineStr">
        <is>
          <t>CPU-DIVER-ATI-066</t>
        </is>
      </c>
      <c r="C5" s="11" t="inlineStr">
        <is>
          <t>Cerqueiro</t>
        </is>
      </c>
      <c r="D5" s="15" t="inlineStr">
        <is>
          <t>DIRETO</t>
        </is>
      </c>
      <c r="E5" s="16" t="n">
        <v>3</v>
      </c>
      <c r="F5" s="17" t="n">
        <v>29703.51</v>
      </c>
      <c r="G5" s="16" t="n">
        <v>5.98</v>
      </c>
      <c r="H5" s="16" t="n">
        <v>1</v>
      </c>
      <c r="I5" s="17" t="n">
        <v>177626.99</v>
      </c>
    </row>
    <row r="6">
      <c r="A6" s="11" t="inlineStr">
        <is>
          <t>eap-3_1</t>
        </is>
      </c>
      <c r="B6" s="11" t="inlineStr">
        <is>
          <t>EQ-E0001</t>
        </is>
      </c>
      <c r="C6" s="11" t="inlineStr">
        <is>
          <t>Automóvel (veículo leve) [EQ]</t>
        </is>
      </c>
      <c r="D6" s="72" t="inlineStr">
        <is>
          <t>EQ</t>
        </is>
      </c>
      <c r="E6" s="16" t="n">
        <v>1</v>
      </c>
      <c r="F6" s="17" t="n">
        <v>3872</v>
      </c>
      <c r="G6" s="16" t="n">
        <v>5.98</v>
      </c>
      <c r="H6" s="16" t="n">
        <v>1</v>
      </c>
      <c r="I6" s="17" t="n">
        <v>23154.56</v>
      </c>
    </row>
    <row r="7">
      <c r="A7" s="11" t="inlineStr">
        <is>
          <t>eap-3_1</t>
        </is>
      </c>
      <c r="B7" s="11" t="inlineStr">
        <is>
          <t>EQ-E0001</t>
        </is>
      </c>
      <c r="C7" s="19" t="inlineStr">
        <is>
          <t>Diesel — Automóvel (veículo leve)</t>
        </is>
      </c>
      <c r="D7" s="73" t="inlineStr">
        <is>
          <t>COMB</t>
        </is>
      </c>
      <c r="E7" s="16" t="n">
        <v>1</v>
      </c>
      <c r="F7" s="17" t="n">
        <v>1020.34</v>
      </c>
      <c r="G7" s="16" t="n">
        <v>5.98</v>
      </c>
      <c r="H7" s="16" t="n">
        <v>1</v>
      </c>
      <c r="I7" s="17" t="n">
        <v>6101.63</v>
      </c>
    </row>
    <row r="8">
      <c r="A8" s="20" t="inlineStr">
        <is>
          <t>Subtotal eap-3_1</t>
        </is>
      </c>
      <c r="B8" s="21" t="n"/>
      <c r="C8" s="21" t="n"/>
      <c r="D8" s="21" t="n"/>
      <c r="E8" s="21" t="n"/>
      <c r="F8" s="21" t="n"/>
      <c r="G8" s="21" t="n"/>
      <c r="H8" s="21" t="n"/>
      <c r="I8" s="22" t="n">
        <v>551879.9</v>
      </c>
    </row>
    <row r="9">
      <c r="A9" s="9" t="inlineStr">
        <is>
          <t>eap-1_2 — Supressão vegetal, destocamento e limpeza de árvores, arbustos, vegetação rasteira e entulhos com remoção para área de depósito - DMT até 350m</t>
        </is>
      </c>
    </row>
    <row r="10">
      <c r="A10" s="13" t="inlineStr">
        <is>
          <t>eap-1_2</t>
        </is>
      </c>
      <c r="B10" s="13" t="inlineStr">
        <is>
          <t>CPU-TERRA-ATI-003</t>
        </is>
      </c>
      <c r="C10" s="13" t="inlineStr">
        <is>
          <t>Operador de Escavadeira</t>
        </is>
      </c>
      <c r="D10" s="24" t="inlineStr">
        <is>
          <t>DIRETO</t>
        </is>
      </c>
      <c r="E10" s="25" t="n">
        <v>1</v>
      </c>
      <c r="F10" s="26" t="n">
        <v>12875</v>
      </c>
      <c r="G10" s="25" t="n">
        <v>5.98</v>
      </c>
      <c r="H10" s="25" t="n">
        <v>1</v>
      </c>
      <c r="I10" s="26" t="n">
        <v>76992.5</v>
      </c>
    </row>
    <row r="11">
      <c r="A11" s="13" t="inlineStr">
        <is>
          <t>eap-1_2</t>
        </is>
      </c>
      <c r="B11" s="13" t="inlineStr">
        <is>
          <t>CPU-TERRA-ATI-003</t>
        </is>
      </c>
      <c r="C11" s="13" t="inlineStr">
        <is>
          <t>Operador de Trator de Esteiras</t>
        </is>
      </c>
      <c r="D11" s="24" t="inlineStr">
        <is>
          <t>DIRETO</t>
        </is>
      </c>
      <c r="E11" s="25" t="n">
        <v>1</v>
      </c>
      <c r="F11" s="26" t="n">
        <v>12875</v>
      </c>
      <c r="G11" s="25" t="n">
        <v>5.98</v>
      </c>
      <c r="H11" s="25" t="n">
        <v>1</v>
      </c>
      <c r="I11" s="26" t="n">
        <v>76992.5</v>
      </c>
    </row>
    <row r="12">
      <c r="A12" s="13" t="inlineStr">
        <is>
          <t>eap-1_2</t>
        </is>
      </c>
      <c r="B12" s="13" t="inlineStr">
        <is>
          <t>CPU-TERRA-ATI-003</t>
        </is>
      </c>
      <c r="C12" s="13" t="inlineStr">
        <is>
          <t>Ajudante</t>
        </is>
      </c>
      <c r="D12" s="24" t="inlineStr">
        <is>
          <t>DIRETO</t>
        </is>
      </c>
      <c r="E12" s="25" t="n">
        <v>3</v>
      </c>
      <c r="F12" s="26" t="n">
        <v>15784.95</v>
      </c>
      <c r="G12" s="25" t="n">
        <v>5.98</v>
      </c>
      <c r="H12" s="25" t="n">
        <v>1</v>
      </c>
      <c r="I12" s="26" t="n">
        <v>94394</v>
      </c>
    </row>
    <row r="13">
      <c r="A13" s="13" t="inlineStr">
        <is>
          <t>eap-1_2</t>
        </is>
      </c>
      <c r="B13" s="13" t="inlineStr">
        <is>
          <t>EQ-E0016</t>
        </is>
      </c>
      <c r="C13" s="13" t="inlineStr">
        <is>
          <t>Escavadeira Hidráulica 22t [EQ]</t>
        </is>
      </c>
      <c r="D13" s="74" t="inlineStr">
        <is>
          <t>EQ</t>
        </is>
      </c>
      <c r="E13" s="25" t="n">
        <v>1</v>
      </c>
      <c r="F13" s="26" t="n">
        <v>35639.3</v>
      </c>
      <c r="G13" s="25" t="n">
        <v>5.98</v>
      </c>
      <c r="H13" s="25" t="n">
        <v>1</v>
      </c>
      <c r="I13" s="26" t="n">
        <v>213123.01</v>
      </c>
    </row>
    <row r="14">
      <c r="A14" s="13" t="inlineStr">
        <is>
          <t>eap-1_2</t>
        </is>
      </c>
      <c r="B14" s="13" t="inlineStr">
        <is>
          <t>EQ-E0024</t>
        </is>
      </c>
      <c r="C14" s="13" t="inlineStr">
        <is>
          <t>Trator de Esteiras 20t (300HP) [EQ]</t>
        </is>
      </c>
      <c r="D14" s="74" t="inlineStr">
        <is>
          <t>EQ</t>
        </is>
      </c>
      <c r="E14" s="25" t="n">
        <v>1</v>
      </c>
      <c r="F14" s="26" t="n">
        <v>49477.12</v>
      </c>
      <c r="G14" s="25" t="n">
        <v>5.98</v>
      </c>
      <c r="H14" s="25" t="n">
        <v>1</v>
      </c>
      <c r="I14" s="26" t="n">
        <v>295873.18</v>
      </c>
    </row>
    <row r="15">
      <c r="A15" s="13" t="inlineStr">
        <is>
          <t>eap-1_2</t>
        </is>
      </c>
      <c r="B15" s="13" t="inlineStr">
        <is>
          <t>EQ-E0024</t>
        </is>
      </c>
      <c r="C15" s="28" t="inlineStr">
        <is>
          <t>Diesel — Trator de Esteiras 20t (300HP)</t>
        </is>
      </c>
      <c r="D15" s="75" t="inlineStr">
        <is>
          <t>COMB</t>
        </is>
      </c>
      <c r="E15" s="25" t="n">
        <v>1</v>
      </c>
      <c r="F15" s="26" t="n">
        <v>22957.71</v>
      </c>
      <c r="G15" s="25" t="n">
        <v>5.98</v>
      </c>
      <c r="H15" s="25" t="n">
        <v>1</v>
      </c>
      <c r="I15" s="26" t="n">
        <v>137287.11</v>
      </c>
    </row>
    <row r="16">
      <c r="A16" s="20" t="inlineStr">
        <is>
          <t>Subtotal eap-1_2</t>
        </is>
      </c>
      <c r="B16" s="21" t="n"/>
      <c r="C16" s="21" t="n"/>
      <c r="D16" s="21" t="n"/>
      <c r="E16" s="21" t="n"/>
      <c r="F16" s="21" t="n"/>
      <c r="G16" s="21" t="n"/>
      <c r="H16" s="21" t="n"/>
      <c r="I16" s="22" t="n">
        <v>5367759.08</v>
      </c>
    </row>
    <row r="17">
      <c r="A17" s="9" t="inlineStr">
        <is>
          <t>eap-1_1 — Supressão vegetal com ou sem destocamento de vegetação com Ø =&lt; 30cm, assim como remoção de arbustos, vegetação rasteira e limpeza para a área de depósito - DMT até 350m - ALTA</t>
        </is>
      </c>
    </row>
    <row r="18">
      <c r="A18" s="11" t="inlineStr">
        <is>
          <t>eap-1_1</t>
        </is>
      </c>
      <c r="B18" s="11" t="inlineStr">
        <is>
          <t>CPU-TERRA-ATI-003</t>
        </is>
      </c>
      <c r="C18" s="11" t="inlineStr">
        <is>
          <t>Operador de Escavadeira</t>
        </is>
      </c>
      <c r="D18" s="15" t="inlineStr">
        <is>
          <t>DIRETO</t>
        </is>
      </c>
      <c r="E18" s="16" t="n">
        <v>1</v>
      </c>
      <c r="F18" s="17" t="n">
        <v>12875</v>
      </c>
      <c r="G18" s="16" t="n">
        <v>5.98</v>
      </c>
      <c r="H18" s="16" t="n">
        <v>1</v>
      </c>
      <c r="I18" s="17" t="n">
        <v>76992.5</v>
      </c>
    </row>
    <row r="19">
      <c r="A19" s="11" t="inlineStr">
        <is>
          <t>eap-1_1</t>
        </is>
      </c>
      <c r="B19" s="11" t="inlineStr">
        <is>
          <t>CPU-TERRA-ATI-003</t>
        </is>
      </c>
      <c r="C19" s="11" t="inlineStr">
        <is>
          <t>Operador de Trator de Esteiras</t>
        </is>
      </c>
      <c r="D19" s="15" t="inlineStr">
        <is>
          <t>DIRETO</t>
        </is>
      </c>
      <c r="E19" s="16" t="n">
        <v>1</v>
      </c>
      <c r="F19" s="17" t="n">
        <v>12875</v>
      </c>
      <c r="G19" s="16" t="n">
        <v>5.98</v>
      </c>
      <c r="H19" s="16" t="n">
        <v>1</v>
      </c>
      <c r="I19" s="17" t="n">
        <v>76992.5</v>
      </c>
    </row>
    <row r="20">
      <c r="A20" s="11" t="inlineStr">
        <is>
          <t>eap-1_1</t>
        </is>
      </c>
      <c r="B20" s="11" t="inlineStr">
        <is>
          <t>CPU-TERRA-ATI-003</t>
        </is>
      </c>
      <c r="C20" s="11" t="inlineStr">
        <is>
          <t>Ajudante</t>
        </is>
      </c>
      <c r="D20" s="15" t="inlineStr">
        <is>
          <t>DIRETO</t>
        </is>
      </c>
      <c r="E20" s="16" t="n">
        <v>3</v>
      </c>
      <c r="F20" s="17" t="n">
        <v>15784.95</v>
      </c>
      <c r="G20" s="16" t="n">
        <v>5.98</v>
      </c>
      <c r="H20" s="16" t="n">
        <v>1</v>
      </c>
      <c r="I20" s="17" t="n">
        <v>94394</v>
      </c>
    </row>
    <row r="21">
      <c r="A21" s="11" t="inlineStr">
        <is>
          <t>eap-1_1</t>
        </is>
      </c>
      <c r="B21" s="11" t="inlineStr">
        <is>
          <t>EQ-E0016</t>
        </is>
      </c>
      <c r="C21" s="11" t="inlineStr">
        <is>
          <t>Escavadeira Hidráulica 22t [EQ]</t>
        </is>
      </c>
      <c r="D21" s="72" t="inlineStr">
        <is>
          <t>EQ</t>
        </is>
      </c>
      <c r="E21" s="16" t="n">
        <v>1</v>
      </c>
      <c r="F21" s="17" t="n">
        <v>35639.3</v>
      </c>
      <c r="G21" s="16" t="n">
        <v>5.98</v>
      </c>
      <c r="H21" s="16" t="n">
        <v>1</v>
      </c>
      <c r="I21" s="17" t="n">
        <v>213123.01</v>
      </c>
    </row>
    <row r="22">
      <c r="A22" s="11" t="inlineStr">
        <is>
          <t>eap-1_1</t>
        </is>
      </c>
      <c r="B22" s="11" t="inlineStr">
        <is>
          <t>EQ-E0024</t>
        </is>
      </c>
      <c r="C22" s="11" t="inlineStr">
        <is>
          <t>Trator de Esteiras 20t (300HP) [EQ]</t>
        </is>
      </c>
      <c r="D22" s="72" t="inlineStr">
        <is>
          <t>EQ</t>
        </is>
      </c>
      <c r="E22" s="16" t="n">
        <v>1</v>
      </c>
      <c r="F22" s="17" t="n">
        <v>49477.12</v>
      </c>
      <c r="G22" s="16" t="n">
        <v>5.98</v>
      </c>
      <c r="H22" s="16" t="n">
        <v>1</v>
      </c>
      <c r="I22" s="17" t="n">
        <v>295873.18</v>
      </c>
    </row>
    <row r="23">
      <c r="A23" s="11" t="inlineStr">
        <is>
          <t>eap-1_1</t>
        </is>
      </c>
      <c r="B23" s="11" t="inlineStr">
        <is>
          <t>EQ-E0024</t>
        </is>
      </c>
      <c r="C23" s="19" t="inlineStr">
        <is>
          <t>Diesel — Trator de Esteiras 20t (300HP)</t>
        </is>
      </c>
      <c r="D23" s="73" t="inlineStr">
        <is>
          <t>COMB</t>
        </is>
      </c>
      <c r="E23" s="16" t="n">
        <v>1</v>
      </c>
      <c r="F23" s="17" t="n">
        <v>22957.71</v>
      </c>
      <c r="G23" s="16" t="n">
        <v>5.98</v>
      </c>
      <c r="H23" s="16" t="n">
        <v>1</v>
      </c>
      <c r="I23" s="17" t="n">
        <v>137287.11</v>
      </c>
    </row>
    <row r="24">
      <c r="A24" s="20" t="inlineStr">
        <is>
          <t>Subtotal eap-1_1</t>
        </is>
      </c>
      <c r="B24" s="21" t="n"/>
      <c r="C24" s="21" t="n"/>
      <c r="D24" s="21" t="n"/>
      <c r="E24" s="21" t="n"/>
      <c r="F24" s="21" t="n"/>
      <c r="G24" s="21" t="n"/>
      <c r="H24" s="21" t="n"/>
      <c r="I24" s="22" t="n">
        <v>1789253.03</v>
      </c>
    </row>
    <row r="25">
      <c r="A25" s="9" t="inlineStr">
        <is>
          <t>eap-1_3 — Corte com destocamento de árvores com Ø &gt; 30cm e remoção para a área de depósito - DMT até 1000m</t>
        </is>
      </c>
    </row>
    <row r="26">
      <c r="A26" s="13" t="inlineStr">
        <is>
          <t>eap-1_3</t>
        </is>
      </c>
      <c r="B26" s="13" t="inlineStr">
        <is>
          <t>CPU-TERRA-ATI-001</t>
        </is>
      </c>
      <c r="C26" s="13" t="inlineStr">
        <is>
          <t>Operador de Motoscraper</t>
        </is>
      </c>
      <c r="D26" s="24" t="inlineStr">
        <is>
          <t>DIRETO</t>
        </is>
      </c>
      <c r="E26" s="25" t="n">
        <v>1</v>
      </c>
      <c r="F26" s="26" t="n">
        <v>13892.78</v>
      </c>
      <c r="G26" s="25" t="n">
        <v>5.98</v>
      </c>
      <c r="H26" s="25" t="n">
        <v>1</v>
      </c>
      <c r="I26" s="26" t="n">
        <v>83078.82000000001</v>
      </c>
    </row>
    <row r="27">
      <c r="A27" s="13" t="inlineStr">
        <is>
          <t>eap-1_3</t>
        </is>
      </c>
      <c r="B27" s="13" t="inlineStr">
        <is>
          <t>CPU-TERRA-ATI-001</t>
        </is>
      </c>
      <c r="C27" s="13" t="inlineStr">
        <is>
          <t>Ajudante</t>
        </is>
      </c>
      <c r="D27" s="24" t="inlineStr">
        <is>
          <t>DIRETO</t>
        </is>
      </c>
      <c r="E27" s="25" t="n">
        <v>3</v>
      </c>
      <c r="F27" s="26" t="n">
        <v>15784.95</v>
      </c>
      <c r="G27" s="25" t="n">
        <v>5.98</v>
      </c>
      <c r="H27" s="25" t="n">
        <v>1</v>
      </c>
      <c r="I27" s="26" t="n">
        <v>94394</v>
      </c>
    </row>
    <row r="28">
      <c r="A28" s="13" t="inlineStr">
        <is>
          <t>eap-1_3</t>
        </is>
      </c>
      <c r="B28" s="13" t="inlineStr">
        <is>
          <t>EQ-E0031</t>
        </is>
      </c>
      <c r="C28" s="13" t="inlineStr">
        <is>
          <t>Spread [EQ]</t>
        </is>
      </c>
      <c r="D28" s="74" t="inlineStr">
        <is>
          <t>EQ</t>
        </is>
      </c>
      <c r="E28" s="25" t="n">
        <v>2</v>
      </c>
      <c r="F28" s="26" t="n">
        <v>6336</v>
      </c>
      <c r="G28" s="25" t="n">
        <v>5.98</v>
      </c>
      <c r="H28" s="25" t="n">
        <v>1</v>
      </c>
      <c r="I28" s="26" t="n">
        <v>37889.28</v>
      </c>
    </row>
    <row r="29">
      <c r="A29" s="13" t="inlineStr">
        <is>
          <t>eap-1_3</t>
        </is>
      </c>
      <c r="B29" s="13" t="inlineStr">
        <is>
          <t>EQ-E0031</t>
        </is>
      </c>
      <c r="C29" s="28" t="inlineStr">
        <is>
          <t>Diesel — Spread</t>
        </is>
      </c>
      <c r="D29" s="75" t="inlineStr">
        <is>
          <t>COMB</t>
        </is>
      </c>
      <c r="E29" s="25" t="n">
        <v>2</v>
      </c>
      <c r="F29" s="26" t="n">
        <v>2550.86</v>
      </c>
      <c r="G29" s="25" t="n">
        <v>5.98</v>
      </c>
      <c r="H29" s="25" t="n">
        <v>1</v>
      </c>
      <c r="I29" s="26" t="n">
        <v>15254.14</v>
      </c>
    </row>
    <row r="30">
      <c r="A30" s="20" t="inlineStr">
        <is>
          <t>Subtotal eap-1_3</t>
        </is>
      </c>
      <c r="B30" s="21" t="n"/>
      <c r="C30" s="21" t="n"/>
      <c r="D30" s="21" t="n"/>
      <c r="E30" s="21" t="n"/>
      <c r="F30" s="21" t="n"/>
      <c r="G30" s="21" t="n"/>
      <c r="H30" s="21" t="n"/>
      <c r="I30" s="22" t="n">
        <v>851244.96</v>
      </c>
    </row>
    <row r="31">
      <c r="A31" s="9" t="inlineStr">
        <is>
          <t>eap-2_1 — Fornecimento e Instalação de Mata burro (padrão VALEC)</t>
        </is>
      </c>
    </row>
    <row r="32">
      <c r="A32" s="11" t="inlineStr">
        <is>
          <t>eap-2_1</t>
        </is>
      </c>
      <c r="B32" s="11" t="inlineStr">
        <is>
          <t>CPU-DIVER-ATI-090</t>
        </is>
      </c>
      <c r="C32" s="11" t="inlineStr">
        <is>
          <t>Oficial</t>
        </is>
      </c>
      <c r="D32" s="15" t="inlineStr">
        <is>
          <t>DIRETO</t>
        </is>
      </c>
      <c r="E32" s="16" t="n">
        <v>2</v>
      </c>
      <c r="F32" s="17" t="n">
        <v>15852.94</v>
      </c>
      <c r="G32" s="16" t="n">
        <v>5.98</v>
      </c>
      <c r="H32" s="16" t="n">
        <v>1</v>
      </c>
      <c r="I32" s="17" t="n">
        <v>94800.58</v>
      </c>
    </row>
    <row r="33">
      <c r="A33" s="11" t="inlineStr">
        <is>
          <t>eap-2_1</t>
        </is>
      </c>
      <c r="B33" s="11" t="inlineStr">
        <is>
          <t>CPU-DIVER-ATI-090</t>
        </is>
      </c>
      <c r="C33" s="11" t="inlineStr">
        <is>
          <t>Ajudante</t>
        </is>
      </c>
      <c r="D33" s="15" t="inlineStr">
        <is>
          <t>DIRETO</t>
        </is>
      </c>
      <c r="E33" s="16" t="n">
        <v>4</v>
      </c>
      <c r="F33" s="17" t="n">
        <v>21046.6</v>
      </c>
      <c r="G33" s="16" t="n">
        <v>5.98</v>
      </c>
      <c r="H33" s="16" t="n">
        <v>1</v>
      </c>
      <c r="I33" s="17" t="n">
        <v>125858.67</v>
      </c>
    </row>
    <row r="34">
      <c r="A34" s="11" t="inlineStr">
        <is>
          <t>eap-2_1</t>
        </is>
      </c>
      <c r="B34" s="11" t="inlineStr">
        <is>
          <t>EQ-CAM-MUNCK-23T</t>
        </is>
      </c>
      <c r="C34" s="11" t="inlineStr">
        <is>
          <t>Caminhão munck 23T [EQ]</t>
        </is>
      </c>
      <c r="D34" s="72" t="inlineStr">
        <is>
          <t>EQ</t>
        </is>
      </c>
      <c r="E34" s="16" t="n">
        <v>1</v>
      </c>
      <c r="F34" s="17" t="n">
        <v>30800</v>
      </c>
      <c r="G34" s="16" t="n">
        <v>5.98</v>
      </c>
      <c r="H34" s="16" t="n">
        <v>1</v>
      </c>
      <c r="I34" s="17" t="n">
        <v>184184</v>
      </c>
    </row>
    <row r="35">
      <c r="A35" s="11" t="inlineStr">
        <is>
          <t>eap-2_1</t>
        </is>
      </c>
      <c r="B35" s="11" t="inlineStr">
        <is>
          <t>EQ-CAM-MUNCK-23T</t>
        </is>
      </c>
      <c r="C35" s="19" t="inlineStr">
        <is>
          <t>Diesel — Caminhão munck 23T</t>
        </is>
      </c>
      <c r="D35" s="73" t="inlineStr">
        <is>
          <t>COMB</t>
        </is>
      </c>
      <c r="E35" s="16" t="n">
        <v>1</v>
      </c>
      <c r="F35" s="17" t="n">
        <v>3826.29</v>
      </c>
      <c r="G35" s="16" t="n">
        <v>5.98</v>
      </c>
      <c r="H35" s="16" t="n">
        <v>1</v>
      </c>
      <c r="I35" s="17" t="n">
        <v>22881.21</v>
      </c>
    </row>
    <row r="36">
      <c r="A36" s="20" t="inlineStr">
        <is>
          <t>Subtotal eap-2_1</t>
        </is>
      </c>
      <c r="B36" s="21" t="n"/>
      <c r="C36" s="21" t="n"/>
      <c r="D36" s="21" t="n"/>
      <c r="E36" s="21" t="n"/>
      <c r="F36" s="21" t="n"/>
      <c r="G36" s="21" t="n"/>
      <c r="H36" s="21" t="n"/>
      <c r="I36" s="22" t="n">
        <v>855414.71</v>
      </c>
    </row>
    <row r="37">
      <c r="A37" s="9" t="inlineStr">
        <is>
          <t>eap-3_3 — Cerca arame liso (5 fios) com mourão de eucalipto e mourão de madeira a cada 4,0 m e esticador a cada 50 m executada em solos compostos por material de 1ª e 2ª categoria</t>
        </is>
      </c>
    </row>
    <row r="38">
      <c r="A38" s="13" t="inlineStr">
        <is>
          <t>eap-3_3</t>
        </is>
      </c>
      <c r="B38" s="13" t="inlineStr">
        <is>
          <t>CPU-DIVER-ATI-065</t>
        </is>
      </c>
      <c r="C38" s="13" t="inlineStr">
        <is>
          <t>Encarregado de Terraplenagem</t>
        </is>
      </c>
      <c r="D38" s="24" t="inlineStr">
        <is>
          <t>DIRETO</t>
        </is>
      </c>
      <c r="E38" s="25" t="n">
        <v>1</v>
      </c>
      <c r="F38" s="26" t="n">
        <v>11549.8</v>
      </c>
      <c r="G38" s="25" t="n">
        <v>5.98</v>
      </c>
      <c r="H38" s="25" t="n">
        <v>1</v>
      </c>
      <c r="I38" s="26" t="n">
        <v>69067.8</v>
      </c>
    </row>
    <row r="39">
      <c r="A39" s="13" t="inlineStr">
        <is>
          <t>eap-3_3</t>
        </is>
      </c>
      <c r="B39" s="13" t="inlineStr">
        <is>
          <t>CPU-DIVER-ATI-065</t>
        </is>
      </c>
      <c r="C39" s="13" t="inlineStr">
        <is>
          <t>Cerqueiro</t>
        </is>
      </c>
      <c r="D39" s="24" t="inlineStr">
        <is>
          <t>DIRETO</t>
        </is>
      </c>
      <c r="E39" s="25" t="n">
        <v>3</v>
      </c>
      <c r="F39" s="26" t="n">
        <v>29703.51</v>
      </c>
      <c r="G39" s="25" t="n">
        <v>5.98</v>
      </c>
      <c r="H39" s="25" t="n">
        <v>1</v>
      </c>
      <c r="I39" s="26" t="n">
        <v>177626.99</v>
      </c>
    </row>
    <row r="40">
      <c r="A40" s="13" t="inlineStr">
        <is>
          <t>eap-3_3</t>
        </is>
      </c>
      <c r="B40" s="13" t="inlineStr">
        <is>
          <t>EQ-E0001</t>
        </is>
      </c>
      <c r="C40" s="13" t="inlineStr">
        <is>
          <t>Automóvel (veículo leve) [EQ]</t>
        </is>
      </c>
      <c r="D40" s="74" t="inlineStr">
        <is>
          <t>EQ</t>
        </is>
      </c>
      <c r="E40" s="25" t="n">
        <v>1</v>
      </c>
      <c r="F40" s="26" t="n">
        <v>3872</v>
      </c>
      <c r="G40" s="25" t="n">
        <v>5.98</v>
      </c>
      <c r="H40" s="25" t="n">
        <v>1</v>
      </c>
      <c r="I40" s="26" t="n">
        <v>23154.56</v>
      </c>
    </row>
    <row r="41">
      <c r="A41" s="13" t="inlineStr">
        <is>
          <t>eap-3_3</t>
        </is>
      </c>
      <c r="B41" s="13" t="inlineStr">
        <is>
          <t>EQ-E0001</t>
        </is>
      </c>
      <c r="C41" s="28" t="inlineStr">
        <is>
          <t>Diesel — Automóvel (veículo leve)</t>
        </is>
      </c>
      <c r="D41" s="75" t="inlineStr">
        <is>
          <t>COMB</t>
        </is>
      </c>
      <c r="E41" s="25" t="n">
        <v>1</v>
      </c>
      <c r="F41" s="26" t="n">
        <v>1020.34</v>
      </c>
      <c r="G41" s="25" t="n">
        <v>5.98</v>
      </c>
      <c r="H41" s="25" t="n">
        <v>1</v>
      </c>
      <c r="I41" s="26" t="n">
        <v>6101.63</v>
      </c>
    </row>
    <row r="42">
      <c r="A42" s="20" t="inlineStr">
        <is>
          <t>Subtotal eap-3_3</t>
        </is>
      </c>
      <c r="B42" s="21" t="n"/>
      <c r="C42" s="21" t="n"/>
      <c r="D42" s="21" t="n"/>
      <c r="E42" s="21" t="n"/>
      <c r="F42" s="21" t="n"/>
      <c r="G42" s="21" t="n"/>
      <c r="H42" s="21" t="n"/>
      <c r="I42" s="22" t="n">
        <v>275939.95</v>
      </c>
    </row>
    <row r="43">
      <c r="A43" s="9" t="inlineStr">
        <is>
          <t>eap-3_6 — Remoção de cerca de mourão de madeira</t>
        </is>
      </c>
    </row>
    <row r="44">
      <c r="A44" s="11" t="inlineStr">
        <is>
          <t>eap-3_6</t>
        </is>
      </c>
      <c r="B44" s="11" t="inlineStr">
        <is>
          <t>CPU-DIVER-ATI-067</t>
        </is>
      </c>
      <c r="C44" s="11" t="inlineStr">
        <is>
          <t>Encarregado de Terraplenagem</t>
        </is>
      </c>
      <c r="D44" s="15" t="inlineStr">
        <is>
          <t>DIRETO</t>
        </is>
      </c>
      <c r="E44" s="16" t="n">
        <v>1</v>
      </c>
      <c r="F44" s="17" t="n">
        <v>11549.8</v>
      </c>
      <c r="G44" s="16" t="n">
        <v>5.98</v>
      </c>
      <c r="H44" s="16" t="n">
        <v>1</v>
      </c>
      <c r="I44" s="17" t="n">
        <v>69067.8</v>
      </c>
    </row>
    <row r="45">
      <c r="A45" s="11" t="inlineStr">
        <is>
          <t>eap-3_6</t>
        </is>
      </c>
      <c r="B45" s="11" t="inlineStr">
        <is>
          <t>CPU-DIVER-ATI-067</t>
        </is>
      </c>
      <c r="C45" s="11" t="inlineStr">
        <is>
          <t>Ajudante</t>
        </is>
      </c>
      <c r="D45" s="15" t="inlineStr">
        <is>
          <t>DIRETO</t>
        </is>
      </c>
      <c r="E45" s="16" t="n">
        <v>2</v>
      </c>
      <c r="F45" s="17" t="n">
        <v>10523.3</v>
      </c>
      <c r="G45" s="16" t="n">
        <v>5.98</v>
      </c>
      <c r="H45" s="16" t="n">
        <v>1</v>
      </c>
      <c r="I45" s="17" t="n">
        <v>62929.33</v>
      </c>
    </row>
    <row r="46">
      <c r="A46" s="11" t="inlineStr">
        <is>
          <t>eap-3_6</t>
        </is>
      </c>
      <c r="B46" s="11" t="inlineStr">
        <is>
          <t>EQ-E0001</t>
        </is>
      </c>
      <c r="C46" s="11" t="inlineStr">
        <is>
          <t>Automóvel (veículo leve) [EQ]</t>
        </is>
      </c>
      <c r="D46" s="72" t="inlineStr">
        <is>
          <t>EQ</t>
        </is>
      </c>
      <c r="E46" s="16" t="n">
        <v>1</v>
      </c>
      <c r="F46" s="17" t="n">
        <v>3872</v>
      </c>
      <c r="G46" s="16" t="n">
        <v>5.98</v>
      </c>
      <c r="H46" s="16" t="n">
        <v>1</v>
      </c>
      <c r="I46" s="17" t="n">
        <v>23154.56</v>
      </c>
    </row>
    <row r="47">
      <c r="A47" s="11" t="inlineStr">
        <is>
          <t>eap-3_6</t>
        </is>
      </c>
      <c r="B47" s="11" t="inlineStr">
        <is>
          <t>EQ-E0001</t>
        </is>
      </c>
      <c r="C47" s="19" t="inlineStr">
        <is>
          <t>Diesel — Automóvel (veículo leve)</t>
        </is>
      </c>
      <c r="D47" s="73" t="inlineStr">
        <is>
          <t>COMB</t>
        </is>
      </c>
      <c r="E47" s="16" t="n">
        <v>1</v>
      </c>
      <c r="F47" s="17" t="n">
        <v>1020.34</v>
      </c>
      <c r="G47" s="16" t="n">
        <v>5.98</v>
      </c>
      <c r="H47" s="16" t="n">
        <v>1</v>
      </c>
      <c r="I47" s="17" t="n">
        <v>6101.63</v>
      </c>
    </row>
    <row r="48">
      <c r="A48" s="20" t="inlineStr">
        <is>
          <t>Subtotal eap-3_6</t>
        </is>
      </c>
      <c r="B48" s="21" t="n"/>
      <c r="C48" s="21" t="n"/>
      <c r="D48" s="21" t="n"/>
      <c r="E48" s="21" t="n"/>
      <c r="F48" s="21" t="n"/>
      <c r="G48" s="21" t="n"/>
      <c r="H48" s="21" t="n"/>
      <c r="I48" s="22" t="n">
        <v>161246.88</v>
      </c>
    </row>
    <row r="49">
      <c r="A49" s="9" t="inlineStr">
        <is>
          <t>eap-5_1 — Abertura de acesso para implantação de cerca</t>
        </is>
      </c>
    </row>
    <row r="50">
      <c r="A50" s="13" t="inlineStr">
        <is>
          <t>eap-5_1</t>
        </is>
      </c>
      <c r="B50" s="13" t="inlineStr">
        <is>
          <t>CPU-DIVER-ATI-065</t>
        </is>
      </c>
      <c r="C50" s="13" t="inlineStr">
        <is>
          <t>Encarregado de Terraplenagem</t>
        </is>
      </c>
      <c r="D50" s="24" t="inlineStr">
        <is>
          <t>DIRETO</t>
        </is>
      </c>
      <c r="E50" s="25" t="n">
        <v>1</v>
      </c>
      <c r="F50" s="26" t="n">
        <v>11549.8</v>
      </c>
      <c r="G50" s="25" t="n">
        <v>5.98</v>
      </c>
      <c r="H50" s="25" t="n">
        <v>1</v>
      </c>
      <c r="I50" s="26" t="n">
        <v>69067.8</v>
      </c>
    </row>
    <row r="51">
      <c r="A51" s="13" t="inlineStr">
        <is>
          <t>eap-5_1</t>
        </is>
      </c>
      <c r="B51" s="13" t="inlineStr">
        <is>
          <t>CPU-DIVER-ATI-065</t>
        </is>
      </c>
      <c r="C51" s="13" t="inlineStr">
        <is>
          <t>Cerqueiro</t>
        </is>
      </c>
      <c r="D51" s="24" t="inlineStr">
        <is>
          <t>DIRETO</t>
        </is>
      </c>
      <c r="E51" s="25" t="n">
        <v>3</v>
      </c>
      <c r="F51" s="26" t="n">
        <v>29703.51</v>
      </c>
      <c r="G51" s="25" t="n">
        <v>5.98</v>
      </c>
      <c r="H51" s="25" t="n">
        <v>1</v>
      </c>
      <c r="I51" s="26" t="n">
        <v>177626.99</v>
      </c>
    </row>
    <row r="52">
      <c r="A52" s="13" t="inlineStr">
        <is>
          <t>eap-5_1</t>
        </is>
      </c>
      <c r="B52" s="13" t="inlineStr">
        <is>
          <t>EQ-E0001</t>
        </is>
      </c>
      <c r="C52" s="13" t="inlineStr">
        <is>
          <t>Automóvel (veículo leve) [EQ]</t>
        </is>
      </c>
      <c r="D52" s="74" t="inlineStr">
        <is>
          <t>EQ</t>
        </is>
      </c>
      <c r="E52" s="25" t="n">
        <v>1</v>
      </c>
      <c r="F52" s="26" t="n">
        <v>3872</v>
      </c>
      <c r="G52" s="25" t="n">
        <v>5.98</v>
      </c>
      <c r="H52" s="25" t="n">
        <v>1</v>
      </c>
      <c r="I52" s="26" t="n">
        <v>23154.56</v>
      </c>
    </row>
    <row r="53">
      <c r="A53" s="13" t="inlineStr">
        <is>
          <t>eap-5_1</t>
        </is>
      </c>
      <c r="B53" s="13" t="inlineStr">
        <is>
          <t>EQ-E0001</t>
        </is>
      </c>
      <c r="C53" s="28" t="inlineStr">
        <is>
          <t>Diesel — Automóvel (veículo leve)</t>
        </is>
      </c>
      <c r="D53" s="75" t="inlineStr">
        <is>
          <t>COMB</t>
        </is>
      </c>
      <c r="E53" s="25" t="n">
        <v>1</v>
      </c>
      <c r="F53" s="26" t="n">
        <v>1020.34</v>
      </c>
      <c r="G53" s="25" t="n">
        <v>5.98</v>
      </c>
      <c r="H53" s="25" t="n">
        <v>1</v>
      </c>
      <c r="I53" s="26" t="n">
        <v>6101.63</v>
      </c>
    </row>
    <row r="54">
      <c r="A54" s="20" t="inlineStr">
        <is>
          <t>Subtotal eap-5_1</t>
        </is>
      </c>
      <c r="B54" s="21" t="n"/>
      <c r="C54" s="21" t="n"/>
      <c r="D54" s="21" t="n"/>
      <c r="E54" s="21" t="n"/>
      <c r="F54" s="21" t="n"/>
      <c r="G54" s="21" t="n"/>
      <c r="H54" s="21" t="n"/>
      <c r="I54" s="22" t="n">
        <v>551879.9</v>
      </c>
    </row>
    <row r="55">
      <c r="A55" s="9" t="inlineStr">
        <is>
          <t>eap-2_3 — Fornecimento e Instalação de Porteira Metálica (padrão VALEC)</t>
        </is>
      </c>
    </row>
    <row r="56">
      <c r="A56" s="11" t="inlineStr">
        <is>
          <t>eap-2_3</t>
        </is>
      </c>
      <c r="B56" s="11" t="inlineStr">
        <is>
          <t>CPU-DIVER-ATI-091</t>
        </is>
      </c>
      <c r="C56" s="11" t="inlineStr">
        <is>
          <t>Oficial</t>
        </is>
      </c>
      <c r="D56" s="15" t="inlineStr">
        <is>
          <t>DIRETO</t>
        </is>
      </c>
      <c r="E56" s="16" t="n">
        <v>1</v>
      </c>
      <c r="F56" s="17" t="n">
        <v>7926.47</v>
      </c>
      <c r="G56" s="16" t="n">
        <v>5.98</v>
      </c>
      <c r="H56" s="16" t="n">
        <v>1</v>
      </c>
      <c r="I56" s="17" t="n">
        <v>47400.29</v>
      </c>
    </row>
    <row r="57">
      <c r="A57" s="11" t="inlineStr">
        <is>
          <t>eap-2_3</t>
        </is>
      </c>
      <c r="B57" s="11" t="inlineStr">
        <is>
          <t>CPU-DIVER-ATI-091</t>
        </is>
      </c>
      <c r="C57" s="11" t="inlineStr">
        <is>
          <t>Ajudante</t>
        </is>
      </c>
      <c r="D57" s="15" t="inlineStr">
        <is>
          <t>DIRETO</t>
        </is>
      </c>
      <c r="E57" s="16" t="n">
        <v>2</v>
      </c>
      <c r="F57" s="17" t="n">
        <v>10523.3</v>
      </c>
      <c r="G57" s="16" t="n">
        <v>5.98</v>
      </c>
      <c r="H57" s="16" t="n">
        <v>1</v>
      </c>
      <c r="I57" s="17" t="n">
        <v>62929.33</v>
      </c>
    </row>
    <row r="58">
      <c r="A58" s="20" t="inlineStr">
        <is>
          <t>Subtotal eap-2_3</t>
        </is>
      </c>
      <c r="B58" s="21" t="n"/>
      <c r="C58" s="21" t="n"/>
      <c r="D58" s="21" t="n"/>
      <c r="E58" s="21" t="n"/>
      <c r="F58" s="21" t="n"/>
      <c r="G58" s="21" t="n"/>
      <c r="H58" s="21" t="n"/>
      <c r="I58" s="22" t="n">
        <v>110325.21</v>
      </c>
    </row>
    <row r="59">
      <c r="A59" s="9" t="inlineStr">
        <is>
          <t>eap-4_1 — Implantação do eixo</t>
        </is>
      </c>
    </row>
    <row r="60">
      <c r="A60" s="13" t="inlineStr">
        <is>
          <t>eap-4_1</t>
        </is>
      </c>
      <c r="B60" s="13" t="inlineStr">
        <is>
          <t>CPU-TERRA-ATI-005</t>
        </is>
      </c>
      <c r="C60" s="13" t="inlineStr">
        <is>
          <t>Topógrafo</t>
        </is>
      </c>
      <c r="D60" s="24" t="inlineStr">
        <is>
          <t>DIRETO</t>
        </is>
      </c>
      <c r="E60" s="25" t="n">
        <v>1</v>
      </c>
      <c r="F60" s="26" t="n">
        <v>18000</v>
      </c>
      <c r="G60" s="25" t="n">
        <v>5.98</v>
      </c>
      <c r="H60" s="25" t="n">
        <v>1</v>
      </c>
      <c r="I60" s="26" t="n">
        <v>107640</v>
      </c>
    </row>
    <row r="61">
      <c r="A61" s="13" t="inlineStr">
        <is>
          <t>eap-4_1</t>
        </is>
      </c>
      <c r="B61" s="13" t="inlineStr">
        <is>
          <t>CPU-TERRA-ATI-005</t>
        </is>
      </c>
      <c r="C61" s="13" t="inlineStr">
        <is>
          <t>Auxiliar de topografia</t>
        </is>
      </c>
      <c r="D61" s="24" t="inlineStr">
        <is>
          <t>DIRETO</t>
        </is>
      </c>
      <c r="E61" s="25" t="n">
        <v>2</v>
      </c>
      <c r="F61" s="26" t="n">
        <v>11420.64</v>
      </c>
      <c r="G61" s="25" t="n">
        <v>5.98</v>
      </c>
      <c r="H61" s="25" t="n">
        <v>1</v>
      </c>
      <c r="I61" s="26" t="n">
        <v>68295.42999999999</v>
      </c>
    </row>
    <row r="62">
      <c r="A62" s="13" t="inlineStr">
        <is>
          <t>eap-4_1</t>
        </is>
      </c>
      <c r="B62" s="13" t="inlineStr">
        <is>
          <t>EQ-ESTACAO-TOTAL</t>
        </is>
      </c>
      <c r="C62" s="13" t="inlineStr">
        <is>
          <t>Estação Total [EQ]</t>
        </is>
      </c>
      <c r="D62" s="74" t="inlineStr">
        <is>
          <t>EQ</t>
        </is>
      </c>
      <c r="E62" s="25" t="n">
        <v>1</v>
      </c>
      <c r="F62" s="26" t="n">
        <v>2640</v>
      </c>
      <c r="G62" s="25" t="n">
        <v>5.98</v>
      </c>
      <c r="H62" s="25" t="n">
        <v>1</v>
      </c>
      <c r="I62" s="26" t="n">
        <v>15787.2</v>
      </c>
    </row>
    <row r="63">
      <c r="A63" s="20" t="inlineStr">
        <is>
          <t>Subtotal eap-4_1</t>
        </is>
      </c>
      <c r="B63" s="21" t="n"/>
      <c r="C63" s="21" t="n"/>
      <c r="D63" s="21" t="n"/>
      <c r="E63" s="21" t="n"/>
      <c r="F63" s="21" t="n"/>
      <c r="G63" s="21" t="n"/>
      <c r="H63" s="21" t="n"/>
      <c r="I63" s="22" t="n">
        <v>191714.96</v>
      </c>
    </row>
    <row r="64">
      <c r="A64" s="9" t="inlineStr">
        <is>
          <t>eap-3_5 — Cerca arame liso (5 fios) com mourão de eucalipto e mourão de madeira a cada 4,0 m e esticador a cada 50 m executada em solos alagadas</t>
        </is>
      </c>
    </row>
    <row r="65">
      <c r="A65" s="11" t="inlineStr">
        <is>
          <t>eap-3_5</t>
        </is>
      </c>
      <c r="B65" s="11" t="inlineStr">
        <is>
          <t>CPU-DIVER-ATI-065</t>
        </is>
      </c>
      <c r="C65" s="11" t="inlineStr">
        <is>
          <t>Encarregado de Terraplenagem</t>
        </is>
      </c>
      <c r="D65" s="15" t="inlineStr">
        <is>
          <t>DIRETO</t>
        </is>
      </c>
      <c r="E65" s="16" t="n">
        <v>1</v>
      </c>
      <c r="F65" s="17" t="n">
        <v>11549.8</v>
      </c>
      <c r="G65" s="16" t="n">
        <v>5.98</v>
      </c>
      <c r="H65" s="16" t="n">
        <v>1</v>
      </c>
      <c r="I65" s="17" t="n">
        <v>69067.8</v>
      </c>
    </row>
    <row r="66">
      <c r="A66" s="11" t="inlineStr">
        <is>
          <t>eap-3_5</t>
        </is>
      </c>
      <c r="B66" s="11" t="inlineStr">
        <is>
          <t>CPU-DIVER-ATI-065</t>
        </is>
      </c>
      <c r="C66" s="11" t="inlineStr">
        <is>
          <t>Cerqueiro</t>
        </is>
      </c>
      <c r="D66" s="15" t="inlineStr">
        <is>
          <t>DIRETO</t>
        </is>
      </c>
      <c r="E66" s="16" t="n">
        <v>3</v>
      </c>
      <c r="F66" s="17" t="n">
        <v>29703.51</v>
      </c>
      <c r="G66" s="16" t="n">
        <v>5.98</v>
      </c>
      <c r="H66" s="16" t="n">
        <v>1</v>
      </c>
      <c r="I66" s="17" t="n">
        <v>177626.99</v>
      </c>
    </row>
    <row r="67">
      <c r="A67" s="11" t="inlineStr">
        <is>
          <t>eap-3_5</t>
        </is>
      </c>
      <c r="B67" s="11" t="inlineStr">
        <is>
          <t>EQ-E0001</t>
        </is>
      </c>
      <c r="C67" s="11" t="inlineStr">
        <is>
          <t>Automóvel (veículo leve) [EQ]</t>
        </is>
      </c>
      <c r="D67" s="72" t="inlineStr">
        <is>
          <t>EQ</t>
        </is>
      </c>
      <c r="E67" s="16" t="n">
        <v>1</v>
      </c>
      <c r="F67" s="17" t="n">
        <v>3872</v>
      </c>
      <c r="G67" s="16" t="n">
        <v>5.98</v>
      </c>
      <c r="H67" s="16" t="n">
        <v>1</v>
      </c>
      <c r="I67" s="17" t="n">
        <v>23154.56</v>
      </c>
    </row>
    <row r="68">
      <c r="A68" s="11" t="inlineStr">
        <is>
          <t>eap-3_5</t>
        </is>
      </c>
      <c r="B68" s="11" t="inlineStr">
        <is>
          <t>EQ-E0001</t>
        </is>
      </c>
      <c r="C68" s="19" t="inlineStr">
        <is>
          <t>Diesel — Automóvel (veículo leve)</t>
        </is>
      </c>
      <c r="D68" s="73" t="inlineStr">
        <is>
          <t>COMB</t>
        </is>
      </c>
      <c r="E68" s="16" t="n">
        <v>1</v>
      </c>
      <c r="F68" s="17" t="n">
        <v>1020.34</v>
      </c>
      <c r="G68" s="16" t="n">
        <v>5.98</v>
      </c>
      <c r="H68" s="16" t="n">
        <v>1</v>
      </c>
      <c r="I68" s="17" t="n">
        <v>6101.63</v>
      </c>
    </row>
    <row r="69">
      <c r="A69" s="20" t="inlineStr">
        <is>
          <t>Subtotal eap-3_5</t>
        </is>
      </c>
      <c r="B69" s="21" t="n"/>
      <c r="C69" s="21" t="n"/>
      <c r="D69" s="21" t="n"/>
      <c r="E69" s="21" t="n"/>
      <c r="F69" s="21" t="n"/>
      <c r="G69" s="21" t="n"/>
      <c r="H69" s="21" t="n"/>
      <c r="I69" s="22" t="n">
        <v>275939.95</v>
      </c>
    </row>
    <row r="70">
      <c r="A70" s="9" t="inlineStr">
        <is>
          <t>eap-3_2 — Cerca arame liso (5 fios) com mourões de concreto, seção quadrada 10 x 10 cm (padrão VALEC) executada em solos alagáveis</t>
        </is>
      </c>
    </row>
    <row r="71">
      <c r="A71" s="13" t="inlineStr">
        <is>
          <t>eap-3_2</t>
        </is>
      </c>
      <c r="B71" s="13" t="inlineStr">
        <is>
          <t>CPU-DIVER-ATI-066</t>
        </is>
      </c>
      <c r="C71" s="13" t="inlineStr">
        <is>
          <t>Encarregado de Terraplenagem</t>
        </is>
      </c>
      <c r="D71" s="24" t="inlineStr">
        <is>
          <t>DIRETO</t>
        </is>
      </c>
      <c r="E71" s="25" t="n">
        <v>1</v>
      </c>
      <c r="F71" s="26" t="n">
        <v>11549.8</v>
      </c>
      <c r="G71" s="25" t="n">
        <v>5.98</v>
      </c>
      <c r="H71" s="25" t="n">
        <v>1</v>
      </c>
      <c r="I71" s="26" t="n">
        <v>69067.8</v>
      </c>
    </row>
    <row r="72">
      <c r="A72" s="13" t="inlineStr">
        <is>
          <t>eap-3_2</t>
        </is>
      </c>
      <c r="B72" s="13" t="inlineStr">
        <is>
          <t>CPU-DIVER-ATI-066</t>
        </is>
      </c>
      <c r="C72" s="13" t="inlineStr">
        <is>
          <t>Cerqueiro</t>
        </is>
      </c>
      <c r="D72" s="24" t="inlineStr">
        <is>
          <t>DIRETO</t>
        </is>
      </c>
      <c r="E72" s="25" t="n">
        <v>3</v>
      </c>
      <c r="F72" s="26" t="n">
        <v>29703.51</v>
      </c>
      <c r="G72" s="25" t="n">
        <v>5.98</v>
      </c>
      <c r="H72" s="25" t="n">
        <v>1</v>
      </c>
      <c r="I72" s="26" t="n">
        <v>177626.99</v>
      </c>
    </row>
    <row r="73">
      <c r="A73" s="13" t="inlineStr">
        <is>
          <t>eap-3_2</t>
        </is>
      </c>
      <c r="B73" s="13" t="inlineStr">
        <is>
          <t>EQ-E0001</t>
        </is>
      </c>
      <c r="C73" s="13" t="inlineStr">
        <is>
          <t>Automóvel (veículo leve) [EQ]</t>
        </is>
      </c>
      <c r="D73" s="74" t="inlineStr">
        <is>
          <t>EQ</t>
        </is>
      </c>
      <c r="E73" s="25" t="n">
        <v>1</v>
      </c>
      <c r="F73" s="26" t="n">
        <v>3872</v>
      </c>
      <c r="G73" s="25" t="n">
        <v>5.98</v>
      </c>
      <c r="H73" s="25" t="n">
        <v>1</v>
      </c>
      <c r="I73" s="26" t="n">
        <v>23154.56</v>
      </c>
    </row>
    <row r="74">
      <c r="A74" s="13" t="inlineStr">
        <is>
          <t>eap-3_2</t>
        </is>
      </c>
      <c r="B74" s="13" t="inlineStr">
        <is>
          <t>EQ-E0001</t>
        </is>
      </c>
      <c r="C74" s="28" t="inlineStr">
        <is>
          <t>Diesel — Automóvel (veículo leve)</t>
        </is>
      </c>
      <c r="D74" s="75" t="inlineStr">
        <is>
          <t>COMB</t>
        </is>
      </c>
      <c r="E74" s="25" t="n">
        <v>1</v>
      </c>
      <c r="F74" s="26" t="n">
        <v>1020.34</v>
      </c>
      <c r="G74" s="25" t="n">
        <v>5.98</v>
      </c>
      <c r="H74" s="25" t="n">
        <v>1</v>
      </c>
      <c r="I74" s="26" t="n">
        <v>6101.63</v>
      </c>
    </row>
    <row r="75">
      <c r="A75" s="20" t="inlineStr">
        <is>
          <t>Subtotal eap-3_2</t>
        </is>
      </c>
      <c r="B75" s="21" t="n"/>
      <c r="C75" s="21" t="n"/>
      <c r="D75" s="21" t="n"/>
      <c r="E75" s="21" t="n"/>
      <c r="F75" s="21" t="n"/>
      <c r="G75" s="21" t="n"/>
      <c r="H75" s="21" t="n"/>
      <c r="I75" s="22" t="n">
        <v>275939.95</v>
      </c>
    </row>
    <row r="76">
      <c r="A76" s="9" t="inlineStr">
        <is>
          <t>eap-2_2 — Fornecimento e Instalação de Porteira de Madeira (padrão VALEC)</t>
        </is>
      </c>
    </row>
    <row r="77">
      <c r="A77" s="11" t="inlineStr">
        <is>
          <t>eap-2_2</t>
        </is>
      </c>
      <c r="B77" s="11" t="inlineStr">
        <is>
          <t>CPU-DIVER-ATI-091</t>
        </is>
      </c>
      <c r="C77" s="11" t="inlineStr">
        <is>
          <t>Oficial</t>
        </is>
      </c>
      <c r="D77" s="15" t="inlineStr">
        <is>
          <t>DIRETO</t>
        </is>
      </c>
      <c r="E77" s="16" t="n">
        <v>1</v>
      </c>
      <c r="F77" s="17" t="n">
        <v>7926.47</v>
      </c>
      <c r="G77" s="16" t="n">
        <v>5.98</v>
      </c>
      <c r="H77" s="16" t="n">
        <v>1</v>
      </c>
      <c r="I77" s="17" t="n">
        <v>47400.29</v>
      </c>
    </row>
    <row r="78">
      <c r="A78" s="11" t="inlineStr">
        <is>
          <t>eap-2_2</t>
        </is>
      </c>
      <c r="B78" s="11" t="inlineStr">
        <is>
          <t>CPU-DIVER-ATI-091</t>
        </is>
      </c>
      <c r="C78" s="11" t="inlineStr">
        <is>
          <t>Ajudante</t>
        </is>
      </c>
      <c r="D78" s="15" t="inlineStr">
        <is>
          <t>DIRETO</t>
        </is>
      </c>
      <c r="E78" s="16" t="n">
        <v>2</v>
      </c>
      <c r="F78" s="17" t="n">
        <v>10523.3</v>
      </c>
      <c r="G78" s="16" t="n">
        <v>5.98</v>
      </c>
      <c r="H78" s="16" t="n">
        <v>1</v>
      </c>
      <c r="I78" s="17" t="n">
        <v>62929.33</v>
      </c>
    </row>
    <row r="79">
      <c r="A79" s="20" t="inlineStr">
        <is>
          <t>Subtotal eap-2_2</t>
        </is>
      </c>
      <c r="B79" s="21" t="n"/>
      <c r="C79" s="21" t="n"/>
      <c r="D79" s="21" t="n"/>
      <c r="E79" s="21" t="n"/>
      <c r="F79" s="21" t="n"/>
      <c r="G79" s="21" t="n"/>
      <c r="H79" s="21" t="n"/>
      <c r="I79" s="22" t="n">
        <v>110325.21</v>
      </c>
    </row>
    <row r="80">
      <c r="A80" s="9" t="inlineStr">
        <is>
          <t>eap-3_4 — Cerca arame liso (5 fios) com mourão de eucalipto e mourão de madeira a cada 2,5 m e esticador a cada 50 m executada em solos compostos por material de 1ª e 2ª categoria</t>
        </is>
      </c>
    </row>
    <row r="81">
      <c r="A81" s="13" t="inlineStr">
        <is>
          <t>eap-3_4</t>
        </is>
      </c>
      <c r="B81" s="13" t="inlineStr">
        <is>
          <t>CPU-DIVER-ATI-065</t>
        </is>
      </c>
      <c r="C81" s="13" t="inlineStr">
        <is>
          <t>Encarregado de Terraplenagem</t>
        </is>
      </c>
      <c r="D81" s="24" t="inlineStr">
        <is>
          <t>DIRETO</t>
        </is>
      </c>
      <c r="E81" s="25" t="n">
        <v>1</v>
      </c>
      <c r="F81" s="26" t="n">
        <v>11549.8</v>
      </c>
      <c r="G81" s="25" t="n">
        <v>5.98</v>
      </c>
      <c r="H81" s="25" t="n">
        <v>1</v>
      </c>
      <c r="I81" s="26" t="n">
        <v>69067.8</v>
      </c>
    </row>
    <row r="82">
      <c r="A82" s="13" t="inlineStr">
        <is>
          <t>eap-3_4</t>
        </is>
      </c>
      <c r="B82" s="13" t="inlineStr">
        <is>
          <t>CPU-DIVER-ATI-065</t>
        </is>
      </c>
      <c r="C82" s="13" t="inlineStr">
        <is>
          <t>Cerqueiro</t>
        </is>
      </c>
      <c r="D82" s="24" t="inlineStr">
        <is>
          <t>DIRETO</t>
        </is>
      </c>
      <c r="E82" s="25" t="n">
        <v>3</v>
      </c>
      <c r="F82" s="26" t="n">
        <v>29703.51</v>
      </c>
      <c r="G82" s="25" t="n">
        <v>5.98</v>
      </c>
      <c r="H82" s="25" t="n">
        <v>1</v>
      </c>
      <c r="I82" s="26" t="n">
        <v>177626.99</v>
      </c>
    </row>
    <row r="83">
      <c r="A83" s="13" t="inlineStr">
        <is>
          <t>eap-3_4</t>
        </is>
      </c>
      <c r="B83" s="13" t="inlineStr">
        <is>
          <t>EQ-E0001</t>
        </is>
      </c>
      <c r="C83" s="13" t="inlineStr">
        <is>
          <t>Automóvel (veículo leve) [EQ]</t>
        </is>
      </c>
      <c r="D83" s="74" t="inlineStr">
        <is>
          <t>EQ</t>
        </is>
      </c>
      <c r="E83" s="25" t="n">
        <v>1</v>
      </c>
      <c r="F83" s="26" t="n">
        <v>3872</v>
      </c>
      <c r="G83" s="25" t="n">
        <v>5.98</v>
      </c>
      <c r="H83" s="25" t="n">
        <v>1</v>
      </c>
      <c r="I83" s="26" t="n">
        <v>23154.56</v>
      </c>
    </row>
    <row r="84">
      <c r="A84" s="13" t="inlineStr">
        <is>
          <t>eap-3_4</t>
        </is>
      </c>
      <c r="B84" s="13" t="inlineStr">
        <is>
          <t>EQ-E0001</t>
        </is>
      </c>
      <c r="C84" s="28" t="inlineStr">
        <is>
          <t>Diesel — Automóvel (veículo leve)</t>
        </is>
      </c>
      <c r="D84" s="75" t="inlineStr">
        <is>
          <t>COMB</t>
        </is>
      </c>
      <c r="E84" s="25" t="n">
        <v>1</v>
      </c>
      <c r="F84" s="26" t="n">
        <v>1020.34</v>
      </c>
      <c r="G84" s="25" t="n">
        <v>5.98</v>
      </c>
      <c r="H84" s="25" t="n">
        <v>1</v>
      </c>
      <c r="I84" s="26" t="n">
        <v>6101.63</v>
      </c>
    </row>
    <row r="85">
      <c r="A85" s="20" t="inlineStr">
        <is>
          <t>Subtotal eap-3_4</t>
        </is>
      </c>
      <c r="B85" s="21" t="n"/>
      <c r="C85" s="21" t="n"/>
      <c r="D85" s="21" t="n"/>
      <c r="E85" s="21" t="n"/>
      <c r="F85" s="21" t="n"/>
      <c r="G85" s="21" t="n"/>
      <c r="H85" s="21" t="n"/>
      <c r="I85" s="22" t="n">
        <v>275939.95</v>
      </c>
    </row>
    <row r="87">
      <c r="A87" s="29" t="inlineStr">
        <is>
          <t>TOTAL EQUIPES DIRETAS</t>
        </is>
      </c>
      <c r="I87" s="30">
        <f>I8+I16+I24+I30+I36+I42+I48+I54+I58+I63+I69+I75+I79+I85</f>
        <v/>
      </c>
    </row>
  </sheetData>
  <mergeCells count="16">
    <mergeCell ref="A64:I64"/>
    <mergeCell ref="A59:I59"/>
    <mergeCell ref="A25:I25"/>
    <mergeCell ref="A43:I43"/>
    <mergeCell ref="A49:I49"/>
    <mergeCell ref="A87:H87"/>
    <mergeCell ref="A37:I37"/>
    <mergeCell ref="A76:I76"/>
    <mergeCell ref="A1:I1"/>
    <mergeCell ref="A17:I17"/>
    <mergeCell ref="A9:I9"/>
    <mergeCell ref="A70:I70"/>
    <mergeCell ref="A31:I31"/>
    <mergeCell ref="A3:I3"/>
    <mergeCell ref="A80:I80"/>
    <mergeCell ref="A55:I5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18" customWidth="1" min="4" max="4"/>
    <col width="16" customWidth="1" min="5" max="5"/>
    <col width="12" customWidth="1" min="6" max="6"/>
  </cols>
  <sheetData>
    <row r="1">
      <c r="A1" s="1" t="inlineStr">
        <is>
          <t>PONTO DE EQUILÍBRIO — CUSTO FIXO vs PREÇO DE VENDA (CPU)</t>
        </is>
      </c>
    </row>
    <row r="2">
      <c r="A2" s="2" t="inlineStr">
        <is>
          <t>Item ID</t>
        </is>
      </c>
      <c r="B2" s="2" t="inlineStr">
        <is>
          <t>CPU ID</t>
        </is>
      </c>
      <c r="C2" s="2" t="inlineStr">
        <is>
          <t>Custo Fixo Equipe (R$)</t>
        </is>
      </c>
      <c r="D2" s="2" t="inlineStr">
        <is>
          <t>Preço Venda CPU (R$)</t>
        </is>
      </c>
      <c r="E2" s="2" t="inlineStr">
        <is>
          <t>Delta (R$)</t>
        </is>
      </c>
      <c r="F2" s="2" t="inlineStr">
        <is>
          <t>Status</t>
        </is>
      </c>
    </row>
    <row r="3">
      <c r="A3" s="11" t="inlineStr">
        <is>
          <t>eap-3_1</t>
        </is>
      </c>
      <c r="B3" s="11" t="inlineStr">
        <is>
          <t>CPU-DIVER-ATI-066</t>
        </is>
      </c>
      <c r="C3" s="17" t="n">
        <v>275950.99</v>
      </c>
      <c r="D3" s="17" t="n">
        <v>371141.66</v>
      </c>
      <c r="E3" s="76" t="n">
        <v>95190.67</v>
      </c>
      <c r="F3" s="15" t="inlineStr">
        <is>
          <t>OK</t>
        </is>
      </c>
    </row>
    <row r="4">
      <c r="A4" s="13" t="inlineStr">
        <is>
          <t>eap-1_2</t>
        </is>
      </c>
      <c r="B4" s="13" t="inlineStr">
        <is>
          <t>CPU-TERRA-ATI-003</t>
        </is>
      </c>
      <c r="C4" s="26" t="n">
        <v>894662.3</v>
      </c>
      <c r="D4" s="26" t="n">
        <v>1950500.6</v>
      </c>
      <c r="E4" s="77" t="n">
        <v>1055838.3</v>
      </c>
      <c r="F4" s="24" t="inlineStr">
        <is>
          <t>OK</t>
        </is>
      </c>
    </row>
    <row r="5">
      <c r="A5" s="11" t="inlineStr">
        <is>
          <t>eap-1_1</t>
        </is>
      </c>
      <c r="B5" s="11" t="inlineStr">
        <is>
          <t>CPU-TERRA-ATI-003</t>
        </is>
      </c>
      <c r="C5" s="17" t="n">
        <v>894662.3</v>
      </c>
      <c r="D5" s="17" t="n">
        <v>1344025.1</v>
      </c>
      <c r="E5" s="76" t="n">
        <v>449362.8</v>
      </c>
      <c r="F5" s="15" t="inlineStr">
        <is>
          <t>OK</t>
        </is>
      </c>
    </row>
    <row r="6">
      <c r="A6" s="13" t="inlineStr">
        <is>
          <t>eap-1_3</t>
        </is>
      </c>
      <c r="B6" s="13" t="inlineStr">
        <is>
          <t>CPU-TERRA-ATI-001</t>
        </is>
      </c>
      <c r="C6" s="26" t="n">
        <v>283759.67</v>
      </c>
      <c r="D6" s="26" t="n">
        <v>409062.04</v>
      </c>
      <c r="E6" s="77" t="n">
        <v>125302.37</v>
      </c>
      <c r="F6" s="24" t="inlineStr">
        <is>
          <t>OK</t>
        </is>
      </c>
    </row>
    <row r="7">
      <c r="A7" s="11" t="inlineStr">
        <is>
          <t>eap-2_1</t>
        </is>
      </c>
      <c r="B7" s="11" t="inlineStr">
        <is>
          <t>CPU-DIVER-ATI-090</t>
        </is>
      </c>
      <c r="C7" s="17" t="n">
        <v>427724.46</v>
      </c>
      <c r="D7" s="17" t="n">
        <v>575270.16</v>
      </c>
      <c r="E7" s="76" t="n">
        <v>147545.7</v>
      </c>
      <c r="F7" s="15" t="inlineStr">
        <is>
          <t>OK</t>
        </is>
      </c>
    </row>
    <row r="8">
      <c r="A8" s="13" t="inlineStr">
        <is>
          <t>eap-3_3</t>
        </is>
      </c>
      <c r="B8" s="13" t="inlineStr">
        <is>
          <t>CPU-DIVER-ATI-065</t>
        </is>
      </c>
      <c r="C8" s="26" t="n">
        <v>275950.99</v>
      </c>
      <c r="D8" s="26" t="n">
        <v>371141.66</v>
      </c>
      <c r="E8" s="77" t="n">
        <v>95190.67</v>
      </c>
      <c r="F8" s="24" t="inlineStr">
        <is>
          <t>OK</t>
        </is>
      </c>
    </row>
    <row r="9">
      <c r="A9" s="11" t="inlineStr">
        <is>
          <t>eap-3_6</t>
        </is>
      </c>
      <c r="B9" s="11" t="inlineStr">
        <is>
          <t>CPU-DIVER-ATI-067</t>
        </is>
      </c>
      <c r="C9" s="17" t="n">
        <v>161253.33</v>
      </c>
      <c r="D9" s="17" t="n">
        <v>216878.47</v>
      </c>
      <c r="E9" s="76" t="n">
        <v>55625.14</v>
      </c>
      <c r="F9" s="15" t="inlineStr">
        <is>
          <t>OK</t>
        </is>
      </c>
    </row>
    <row r="10">
      <c r="A10" s="13" t="inlineStr">
        <is>
          <t>eap-5_1</t>
        </is>
      </c>
      <c r="B10" s="13" t="inlineStr">
        <is>
          <t>CPU-DIVER-ATI-065</t>
        </is>
      </c>
      <c r="C10" s="26" t="n">
        <v>275950.99</v>
      </c>
      <c r="D10" s="26" t="n">
        <v>371141.66</v>
      </c>
      <c r="E10" s="77" t="n">
        <v>95190.67</v>
      </c>
      <c r="F10" s="24" t="inlineStr">
        <is>
          <t>OK</t>
        </is>
      </c>
    </row>
    <row r="11">
      <c r="A11" s="11" t="inlineStr">
        <is>
          <t>eap-2_3</t>
        </is>
      </c>
      <c r="B11" s="11" t="inlineStr">
        <is>
          <t>CPU-DIVER-ATI-091</t>
        </is>
      </c>
      <c r="C11" s="17" t="n">
        <v>110329.62</v>
      </c>
      <c r="D11" s="17" t="n">
        <v>148388.38</v>
      </c>
      <c r="E11" s="76" t="n">
        <v>38058.76</v>
      </c>
      <c r="F11" s="15" t="inlineStr">
        <is>
          <t>OK</t>
        </is>
      </c>
    </row>
    <row r="12">
      <c r="A12" s="13" t="inlineStr">
        <is>
          <t>eap-4_1</t>
        </is>
      </c>
      <c r="B12" s="13" t="inlineStr">
        <is>
          <t>CPU-TERRA-ATI-005</t>
        </is>
      </c>
      <c r="C12" s="26" t="n">
        <v>191722.63</v>
      </c>
      <c r="D12" s="26" t="n">
        <v>257858.31</v>
      </c>
      <c r="E12" s="77" t="n">
        <v>66135.67999999999</v>
      </c>
      <c r="F12" s="24" t="inlineStr">
        <is>
          <t>OK</t>
        </is>
      </c>
    </row>
    <row r="13">
      <c r="A13" s="11" t="inlineStr">
        <is>
          <t>eap-3_5</t>
        </is>
      </c>
      <c r="B13" s="11" t="inlineStr">
        <is>
          <t>CPU-DIVER-ATI-065</t>
        </is>
      </c>
      <c r="C13" s="17" t="n">
        <v>275950.99</v>
      </c>
      <c r="D13" s="17" t="n">
        <v>371141.66</v>
      </c>
      <c r="E13" s="76" t="n">
        <v>95190.67</v>
      </c>
      <c r="F13" s="15" t="inlineStr">
        <is>
          <t>OK</t>
        </is>
      </c>
    </row>
    <row r="14">
      <c r="A14" s="13" t="inlineStr">
        <is>
          <t>eap-3_2</t>
        </is>
      </c>
      <c r="B14" s="13" t="inlineStr">
        <is>
          <t>CPU-DIVER-ATI-066</t>
        </is>
      </c>
      <c r="C14" s="26" t="n">
        <v>275950.99</v>
      </c>
      <c r="D14" s="26" t="n">
        <v>371141.66</v>
      </c>
      <c r="E14" s="77" t="n">
        <v>95190.67</v>
      </c>
      <c r="F14" s="24" t="inlineStr">
        <is>
          <t>OK</t>
        </is>
      </c>
    </row>
    <row r="15">
      <c r="A15" s="11" t="inlineStr">
        <is>
          <t>eap-2_2</t>
        </is>
      </c>
      <c r="B15" s="11" t="inlineStr">
        <is>
          <t>CPU-DIVER-ATI-091</t>
        </is>
      </c>
      <c r="C15" s="17" t="n">
        <v>110329.62</v>
      </c>
      <c r="D15" s="17" t="n">
        <v>148388.38</v>
      </c>
      <c r="E15" s="76" t="n">
        <v>38058.76</v>
      </c>
      <c r="F15" s="15" t="inlineStr">
        <is>
          <t>OK</t>
        </is>
      </c>
    </row>
    <row r="16">
      <c r="A16" s="13" t="inlineStr">
        <is>
          <t>eap-3_4</t>
        </is>
      </c>
      <c r="B16" s="13" t="inlineStr">
        <is>
          <t>CPU-DIVER-ATI-065</t>
        </is>
      </c>
      <c r="C16" s="26" t="n">
        <v>275950.99</v>
      </c>
      <c r="D16" s="26" t="n">
        <v>371141.66</v>
      </c>
      <c r="E16" s="77" t="n">
        <v>95190.67</v>
      </c>
      <c r="F16" s="24" t="inlineStr">
        <is>
          <t>OK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0" customWidth="1" min="3" max="3"/>
  </cols>
  <sheetData>
    <row r="1">
      <c r="A1" s="1" t="inlineStr">
        <is>
          <t>RESULTADO FINANCEIRO — MENDESLOBO CONSTRUTORA</t>
        </is>
      </c>
    </row>
    <row r="3">
      <c r="A3" s="9" t="inlineStr">
        <is>
          <t>PROJETO</t>
        </is>
      </c>
    </row>
    <row r="4">
      <c r="A4" s="11" t="inlineStr">
        <is>
          <t>Nome</t>
        </is>
      </c>
      <c r="B4" s="11" t="inlineStr">
        <is>
          <t>LUNDIN</t>
        </is>
      </c>
      <c r="C4" s="12" t="n"/>
    </row>
    <row r="5">
      <c r="A5" s="13" t="inlineStr">
        <is>
          <t>Tipo de obra</t>
        </is>
      </c>
      <c r="B5" s="13" t="inlineStr">
        <is>
          <t>terraplenagem</t>
        </is>
      </c>
      <c r="C5" s="14" t="n"/>
    </row>
    <row r="6">
      <c r="A6" s="11" t="inlineStr">
        <is>
          <t>Localização</t>
        </is>
      </c>
      <c r="B6" s="11" t="inlineStr">
        <is>
          <t>Brasil</t>
        </is>
      </c>
      <c r="C6" s="12" t="n"/>
    </row>
    <row r="7">
      <c r="A7" s="13" t="inlineStr">
        <is>
          <t>Período</t>
        </is>
      </c>
      <c r="B7" s="13" t="inlineStr">
        <is>
          <t>2025-01-01 -&gt; 2025-06-30</t>
        </is>
      </c>
      <c r="C7" s="14" t="n"/>
    </row>
    <row r="8">
      <c r="A8" s="11" t="inlineStr">
        <is>
          <t>Regime</t>
        </is>
      </c>
      <c r="B8" s="11" t="inlineStr">
        <is>
          <t>6 dias/sem · 8 h/dia</t>
        </is>
      </c>
      <c r="C8" s="12" t="n"/>
    </row>
    <row r="10">
      <c r="A10" s="9" t="inlineStr">
        <is>
          <t>RECEITA CONTRATUAL (COM BDI)</t>
        </is>
      </c>
    </row>
    <row r="11">
      <c r="A11" s="13" t="inlineStr">
        <is>
          <t>Preço de venda s/ BDI</t>
        </is>
      </c>
      <c r="B11" s="26">
        <f>PLANEJAMENTO!$I$18</f>
        <v/>
      </c>
      <c r="C11" s="14" t="n"/>
    </row>
    <row r="12">
      <c r="A12" s="78" t="inlineStr">
        <is>
          <t>Preço de venda c/ BDI</t>
        </is>
      </c>
      <c r="B12" s="79">
        <f>PLANEJAMENTO!$N$18</f>
        <v/>
      </c>
      <c r="C12" s="12" t="n"/>
    </row>
    <row r="14">
      <c r="A14" s="9" t="inlineStr">
        <is>
          <t>CUSTOS</t>
        </is>
      </c>
    </row>
    <row r="15">
      <c r="A15" s="13" t="inlineStr">
        <is>
          <t>Custo direto (equipes)</t>
        </is>
      </c>
      <c r="B15" s="26">
        <f>'DIRETOS.DET'!$I$87</f>
        <v/>
      </c>
      <c r="C15" s="14" t="n"/>
    </row>
    <row r="16">
      <c r="A16" s="11" t="inlineStr">
        <is>
          <t xml:space="preserve">  ADM</t>
        </is>
      </c>
      <c r="B16" s="17">
        <f>'INDIRETOS.DET'!$H$5</f>
        <v/>
      </c>
      <c r="C16" s="12" t="n"/>
    </row>
    <row r="17">
      <c r="A17" s="13" t="inlineStr">
        <is>
          <t xml:space="preserve">  TOP</t>
        </is>
      </c>
      <c r="B17" s="26">
        <f>'INDIRETOS.DET'!$H$8</f>
        <v/>
      </c>
      <c r="C17" s="14" t="n"/>
    </row>
    <row r="18">
      <c r="A18" s="11" t="inlineStr">
        <is>
          <t xml:space="preserve">  LAB</t>
        </is>
      </c>
      <c r="B18" s="17">
        <f>'INDIRETOS.DET'!$H$11</f>
        <v/>
      </c>
      <c r="C18" s="12" t="n"/>
    </row>
    <row r="19">
      <c r="A19" s="13" t="inlineStr">
        <is>
          <t xml:space="preserve">  QSMS</t>
        </is>
      </c>
      <c r="B19" s="26">
        <f>'INDIRETOS.DET'!$H$14</f>
        <v/>
      </c>
      <c r="C19" s="14" t="n"/>
    </row>
    <row r="20">
      <c r="A20" s="11" t="inlineStr">
        <is>
          <t xml:space="preserve">  MOB</t>
        </is>
      </c>
      <c r="B20" s="17">
        <f>'INDIRETOS.DET'!$H$17</f>
        <v/>
      </c>
      <c r="C20" s="12" t="n"/>
    </row>
    <row r="21">
      <c r="A21" s="13" t="inlineStr">
        <is>
          <t>Custo indireto (subtotal)</t>
        </is>
      </c>
      <c r="B21" s="26">
        <f>'INDIRETOS.DET'!$H$19</f>
        <v/>
      </c>
      <c r="C21" s="14" t="n"/>
    </row>
    <row r="22">
      <c r="A22" s="78" t="inlineStr">
        <is>
          <t>CUSTO TOTAL</t>
        </is>
      </c>
      <c r="B22" s="79">
        <f>B15+B21</f>
        <v/>
      </c>
      <c r="C22" s="12" t="n"/>
    </row>
    <row r="24">
      <c r="A24" s="9" t="inlineStr">
        <is>
          <t>RESULTADO</t>
        </is>
      </c>
    </row>
    <row r="25">
      <c r="A25" s="80" t="inlineStr">
        <is>
          <t>Resultado bruto (R$)</t>
        </is>
      </c>
      <c r="B25" s="81">
        <f>B12-B22</f>
        <v/>
      </c>
      <c r="C25" s="14" t="n"/>
    </row>
    <row r="26">
      <c r="A26" s="78" t="inlineStr">
        <is>
          <t>Margem bruta (%)</t>
        </is>
      </c>
      <c r="B26" s="82">
        <f>IF(B12&gt;0, B25/B12, 0)</f>
        <v/>
      </c>
      <c r="C26" s="12" t="n"/>
    </row>
    <row r="28">
      <c r="A28" s="83" t="inlineStr">
        <is>
          <t>STATUS: VERMELHO</t>
        </is>
      </c>
    </row>
    <row r="30">
      <c r="A30" s="9" t="inlineStr">
        <is>
          <t>COMPOSIÇÃO DE CUSTO</t>
        </is>
      </c>
    </row>
    <row r="31">
      <c r="A31" s="13" t="inlineStr">
        <is>
          <t>Total Direto (catálogo s/BDI)</t>
        </is>
      </c>
      <c r="B31" s="26">
        <f>PLANEJAMENTO!$I$18</f>
        <v/>
      </c>
      <c r="C31" s="14" t="n"/>
    </row>
    <row r="32">
      <c r="A32" s="11" t="inlineStr">
        <is>
          <t>Total Direto (c/BDI)</t>
        </is>
      </c>
      <c r="B32" s="17">
        <f>PLANEJAMENTO!$N$18</f>
        <v/>
      </c>
      <c r="C32" s="12" t="n"/>
    </row>
    <row r="33">
      <c r="A33" s="13" t="inlineStr">
        <is>
          <t>RAZÃO CI / CD (%)</t>
        </is>
      </c>
      <c r="B33" s="84" t="n">
        <v>258.97</v>
      </c>
      <c r="C33" s="14" t="n"/>
    </row>
    <row r="34">
      <c r="A34" s="11" t="inlineStr">
        <is>
          <t>CI / PVT (%)</t>
        </is>
      </c>
      <c r="B34" s="85" t="n">
        <v>195.48</v>
      </c>
      <c r="C34" s="12" t="n"/>
    </row>
    <row r="36">
      <c r="A36" s="9" t="inlineStr">
        <is>
          <t>CAPITAL DE GIRO</t>
        </is>
      </c>
    </row>
    <row r="37">
      <c r="A37" s="13" t="inlineStr">
        <is>
          <t>Exposição máxima</t>
        </is>
      </c>
      <c r="B37" s="86" t="n">
        <v>19631789.48722793</v>
      </c>
      <c r="C37" s="14" t="n"/>
    </row>
    <row r="38">
      <c r="A38" s="11" t="inlineStr">
        <is>
          <t>Parcela mensal (meses 2 a n)</t>
        </is>
      </c>
      <c r="B38" s="17" t="n">
        <v>1039603</v>
      </c>
      <c r="C38" s="12" t="n"/>
    </row>
    <row r="39">
      <c r="A39" s="13" t="inlineStr">
        <is>
          <t>Resíduo (mês n+1)</t>
        </is>
      </c>
      <c r="B39" s="26" t="n">
        <v>1039603.4</v>
      </c>
      <c r="C39" s="14" t="n"/>
    </row>
    <row r="40">
      <c r="A40" s="11" t="inlineStr">
        <is>
          <t>Duração da execução (meses)</t>
        </is>
      </c>
      <c r="B40" s="11" t="n">
        <v>7</v>
      </c>
      <c r="C40" s="12" t="n"/>
    </row>
  </sheetData>
  <mergeCells count="8">
    <mergeCell ref="A10:C10"/>
    <mergeCell ref="A28:C28"/>
    <mergeCell ref="A36:C36"/>
    <mergeCell ref="A1:C1"/>
    <mergeCell ref="A14:C14"/>
    <mergeCell ref="A3:C3"/>
    <mergeCell ref="A30:C30"/>
    <mergeCell ref="A24:C2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FLUXO DE CAIXA — ACOMPANHAMENTO MENSAL</t>
        </is>
      </c>
    </row>
    <row r="2">
      <c r="A2" s="2" t="inlineStr">
        <is>
          <t>Mês</t>
        </is>
      </c>
      <c r="B2" s="2" t="inlineStr">
        <is>
          <t>Despesa (R$)</t>
        </is>
      </c>
      <c r="C2" s="2" t="inlineStr">
        <is>
          <t>Receita (R$)</t>
        </is>
      </c>
      <c r="D2" s="2" t="inlineStr">
        <is>
          <t>Rec. Acumulada (R$)</t>
        </is>
      </c>
      <c r="E2" s="2" t="inlineStr">
        <is>
          <t>Saldo do Mês (R$)</t>
        </is>
      </c>
      <c r="F2" s="2" t="inlineStr">
        <is>
          <t>Saldo Atual (R$)</t>
        </is>
      </c>
      <c r="G2" s="2" t="inlineStr">
        <is>
          <t>Exposição Acum. (R$)</t>
        </is>
      </c>
    </row>
    <row r="3">
      <c r="A3" s="18" t="inlineStr">
        <is>
          <t>Dez/24</t>
        </is>
      </c>
      <c r="B3" s="17" t="n">
        <v>2818717.94</v>
      </c>
      <c r="C3" s="17" t="n">
        <v>0</v>
      </c>
      <c r="D3" s="17" t="n">
        <v>0</v>
      </c>
      <c r="E3" s="87" t="n">
        <v>-2818717.94</v>
      </c>
      <c r="F3" s="87" t="n">
        <v>-2818717.94</v>
      </c>
      <c r="G3" s="87" t="n">
        <v>2818717.94</v>
      </c>
    </row>
    <row r="4">
      <c r="A4" s="27" t="inlineStr">
        <is>
          <t>Jan/25</t>
        </is>
      </c>
      <c r="B4" s="26" t="n">
        <v>4162282.92</v>
      </c>
      <c r="C4" s="26" t="n">
        <v>1039603</v>
      </c>
      <c r="D4" s="26" t="n">
        <v>1039603</v>
      </c>
      <c r="E4" s="87" t="n">
        <v>-3122679.92</v>
      </c>
      <c r="F4" s="87" t="n">
        <v>-5941397.86</v>
      </c>
      <c r="G4" s="87" t="n">
        <v>5941397.86</v>
      </c>
    </row>
    <row r="5">
      <c r="A5" s="18" t="inlineStr">
        <is>
          <t>Fev/25</t>
        </is>
      </c>
      <c r="B5" s="17" t="n">
        <v>4162282.92</v>
      </c>
      <c r="C5" s="17" t="n">
        <v>1039603</v>
      </c>
      <c r="D5" s="17" t="n">
        <v>2079206</v>
      </c>
      <c r="E5" s="87" t="n">
        <v>-3122679.92</v>
      </c>
      <c r="F5" s="87" t="n">
        <v>-9064077.779999999</v>
      </c>
      <c r="G5" s="87" t="n">
        <v>9064077.779999999</v>
      </c>
    </row>
    <row r="6">
      <c r="A6" s="27" t="inlineStr">
        <is>
          <t>Mar/25</t>
        </is>
      </c>
      <c r="B6" s="26" t="n">
        <v>4610137.91</v>
      </c>
      <c r="C6" s="26" t="n">
        <v>1039603</v>
      </c>
      <c r="D6" s="26" t="n">
        <v>3118809</v>
      </c>
      <c r="E6" s="87" t="n">
        <v>-3570534.91</v>
      </c>
      <c r="F6" s="87" t="n">
        <v>-12634612.69</v>
      </c>
      <c r="G6" s="87" t="n">
        <v>12634612.69</v>
      </c>
    </row>
    <row r="7">
      <c r="A7" s="18" t="inlineStr">
        <is>
          <t>Abr/25</t>
        </is>
      </c>
      <c r="B7" s="17" t="n">
        <v>4162282.92</v>
      </c>
      <c r="C7" s="17" t="n">
        <v>1039603</v>
      </c>
      <c r="D7" s="17" t="n">
        <v>4158412</v>
      </c>
      <c r="E7" s="87" t="n">
        <v>-3122679.92</v>
      </c>
      <c r="F7" s="87" t="n">
        <v>-15757292.61</v>
      </c>
      <c r="G7" s="87" t="n">
        <v>15757292.61</v>
      </c>
    </row>
    <row r="8">
      <c r="A8" s="27" t="inlineStr">
        <is>
          <t>Mai/25</t>
        </is>
      </c>
      <c r="B8" s="26" t="n">
        <v>4162282.92</v>
      </c>
      <c r="C8" s="26" t="n">
        <v>1039603</v>
      </c>
      <c r="D8" s="26" t="n">
        <v>5198015</v>
      </c>
      <c r="E8" s="87" t="n">
        <v>-3122679.92</v>
      </c>
      <c r="F8" s="87" t="n">
        <v>-18879972.52</v>
      </c>
      <c r="G8" s="87" t="n">
        <v>18879972.52</v>
      </c>
    </row>
    <row r="9">
      <c r="A9" s="18" t="inlineStr">
        <is>
          <t>Jun/25</t>
        </is>
      </c>
      <c r="B9" s="17" t="n">
        <v>1791419.96</v>
      </c>
      <c r="C9" s="17" t="n">
        <v>1039603</v>
      </c>
      <c r="D9" s="17" t="n">
        <v>6237618</v>
      </c>
      <c r="E9" s="87" t="n">
        <v>-751816.96</v>
      </c>
      <c r="F9" s="87" t="n">
        <v>-19631789.49</v>
      </c>
      <c r="G9" s="87" t="n">
        <v>19631789.49</v>
      </c>
    </row>
    <row r="10">
      <c r="A10" s="27" t="inlineStr">
        <is>
          <t>Jul/25</t>
        </is>
      </c>
      <c r="B10" s="26" t="n">
        <v>0</v>
      </c>
      <c r="C10" s="26" t="n">
        <v>1039603.4</v>
      </c>
      <c r="D10" s="26" t="n">
        <v>7277221.4</v>
      </c>
      <c r="E10" s="88" t="n">
        <v>1039603.4</v>
      </c>
      <c r="F10" s="87" t="n">
        <v>-18592186.09</v>
      </c>
      <c r="G10" s="87" t="n">
        <v>18592186.09</v>
      </c>
    </row>
    <row r="12">
      <c r="A12" s="89" t="inlineStr">
        <is>
          <t>TOTAL</t>
        </is>
      </c>
      <c r="B12" s="30" t="n">
        <v>25869407.49</v>
      </c>
      <c r="C12" s="30" t="n">
        <v>7277221.4</v>
      </c>
      <c r="D12" s="30" t="n">
        <v>7277221.4</v>
      </c>
      <c r="E12" s="90" t="n">
        <v>-18592186.09</v>
      </c>
      <c r="F12" s="90" t="n">
        <v>-18592186.09</v>
      </c>
      <c r="G12" s="37" t="n"/>
    </row>
    <row r="15">
      <c r="A15" s="9" t="inlineStr">
        <is>
          <t>MÉTRICAS DO FLUXO DE CAIXA</t>
        </is>
      </c>
    </row>
    <row r="16">
      <c r="A16" s="38" t="inlineStr">
        <is>
          <t>Duração da execução (meses)</t>
        </is>
      </c>
      <c r="B16" s="39" t="n"/>
      <c r="C16" s="91" t="n">
        <v>7</v>
      </c>
      <c r="D16" s="41" t="n"/>
      <c r="E16" s="41" t="n"/>
      <c r="F16" s="41" t="n"/>
      <c r="G16" s="39" t="n"/>
    </row>
    <row r="17">
      <c r="A17" s="38" t="inlineStr">
        <is>
          <t>Parcela mensal (meses 2 a n)</t>
        </is>
      </c>
      <c r="B17" s="39" t="n"/>
      <c r="C17" s="91" t="n">
        <v>1039603</v>
      </c>
      <c r="D17" s="41" t="n"/>
      <c r="E17" s="41" t="n"/>
      <c r="F17" s="41" t="n"/>
      <c r="G17" s="39" t="n"/>
    </row>
    <row r="18">
      <c r="A18" s="38" t="inlineStr">
        <is>
          <t>Resíduo (mês n+1)</t>
        </is>
      </c>
      <c r="B18" s="39" t="n"/>
      <c r="C18" s="92" t="n">
        <v>1039603.4</v>
      </c>
      <c r="D18" s="41" t="n"/>
      <c r="E18" s="41" t="n"/>
      <c r="F18" s="41" t="n"/>
      <c r="G18" s="39" t="n"/>
    </row>
    <row r="19">
      <c r="A19" s="38" t="inlineStr">
        <is>
          <t>Exposição máxima</t>
        </is>
      </c>
      <c r="B19" s="39" t="n"/>
      <c r="C19" s="93" t="n">
        <v>19631789.48722793</v>
      </c>
      <c r="D19" s="41" t="n"/>
      <c r="E19" s="41" t="n"/>
      <c r="F19" s="41" t="n"/>
      <c r="G19" s="39" t="n"/>
    </row>
    <row r="20">
      <c r="A20" s="38" t="inlineStr">
        <is>
          <t>Mês da exposição máxima</t>
        </is>
      </c>
      <c r="B20" s="39" t="n"/>
      <c r="C20" s="91" t="inlineStr">
        <is>
          <t>Jun/25</t>
        </is>
      </c>
      <c r="D20" s="41" t="n"/>
      <c r="E20" s="41" t="n"/>
      <c r="F20" s="41" t="n"/>
      <c r="G20" s="39" t="n"/>
    </row>
    <row r="21">
      <c r="A21" s="38" t="inlineStr">
        <is>
          <t>Saldo final do projeto</t>
        </is>
      </c>
      <c r="B21" s="39" t="n"/>
      <c r="C21" s="93" t="n">
        <v>-18592186.08722793</v>
      </c>
      <c r="D21" s="41" t="n"/>
      <c r="E21" s="41" t="n"/>
      <c r="F21" s="41" t="n"/>
      <c r="G21" s="39" t="n"/>
    </row>
    <row r="23" ht="36" customHeight="1">
      <c r="A23" s="94" t="inlineStr">
        <is>
          <t>Mês 1: receita = 0.  Meses 2..n: ⌊M/n⌋ cada.  Mês n+1: resíduo M − ⌊M/n⌋×(n−1).  Saldo Atual = Rec. Acumulada − Desp. Acumulada.  Exposição Acum. = −Saldo Atual (positivo = empresa precisa de capital de giro).</t>
        </is>
      </c>
    </row>
  </sheetData>
  <mergeCells count="15">
    <mergeCell ref="A20:B20"/>
    <mergeCell ref="A21:B21"/>
    <mergeCell ref="A16:B16"/>
    <mergeCell ref="A1:G1"/>
    <mergeCell ref="C20:G20"/>
    <mergeCell ref="C21:G21"/>
    <mergeCell ref="C16:G16"/>
    <mergeCell ref="A19:B19"/>
    <mergeCell ref="C19:G19"/>
    <mergeCell ref="A15:G15"/>
    <mergeCell ref="A17:B17"/>
    <mergeCell ref="A18:B18"/>
    <mergeCell ref="C18:G18"/>
    <mergeCell ref="C17:G17"/>
    <mergeCell ref="A23:G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pane xSplit="3" ySplit="2" topLeftCell="D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2" customWidth="1" min="2" max="2"/>
    <col width="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</cols>
  <sheetData>
    <row r="1">
      <c r="A1" s="1" t="inlineStr">
        <is>
          <t>HISTOGRAMA DE EQUIPAMENTOS — DEMANDA SEMANAL (UN.)</t>
        </is>
      </c>
    </row>
    <row r="2">
      <c r="A2" s="2" t="inlineStr">
        <is>
          <t>Equip.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30/Dez</t>
        </is>
      </c>
      <c r="E2" s="2" t="inlineStr">
        <is>
          <t>06/Jan</t>
        </is>
      </c>
      <c r="F2" s="2" t="inlineStr">
        <is>
          <t>13/Jan</t>
        </is>
      </c>
      <c r="G2" s="2" t="inlineStr">
        <is>
          <t>20/Jan</t>
        </is>
      </c>
      <c r="H2" s="2" t="inlineStr">
        <is>
          <t>27/Jan</t>
        </is>
      </c>
      <c r="I2" s="2" t="inlineStr">
        <is>
          <t>03/Fev</t>
        </is>
      </c>
      <c r="J2" s="2" t="inlineStr">
        <is>
          <t>10/Fev</t>
        </is>
      </c>
      <c r="K2" s="2" t="inlineStr">
        <is>
          <t>17/Fev</t>
        </is>
      </c>
      <c r="L2" s="2" t="inlineStr">
        <is>
          <t>24/Fev</t>
        </is>
      </c>
      <c r="M2" s="2" t="inlineStr">
        <is>
          <t>03/Mar</t>
        </is>
      </c>
      <c r="N2" s="2" t="inlineStr">
        <is>
          <t>10/Mar</t>
        </is>
      </c>
      <c r="O2" s="2" t="inlineStr">
        <is>
          <t>17/Mar</t>
        </is>
      </c>
      <c r="P2" s="2" t="inlineStr">
        <is>
          <t>24/Mar</t>
        </is>
      </c>
      <c r="Q2" s="2" t="inlineStr">
        <is>
          <t>31/Mar</t>
        </is>
      </c>
      <c r="R2" s="2" t="inlineStr">
        <is>
          <t>07/Abr</t>
        </is>
      </c>
      <c r="S2" s="2" t="inlineStr">
        <is>
          <t>14/Abr</t>
        </is>
      </c>
      <c r="T2" s="2" t="inlineStr">
        <is>
          <t>21/Abr</t>
        </is>
      </c>
      <c r="U2" s="2" t="inlineStr">
        <is>
          <t>28/Abr</t>
        </is>
      </c>
      <c r="V2" s="2" t="inlineStr">
        <is>
          <t>05/Mai</t>
        </is>
      </c>
      <c r="W2" s="2" t="inlineStr">
        <is>
          <t>12/Mai</t>
        </is>
      </c>
      <c r="X2" s="2" t="inlineStr">
        <is>
          <t>19/Mai</t>
        </is>
      </c>
      <c r="Y2" s="2" t="inlineStr">
        <is>
          <t>26/Mai</t>
        </is>
      </c>
      <c r="Z2" s="2" t="inlineStr">
        <is>
          <t>02/Jun</t>
        </is>
      </c>
      <c r="AA2" s="2" t="inlineStr">
        <is>
          <t>09/Jun</t>
        </is>
      </c>
      <c r="AB2" s="2" t="inlineStr">
        <is>
          <t>16/Jun</t>
        </is>
      </c>
      <c r="AC2" s="2" t="inlineStr">
        <is>
          <t>23/Jun</t>
        </is>
      </c>
      <c r="AD2" s="2" t="inlineStr">
        <is>
          <t>30/Jun</t>
        </is>
      </c>
    </row>
    <row r="3">
      <c r="A3" s="11" t="inlineStr">
        <is>
          <t>EQ-CAM-MUNCK-23T</t>
        </is>
      </c>
      <c r="B3" s="11" t="inlineStr">
        <is>
          <t>Caminhão munck 23T</t>
        </is>
      </c>
      <c r="C3" s="18" t="inlineStr">
        <is>
          <t>un</t>
        </is>
      </c>
      <c r="D3" s="58" t="n">
        <v>2</v>
      </c>
      <c r="E3" s="58" t="n">
        <v>2</v>
      </c>
      <c r="F3" s="58" t="n">
        <v>2</v>
      </c>
      <c r="G3" s="58" t="n">
        <v>2</v>
      </c>
      <c r="H3" s="58" t="n">
        <v>2</v>
      </c>
      <c r="I3" s="58" t="n">
        <v>2</v>
      </c>
      <c r="J3" s="58" t="n">
        <v>2</v>
      </c>
      <c r="K3" s="58" t="n">
        <v>2</v>
      </c>
      <c r="L3" s="58" t="n">
        <v>2</v>
      </c>
      <c r="M3" s="58" t="n">
        <v>2</v>
      </c>
      <c r="N3" s="58" t="n">
        <v>2</v>
      </c>
      <c r="O3" s="58" t="n">
        <v>2</v>
      </c>
      <c r="P3" s="58" t="n">
        <v>2</v>
      </c>
      <c r="Q3" s="58" t="n">
        <v>2</v>
      </c>
      <c r="R3" s="58" t="n">
        <v>2</v>
      </c>
      <c r="S3" s="58" t="n">
        <v>2</v>
      </c>
      <c r="T3" s="58" t="n">
        <v>2</v>
      </c>
      <c r="U3" s="58" t="n">
        <v>2</v>
      </c>
      <c r="V3" s="58" t="n">
        <v>2</v>
      </c>
      <c r="W3" s="58" t="n">
        <v>2</v>
      </c>
      <c r="X3" s="58" t="n">
        <v>2</v>
      </c>
      <c r="Y3" s="58" t="n">
        <v>2</v>
      </c>
      <c r="Z3" s="58" t="n">
        <v>2</v>
      </c>
      <c r="AA3" s="58" t="n">
        <v>2</v>
      </c>
      <c r="AB3" s="58" t="n">
        <v>2</v>
      </c>
      <c r="AC3" s="58" t="n">
        <v>2</v>
      </c>
      <c r="AD3" s="12" t="n"/>
    </row>
    <row r="4">
      <c r="A4" s="13" t="inlineStr">
        <is>
          <t>EQ-E0001</t>
        </is>
      </c>
      <c r="B4" s="13" t="inlineStr">
        <is>
          <t>Automóvel (veículo leve)</t>
        </is>
      </c>
      <c r="C4" s="27" t="inlineStr">
        <is>
          <t>un</t>
        </is>
      </c>
      <c r="D4" s="67" t="n">
        <v>9</v>
      </c>
      <c r="E4" s="67" t="n">
        <v>9</v>
      </c>
      <c r="F4" s="67" t="n">
        <v>9</v>
      </c>
      <c r="G4" s="67" t="n">
        <v>9</v>
      </c>
      <c r="H4" s="67" t="n">
        <v>9</v>
      </c>
      <c r="I4" s="67" t="n">
        <v>9</v>
      </c>
      <c r="J4" s="67" t="n">
        <v>9</v>
      </c>
      <c r="K4" s="67" t="n">
        <v>9</v>
      </c>
      <c r="L4" s="67" t="n">
        <v>9</v>
      </c>
      <c r="M4" s="67" t="n">
        <v>9</v>
      </c>
      <c r="N4" s="67" t="n">
        <v>9</v>
      </c>
      <c r="O4" s="67" t="n">
        <v>9</v>
      </c>
      <c r="P4" s="67" t="n">
        <v>9</v>
      </c>
      <c r="Q4" s="67" t="n">
        <v>9</v>
      </c>
      <c r="R4" s="67" t="n">
        <v>9</v>
      </c>
      <c r="S4" s="67" t="n">
        <v>9</v>
      </c>
      <c r="T4" s="67" t="n">
        <v>9</v>
      </c>
      <c r="U4" s="67" t="n">
        <v>9</v>
      </c>
      <c r="V4" s="67" t="n">
        <v>9</v>
      </c>
      <c r="W4" s="67" t="n">
        <v>9</v>
      </c>
      <c r="X4" s="67" t="n">
        <v>9</v>
      </c>
      <c r="Y4" s="67" t="n">
        <v>9</v>
      </c>
      <c r="Z4" s="67" t="n">
        <v>9</v>
      </c>
      <c r="AA4" s="67" t="n">
        <v>9</v>
      </c>
      <c r="AB4" s="67" t="n">
        <v>9</v>
      </c>
      <c r="AC4" s="67" t="n">
        <v>9</v>
      </c>
      <c r="AD4" s="14" t="n"/>
    </row>
    <row r="5">
      <c r="A5" s="11" t="inlineStr">
        <is>
          <t>EQ-E0016</t>
        </is>
      </c>
      <c r="B5" s="11" t="inlineStr">
        <is>
          <t>Escavadeira Hidráulica 22t</t>
        </is>
      </c>
      <c r="C5" s="18" t="inlineStr">
        <is>
          <t>un</t>
        </is>
      </c>
      <c r="D5" s="58" t="n">
        <v>8</v>
      </c>
      <c r="E5" s="58" t="n">
        <v>8</v>
      </c>
      <c r="F5" s="58" t="n">
        <v>8</v>
      </c>
      <c r="G5" s="58" t="n">
        <v>8</v>
      </c>
      <c r="H5" s="58" t="n">
        <v>8</v>
      </c>
      <c r="I5" s="58" t="n">
        <v>8</v>
      </c>
      <c r="J5" s="58" t="n">
        <v>8</v>
      </c>
      <c r="K5" s="58" t="n">
        <v>8</v>
      </c>
      <c r="L5" s="58" t="n">
        <v>8</v>
      </c>
      <c r="M5" s="58" t="n">
        <v>8</v>
      </c>
      <c r="N5" s="58" t="n">
        <v>8</v>
      </c>
      <c r="O5" s="58" t="n">
        <v>8</v>
      </c>
      <c r="P5" s="58" t="n">
        <v>8</v>
      </c>
      <c r="Q5" s="58" t="n">
        <v>8</v>
      </c>
      <c r="R5" s="58" t="n">
        <v>8</v>
      </c>
      <c r="S5" s="58" t="n">
        <v>8</v>
      </c>
      <c r="T5" s="58" t="n">
        <v>8</v>
      </c>
      <c r="U5" s="58" t="n">
        <v>8</v>
      </c>
      <c r="V5" s="58" t="n">
        <v>8</v>
      </c>
      <c r="W5" s="58" t="n">
        <v>8</v>
      </c>
      <c r="X5" s="58" t="n">
        <v>8</v>
      </c>
      <c r="Y5" s="58" t="n">
        <v>8</v>
      </c>
      <c r="Z5" s="58" t="n">
        <v>8</v>
      </c>
      <c r="AA5" s="58" t="n">
        <v>8</v>
      </c>
      <c r="AB5" s="58" t="n">
        <v>8</v>
      </c>
      <c r="AC5" s="58" t="n">
        <v>8</v>
      </c>
      <c r="AD5" s="12" t="n"/>
    </row>
    <row r="6">
      <c r="A6" s="13" t="inlineStr">
        <is>
          <t>EQ-E0024</t>
        </is>
      </c>
      <c r="B6" s="13" t="inlineStr">
        <is>
          <t>Trator de Esteiras 20t (300HP)</t>
        </is>
      </c>
      <c r="C6" s="27" t="inlineStr">
        <is>
          <t>un</t>
        </is>
      </c>
      <c r="D6" s="67" t="n">
        <v>8</v>
      </c>
      <c r="E6" s="67" t="n">
        <v>8</v>
      </c>
      <c r="F6" s="67" t="n">
        <v>8</v>
      </c>
      <c r="G6" s="67" t="n">
        <v>8</v>
      </c>
      <c r="H6" s="67" t="n">
        <v>8</v>
      </c>
      <c r="I6" s="67" t="n">
        <v>8</v>
      </c>
      <c r="J6" s="67" t="n">
        <v>8</v>
      </c>
      <c r="K6" s="67" t="n">
        <v>8</v>
      </c>
      <c r="L6" s="67" t="n">
        <v>8</v>
      </c>
      <c r="M6" s="67" t="n">
        <v>8</v>
      </c>
      <c r="N6" s="67" t="n">
        <v>8</v>
      </c>
      <c r="O6" s="67" t="n">
        <v>8</v>
      </c>
      <c r="P6" s="67" t="n">
        <v>8</v>
      </c>
      <c r="Q6" s="67" t="n">
        <v>8</v>
      </c>
      <c r="R6" s="67" t="n">
        <v>8</v>
      </c>
      <c r="S6" s="67" t="n">
        <v>8</v>
      </c>
      <c r="T6" s="67" t="n">
        <v>8</v>
      </c>
      <c r="U6" s="67" t="n">
        <v>8</v>
      </c>
      <c r="V6" s="67" t="n">
        <v>8</v>
      </c>
      <c r="W6" s="67" t="n">
        <v>8</v>
      </c>
      <c r="X6" s="67" t="n">
        <v>8</v>
      </c>
      <c r="Y6" s="67" t="n">
        <v>8</v>
      </c>
      <c r="Z6" s="67" t="n">
        <v>8</v>
      </c>
      <c r="AA6" s="67" t="n">
        <v>8</v>
      </c>
      <c r="AB6" s="67" t="n">
        <v>8</v>
      </c>
      <c r="AC6" s="67" t="n">
        <v>8</v>
      </c>
      <c r="AD6" s="14" t="n"/>
    </row>
    <row r="7">
      <c r="A7" s="11" t="inlineStr">
        <is>
          <t>EQ-E0031</t>
        </is>
      </c>
      <c r="B7" s="11" t="inlineStr">
        <is>
          <t>Spread</t>
        </is>
      </c>
      <c r="C7" s="18" t="inlineStr">
        <is>
          <t>un</t>
        </is>
      </c>
      <c r="D7" s="58" t="n">
        <v>6</v>
      </c>
      <c r="E7" s="58" t="n">
        <v>6</v>
      </c>
      <c r="F7" s="58" t="n">
        <v>6</v>
      </c>
      <c r="G7" s="58" t="n">
        <v>6</v>
      </c>
      <c r="H7" s="58" t="n">
        <v>6</v>
      </c>
      <c r="I7" s="58" t="n">
        <v>6</v>
      </c>
      <c r="J7" s="58" t="n">
        <v>6</v>
      </c>
      <c r="K7" s="58" t="n">
        <v>6</v>
      </c>
      <c r="L7" s="58" t="n">
        <v>6</v>
      </c>
      <c r="M7" s="58" t="n">
        <v>6</v>
      </c>
      <c r="N7" s="58" t="n">
        <v>6</v>
      </c>
      <c r="O7" s="58" t="n">
        <v>6</v>
      </c>
      <c r="P7" s="58" t="n">
        <v>6</v>
      </c>
      <c r="Q7" s="58" t="n">
        <v>6</v>
      </c>
      <c r="R7" s="58" t="n">
        <v>6</v>
      </c>
      <c r="S7" s="58" t="n">
        <v>6</v>
      </c>
      <c r="T7" s="58" t="n">
        <v>6</v>
      </c>
      <c r="U7" s="58" t="n">
        <v>6</v>
      </c>
      <c r="V7" s="58" t="n">
        <v>6</v>
      </c>
      <c r="W7" s="58" t="n">
        <v>6</v>
      </c>
      <c r="X7" s="58" t="n">
        <v>6</v>
      </c>
      <c r="Y7" s="58" t="n">
        <v>6</v>
      </c>
      <c r="Z7" s="58" t="n">
        <v>6</v>
      </c>
      <c r="AA7" s="58" t="n">
        <v>6</v>
      </c>
      <c r="AB7" s="58" t="n">
        <v>6</v>
      </c>
      <c r="AC7" s="58" t="n">
        <v>6</v>
      </c>
      <c r="AD7" s="12" t="n"/>
    </row>
    <row r="8">
      <c r="A8" s="13" t="inlineStr">
        <is>
          <t>EQ-ESTACAO-TOTAL</t>
        </is>
      </c>
      <c r="B8" s="13" t="inlineStr">
        <is>
          <t>Estação Total</t>
        </is>
      </c>
      <c r="C8" s="27" t="inlineStr">
        <is>
          <t>un</t>
        </is>
      </c>
      <c r="D8" s="67" t="n">
        <v>1</v>
      </c>
      <c r="E8" s="67" t="n">
        <v>1</v>
      </c>
      <c r="F8" s="67" t="n">
        <v>1</v>
      </c>
      <c r="G8" s="67" t="n">
        <v>1</v>
      </c>
      <c r="H8" s="67" t="n">
        <v>1</v>
      </c>
      <c r="I8" s="67" t="n">
        <v>1</v>
      </c>
      <c r="J8" s="67" t="n">
        <v>1</v>
      </c>
      <c r="K8" s="67" t="n">
        <v>1</v>
      </c>
      <c r="L8" s="67" t="n">
        <v>1</v>
      </c>
      <c r="M8" s="67" t="n">
        <v>1</v>
      </c>
      <c r="N8" s="67" t="n">
        <v>1</v>
      </c>
      <c r="O8" s="67" t="n">
        <v>1</v>
      </c>
      <c r="P8" s="67" t="n">
        <v>1</v>
      </c>
      <c r="Q8" s="67" t="n">
        <v>1</v>
      </c>
      <c r="R8" s="67" t="n">
        <v>1</v>
      </c>
      <c r="S8" s="67" t="n">
        <v>1</v>
      </c>
      <c r="T8" s="67" t="n">
        <v>1</v>
      </c>
      <c r="U8" s="67" t="n">
        <v>1</v>
      </c>
      <c r="V8" s="67" t="n">
        <v>1</v>
      </c>
      <c r="W8" s="67" t="n">
        <v>1</v>
      </c>
      <c r="X8" s="67" t="n">
        <v>1</v>
      </c>
      <c r="Y8" s="67" t="n">
        <v>1</v>
      </c>
      <c r="Z8" s="67" t="n">
        <v>1</v>
      </c>
      <c r="AA8" s="67" t="n">
        <v>1</v>
      </c>
      <c r="AB8" s="67" t="n">
        <v>1</v>
      </c>
      <c r="AC8" s="67" t="n">
        <v>1</v>
      </c>
      <c r="AD8" s="14" t="n"/>
    </row>
    <row r="10">
      <c r="A10" s="95" t="inlineStr">
        <is>
          <t>TOTAL SEMANAL</t>
        </is>
      </c>
      <c r="D10" s="96" t="n">
        <v>34</v>
      </c>
      <c r="E10" s="96" t="n">
        <v>34</v>
      </c>
      <c r="F10" s="96" t="n">
        <v>34</v>
      </c>
      <c r="G10" s="96" t="n">
        <v>34</v>
      </c>
      <c r="H10" s="96" t="n">
        <v>34</v>
      </c>
      <c r="I10" s="96" t="n">
        <v>34</v>
      </c>
      <c r="J10" s="96" t="n">
        <v>34</v>
      </c>
      <c r="K10" s="96" t="n">
        <v>34</v>
      </c>
      <c r="L10" s="96" t="n">
        <v>34</v>
      </c>
      <c r="M10" s="96" t="n">
        <v>34</v>
      </c>
      <c r="N10" s="96" t="n">
        <v>34</v>
      </c>
      <c r="O10" s="96" t="n">
        <v>34</v>
      </c>
      <c r="P10" s="96" t="n">
        <v>34</v>
      </c>
      <c r="Q10" s="96" t="n">
        <v>34</v>
      </c>
      <c r="R10" s="96" t="n">
        <v>34</v>
      </c>
      <c r="S10" s="96" t="n">
        <v>34</v>
      </c>
      <c r="T10" s="96" t="n">
        <v>34</v>
      </c>
      <c r="U10" s="96" t="n">
        <v>34</v>
      </c>
      <c r="V10" s="96" t="n">
        <v>34</v>
      </c>
      <c r="W10" s="96" t="n">
        <v>34</v>
      </c>
      <c r="X10" s="96" t="n">
        <v>34</v>
      </c>
      <c r="Y10" s="96" t="n">
        <v>34</v>
      </c>
      <c r="Z10" s="96" t="n">
        <v>34</v>
      </c>
      <c r="AA10" s="96" t="n">
        <v>34</v>
      </c>
      <c r="AB10" s="96" t="n">
        <v>34</v>
      </c>
      <c r="AC10" s="96" t="n">
        <v>34</v>
      </c>
      <c r="AD10" s="37" t="n"/>
    </row>
  </sheetData>
  <mergeCells count="2">
    <mergeCell ref="A10:C10"/>
    <mergeCell ref="A1:A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pane xSplit="3" ySplit="2" topLeftCell="D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2" customWidth="1" min="2" max="2"/>
    <col width="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</cols>
  <sheetData>
    <row r="1">
      <c r="A1" s="1" t="inlineStr">
        <is>
          <t>HISTOGRAMA DE MÃO DE OBRA — DEMANDA SEMANAL (PESSOAS)</t>
        </is>
      </c>
    </row>
    <row r="2">
      <c r="A2" s="2" t="inlineStr">
        <is>
          <t>Função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30/Dez</t>
        </is>
      </c>
      <c r="E2" s="2" t="inlineStr">
        <is>
          <t>06/Jan</t>
        </is>
      </c>
      <c r="F2" s="2" t="inlineStr">
        <is>
          <t>13/Jan</t>
        </is>
      </c>
      <c r="G2" s="2" t="inlineStr">
        <is>
          <t>20/Jan</t>
        </is>
      </c>
      <c r="H2" s="2" t="inlineStr">
        <is>
          <t>27/Jan</t>
        </is>
      </c>
      <c r="I2" s="2" t="inlineStr">
        <is>
          <t>03/Fev</t>
        </is>
      </c>
      <c r="J2" s="2" t="inlineStr">
        <is>
          <t>10/Fev</t>
        </is>
      </c>
      <c r="K2" s="2" t="inlineStr">
        <is>
          <t>17/Fev</t>
        </is>
      </c>
      <c r="L2" s="2" t="inlineStr">
        <is>
          <t>24/Fev</t>
        </is>
      </c>
      <c r="M2" s="2" t="inlineStr">
        <is>
          <t>03/Mar</t>
        </is>
      </c>
      <c r="N2" s="2" t="inlineStr">
        <is>
          <t>10/Mar</t>
        </is>
      </c>
      <c r="O2" s="2" t="inlineStr">
        <is>
          <t>17/Mar</t>
        </is>
      </c>
      <c r="P2" s="2" t="inlineStr">
        <is>
          <t>24/Mar</t>
        </is>
      </c>
      <c r="Q2" s="2" t="inlineStr">
        <is>
          <t>31/Mar</t>
        </is>
      </c>
      <c r="R2" s="2" t="inlineStr">
        <is>
          <t>07/Abr</t>
        </is>
      </c>
      <c r="S2" s="2" t="inlineStr">
        <is>
          <t>14/Abr</t>
        </is>
      </c>
      <c r="T2" s="2" t="inlineStr">
        <is>
          <t>21/Abr</t>
        </is>
      </c>
      <c r="U2" s="2" t="inlineStr">
        <is>
          <t>28/Abr</t>
        </is>
      </c>
      <c r="V2" s="2" t="inlineStr">
        <is>
          <t>05/Mai</t>
        </is>
      </c>
      <c r="W2" s="2" t="inlineStr">
        <is>
          <t>12/Mai</t>
        </is>
      </c>
      <c r="X2" s="2" t="inlineStr">
        <is>
          <t>19/Mai</t>
        </is>
      </c>
      <c r="Y2" s="2" t="inlineStr">
        <is>
          <t>26/Mai</t>
        </is>
      </c>
      <c r="Z2" s="2" t="inlineStr">
        <is>
          <t>02/Jun</t>
        </is>
      </c>
      <c r="AA2" s="2" t="inlineStr">
        <is>
          <t>09/Jun</t>
        </is>
      </c>
      <c r="AB2" s="2" t="inlineStr">
        <is>
          <t>16/Jun</t>
        </is>
      </c>
      <c r="AC2" s="2" t="inlineStr">
        <is>
          <t>23/Jun</t>
        </is>
      </c>
      <c r="AD2" s="2" t="inlineStr">
        <is>
          <t>30/Jun</t>
        </is>
      </c>
    </row>
    <row r="3">
      <c r="A3" s="11" t="inlineStr">
        <is>
          <t>MO-AJUDANTE</t>
        </is>
      </c>
      <c r="B3" s="11" t="inlineStr">
        <is>
          <t>Ajudante</t>
        </is>
      </c>
      <c r="C3" s="18" t="inlineStr">
        <is>
          <t>pax</t>
        </is>
      </c>
      <c r="D3" s="58" t="n">
        <v>47</v>
      </c>
      <c r="E3" s="58" t="n">
        <v>47</v>
      </c>
      <c r="F3" s="58" t="n">
        <v>47</v>
      </c>
      <c r="G3" s="58" t="n">
        <v>47</v>
      </c>
      <c r="H3" s="58" t="n">
        <v>47</v>
      </c>
      <c r="I3" s="58" t="n">
        <v>47</v>
      </c>
      <c r="J3" s="58" t="n">
        <v>47</v>
      </c>
      <c r="K3" s="58" t="n">
        <v>47</v>
      </c>
      <c r="L3" s="58" t="n">
        <v>47</v>
      </c>
      <c r="M3" s="58" t="n">
        <v>47</v>
      </c>
      <c r="N3" s="58" t="n">
        <v>47</v>
      </c>
      <c r="O3" s="58" t="n">
        <v>47</v>
      </c>
      <c r="P3" s="58" t="n">
        <v>47</v>
      </c>
      <c r="Q3" s="58" t="n">
        <v>47</v>
      </c>
      <c r="R3" s="58" t="n">
        <v>47</v>
      </c>
      <c r="S3" s="58" t="n">
        <v>47</v>
      </c>
      <c r="T3" s="58" t="n">
        <v>47</v>
      </c>
      <c r="U3" s="58" t="n">
        <v>47</v>
      </c>
      <c r="V3" s="58" t="n">
        <v>47</v>
      </c>
      <c r="W3" s="58" t="n">
        <v>47</v>
      </c>
      <c r="X3" s="58" t="n">
        <v>47</v>
      </c>
      <c r="Y3" s="58" t="n">
        <v>47</v>
      </c>
      <c r="Z3" s="58" t="n">
        <v>47</v>
      </c>
      <c r="AA3" s="58" t="n">
        <v>47</v>
      </c>
      <c r="AB3" s="58" t="n">
        <v>47</v>
      </c>
      <c r="AC3" s="58" t="n">
        <v>47</v>
      </c>
      <c r="AD3" s="12" t="n"/>
    </row>
    <row r="4">
      <c r="A4" s="13" t="inlineStr">
        <is>
          <t>MO-AUX-TOPO</t>
        </is>
      </c>
      <c r="B4" s="13" t="inlineStr">
        <is>
          <t>Auxiliar de topografia</t>
        </is>
      </c>
      <c r="C4" s="27" t="inlineStr">
        <is>
          <t>pax</t>
        </is>
      </c>
      <c r="D4" s="67" t="n">
        <v>2</v>
      </c>
      <c r="E4" s="67" t="n">
        <v>2</v>
      </c>
      <c r="F4" s="67" t="n">
        <v>2</v>
      </c>
      <c r="G4" s="67" t="n">
        <v>2</v>
      </c>
      <c r="H4" s="67" t="n">
        <v>2</v>
      </c>
      <c r="I4" s="67" t="n">
        <v>2</v>
      </c>
      <c r="J4" s="67" t="n">
        <v>2</v>
      </c>
      <c r="K4" s="67" t="n">
        <v>2</v>
      </c>
      <c r="L4" s="67" t="n">
        <v>2</v>
      </c>
      <c r="M4" s="67" t="n">
        <v>2</v>
      </c>
      <c r="N4" s="67" t="n">
        <v>2</v>
      </c>
      <c r="O4" s="67" t="n">
        <v>2</v>
      </c>
      <c r="P4" s="67" t="n">
        <v>2</v>
      </c>
      <c r="Q4" s="67" t="n">
        <v>2</v>
      </c>
      <c r="R4" s="67" t="n">
        <v>2</v>
      </c>
      <c r="S4" s="67" t="n">
        <v>2</v>
      </c>
      <c r="T4" s="67" t="n">
        <v>2</v>
      </c>
      <c r="U4" s="67" t="n">
        <v>2</v>
      </c>
      <c r="V4" s="67" t="n">
        <v>2</v>
      </c>
      <c r="W4" s="67" t="n">
        <v>2</v>
      </c>
      <c r="X4" s="67" t="n">
        <v>2</v>
      </c>
      <c r="Y4" s="67" t="n">
        <v>2</v>
      </c>
      <c r="Z4" s="67" t="n">
        <v>2</v>
      </c>
      <c r="AA4" s="67" t="n">
        <v>2</v>
      </c>
      <c r="AB4" s="67" t="n">
        <v>2</v>
      </c>
      <c r="AC4" s="67" t="n">
        <v>2</v>
      </c>
      <c r="AD4" s="14" t="n"/>
    </row>
    <row r="5">
      <c r="A5" s="11" t="inlineStr">
        <is>
          <t>MO-CERQUEIRO</t>
        </is>
      </c>
      <c r="B5" s="11" t="inlineStr">
        <is>
          <t>Cerqueiro</t>
        </is>
      </c>
      <c r="C5" s="18" t="inlineStr">
        <is>
          <t>pax</t>
        </is>
      </c>
      <c r="D5" s="58" t="n">
        <v>24</v>
      </c>
      <c r="E5" s="58" t="n">
        <v>24</v>
      </c>
      <c r="F5" s="58" t="n">
        <v>24</v>
      </c>
      <c r="G5" s="58" t="n">
        <v>24</v>
      </c>
      <c r="H5" s="58" t="n">
        <v>24</v>
      </c>
      <c r="I5" s="58" t="n">
        <v>24</v>
      </c>
      <c r="J5" s="58" t="n">
        <v>24</v>
      </c>
      <c r="K5" s="58" t="n">
        <v>24</v>
      </c>
      <c r="L5" s="58" t="n">
        <v>24</v>
      </c>
      <c r="M5" s="58" t="n">
        <v>24</v>
      </c>
      <c r="N5" s="58" t="n">
        <v>24</v>
      </c>
      <c r="O5" s="58" t="n">
        <v>24</v>
      </c>
      <c r="P5" s="58" t="n">
        <v>24</v>
      </c>
      <c r="Q5" s="58" t="n">
        <v>24</v>
      </c>
      <c r="R5" s="58" t="n">
        <v>24</v>
      </c>
      <c r="S5" s="58" t="n">
        <v>24</v>
      </c>
      <c r="T5" s="58" t="n">
        <v>24</v>
      </c>
      <c r="U5" s="58" t="n">
        <v>24</v>
      </c>
      <c r="V5" s="58" t="n">
        <v>24</v>
      </c>
      <c r="W5" s="58" t="n">
        <v>24</v>
      </c>
      <c r="X5" s="58" t="n">
        <v>24</v>
      </c>
      <c r="Y5" s="58" t="n">
        <v>24</v>
      </c>
      <c r="Z5" s="58" t="n">
        <v>24</v>
      </c>
      <c r="AA5" s="58" t="n">
        <v>24</v>
      </c>
      <c r="AB5" s="58" t="n">
        <v>24</v>
      </c>
      <c r="AC5" s="58" t="n">
        <v>24</v>
      </c>
      <c r="AD5" s="12" t="n"/>
    </row>
    <row r="6">
      <c r="A6" s="13" t="inlineStr">
        <is>
          <t>MO-ENCARREG-TERRA</t>
        </is>
      </c>
      <c r="B6" s="13" t="inlineStr">
        <is>
          <t>Encarregado de Terraplenagem</t>
        </is>
      </c>
      <c r="C6" s="27" t="inlineStr">
        <is>
          <t>pax</t>
        </is>
      </c>
      <c r="D6" s="67" t="n">
        <v>9</v>
      </c>
      <c r="E6" s="67" t="n">
        <v>9</v>
      </c>
      <c r="F6" s="67" t="n">
        <v>9</v>
      </c>
      <c r="G6" s="67" t="n">
        <v>9</v>
      </c>
      <c r="H6" s="67" t="n">
        <v>9</v>
      </c>
      <c r="I6" s="67" t="n">
        <v>9</v>
      </c>
      <c r="J6" s="67" t="n">
        <v>9</v>
      </c>
      <c r="K6" s="67" t="n">
        <v>9</v>
      </c>
      <c r="L6" s="67" t="n">
        <v>9</v>
      </c>
      <c r="M6" s="67" t="n">
        <v>9</v>
      </c>
      <c r="N6" s="67" t="n">
        <v>9</v>
      </c>
      <c r="O6" s="67" t="n">
        <v>9</v>
      </c>
      <c r="P6" s="67" t="n">
        <v>9</v>
      </c>
      <c r="Q6" s="67" t="n">
        <v>9</v>
      </c>
      <c r="R6" s="67" t="n">
        <v>9</v>
      </c>
      <c r="S6" s="67" t="n">
        <v>9</v>
      </c>
      <c r="T6" s="67" t="n">
        <v>9</v>
      </c>
      <c r="U6" s="67" t="n">
        <v>9</v>
      </c>
      <c r="V6" s="67" t="n">
        <v>9</v>
      </c>
      <c r="W6" s="67" t="n">
        <v>9</v>
      </c>
      <c r="X6" s="67" t="n">
        <v>9</v>
      </c>
      <c r="Y6" s="67" t="n">
        <v>9</v>
      </c>
      <c r="Z6" s="67" t="n">
        <v>9</v>
      </c>
      <c r="AA6" s="67" t="n">
        <v>9</v>
      </c>
      <c r="AB6" s="67" t="n">
        <v>9</v>
      </c>
      <c r="AC6" s="67" t="n">
        <v>9</v>
      </c>
      <c r="AD6" s="14" t="n"/>
    </row>
    <row r="7">
      <c r="A7" s="11" t="inlineStr">
        <is>
          <t>MO-OFICIAL</t>
        </is>
      </c>
      <c r="B7" s="11" t="inlineStr">
        <is>
          <t>Oficial</t>
        </is>
      </c>
      <c r="C7" s="18" t="inlineStr">
        <is>
          <t>pax</t>
        </is>
      </c>
      <c r="D7" s="58" t="n">
        <v>6</v>
      </c>
      <c r="E7" s="58" t="n">
        <v>6</v>
      </c>
      <c r="F7" s="58" t="n">
        <v>6</v>
      </c>
      <c r="G7" s="58" t="n">
        <v>6</v>
      </c>
      <c r="H7" s="58" t="n">
        <v>6</v>
      </c>
      <c r="I7" s="58" t="n">
        <v>6</v>
      </c>
      <c r="J7" s="58" t="n">
        <v>6</v>
      </c>
      <c r="K7" s="58" t="n">
        <v>6</v>
      </c>
      <c r="L7" s="58" t="n">
        <v>6</v>
      </c>
      <c r="M7" s="58" t="n">
        <v>6</v>
      </c>
      <c r="N7" s="58" t="n">
        <v>6</v>
      </c>
      <c r="O7" s="58" t="n">
        <v>6</v>
      </c>
      <c r="P7" s="58" t="n">
        <v>6</v>
      </c>
      <c r="Q7" s="58" t="n">
        <v>6</v>
      </c>
      <c r="R7" s="58" t="n">
        <v>6</v>
      </c>
      <c r="S7" s="58" t="n">
        <v>6</v>
      </c>
      <c r="T7" s="58" t="n">
        <v>6</v>
      </c>
      <c r="U7" s="58" t="n">
        <v>6</v>
      </c>
      <c r="V7" s="58" t="n">
        <v>6</v>
      </c>
      <c r="W7" s="58" t="n">
        <v>6</v>
      </c>
      <c r="X7" s="58" t="n">
        <v>6</v>
      </c>
      <c r="Y7" s="58" t="n">
        <v>6</v>
      </c>
      <c r="Z7" s="58" t="n">
        <v>6</v>
      </c>
      <c r="AA7" s="58" t="n">
        <v>6</v>
      </c>
      <c r="AB7" s="58" t="n">
        <v>6</v>
      </c>
      <c r="AC7" s="58" t="n">
        <v>6</v>
      </c>
      <c r="AD7" s="12" t="n"/>
    </row>
    <row r="8">
      <c r="A8" s="13" t="inlineStr">
        <is>
          <t>MO-OPER-ESCAV</t>
        </is>
      </c>
      <c r="B8" s="13" t="inlineStr">
        <is>
          <t>Operador de Escavadeira</t>
        </is>
      </c>
      <c r="C8" s="27" t="inlineStr">
        <is>
          <t>pax</t>
        </is>
      </c>
      <c r="D8" s="67" t="n">
        <v>8</v>
      </c>
      <c r="E8" s="67" t="n">
        <v>8</v>
      </c>
      <c r="F8" s="67" t="n">
        <v>8</v>
      </c>
      <c r="G8" s="67" t="n">
        <v>8</v>
      </c>
      <c r="H8" s="67" t="n">
        <v>8</v>
      </c>
      <c r="I8" s="67" t="n">
        <v>8</v>
      </c>
      <c r="J8" s="67" t="n">
        <v>8</v>
      </c>
      <c r="K8" s="67" t="n">
        <v>8</v>
      </c>
      <c r="L8" s="67" t="n">
        <v>8</v>
      </c>
      <c r="M8" s="67" t="n">
        <v>8</v>
      </c>
      <c r="N8" s="67" t="n">
        <v>8</v>
      </c>
      <c r="O8" s="67" t="n">
        <v>8</v>
      </c>
      <c r="P8" s="67" t="n">
        <v>8</v>
      </c>
      <c r="Q8" s="67" t="n">
        <v>8</v>
      </c>
      <c r="R8" s="67" t="n">
        <v>8</v>
      </c>
      <c r="S8" s="67" t="n">
        <v>8</v>
      </c>
      <c r="T8" s="67" t="n">
        <v>8</v>
      </c>
      <c r="U8" s="67" t="n">
        <v>8</v>
      </c>
      <c r="V8" s="67" t="n">
        <v>8</v>
      </c>
      <c r="W8" s="67" t="n">
        <v>8</v>
      </c>
      <c r="X8" s="67" t="n">
        <v>8</v>
      </c>
      <c r="Y8" s="67" t="n">
        <v>8</v>
      </c>
      <c r="Z8" s="67" t="n">
        <v>8</v>
      </c>
      <c r="AA8" s="67" t="n">
        <v>8</v>
      </c>
      <c r="AB8" s="67" t="n">
        <v>8</v>
      </c>
      <c r="AC8" s="67" t="n">
        <v>8</v>
      </c>
      <c r="AD8" s="14" t="n"/>
    </row>
    <row r="9">
      <c r="A9" s="11" t="inlineStr">
        <is>
          <t>MO-OPER-TRATOR-EST</t>
        </is>
      </c>
      <c r="B9" s="11" t="inlineStr">
        <is>
          <t>Operador de Trator de Esteiras</t>
        </is>
      </c>
      <c r="C9" s="18" t="inlineStr">
        <is>
          <t>pax</t>
        </is>
      </c>
      <c r="D9" s="58" t="n">
        <v>8</v>
      </c>
      <c r="E9" s="58" t="n">
        <v>8</v>
      </c>
      <c r="F9" s="58" t="n">
        <v>8</v>
      </c>
      <c r="G9" s="58" t="n">
        <v>8</v>
      </c>
      <c r="H9" s="58" t="n">
        <v>8</v>
      </c>
      <c r="I9" s="58" t="n">
        <v>8</v>
      </c>
      <c r="J9" s="58" t="n">
        <v>8</v>
      </c>
      <c r="K9" s="58" t="n">
        <v>8</v>
      </c>
      <c r="L9" s="58" t="n">
        <v>8</v>
      </c>
      <c r="M9" s="58" t="n">
        <v>8</v>
      </c>
      <c r="N9" s="58" t="n">
        <v>8</v>
      </c>
      <c r="O9" s="58" t="n">
        <v>8</v>
      </c>
      <c r="P9" s="58" t="n">
        <v>8</v>
      </c>
      <c r="Q9" s="58" t="n">
        <v>8</v>
      </c>
      <c r="R9" s="58" t="n">
        <v>8</v>
      </c>
      <c r="S9" s="58" t="n">
        <v>8</v>
      </c>
      <c r="T9" s="58" t="n">
        <v>8</v>
      </c>
      <c r="U9" s="58" t="n">
        <v>8</v>
      </c>
      <c r="V9" s="58" t="n">
        <v>8</v>
      </c>
      <c r="W9" s="58" t="n">
        <v>8</v>
      </c>
      <c r="X9" s="58" t="n">
        <v>8</v>
      </c>
      <c r="Y9" s="58" t="n">
        <v>8</v>
      </c>
      <c r="Z9" s="58" t="n">
        <v>8</v>
      </c>
      <c r="AA9" s="58" t="n">
        <v>8</v>
      </c>
      <c r="AB9" s="58" t="n">
        <v>8</v>
      </c>
      <c r="AC9" s="58" t="n">
        <v>8</v>
      </c>
      <c r="AD9" s="12" t="n"/>
    </row>
    <row r="10">
      <c r="A10" s="13" t="inlineStr">
        <is>
          <t>MO-OPERADOR-DE-MOTOSCRA</t>
        </is>
      </c>
      <c r="B10" s="13" t="inlineStr">
        <is>
          <t>Operador de Motoscraper</t>
        </is>
      </c>
      <c r="C10" s="27" t="inlineStr">
        <is>
          <t>pax</t>
        </is>
      </c>
      <c r="D10" s="67" t="n">
        <v>3</v>
      </c>
      <c r="E10" s="67" t="n">
        <v>3</v>
      </c>
      <c r="F10" s="67" t="n">
        <v>3</v>
      </c>
      <c r="G10" s="67" t="n">
        <v>3</v>
      </c>
      <c r="H10" s="67" t="n">
        <v>3</v>
      </c>
      <c r="I10" s="67" t="n">
        <v>3</v>
      </c>
      <c r="J10" s="67" t="n">
        <v>3</v>
      </c>
      <c r="K10" s="67" t="n">
        <v>3</v>
      </c>
      <c r="L10" s="67" t="n">
        <v>3</v>
      </c>
      <c r="M10" s="67" t="n">
        <v>3</v>
      </c>
      <c r="N10" s="67" t="n">
        <v>3</v>
      </c>
      <c r="O10" s="67" t="n">
        <v>3</v>
      </c>
      <c r="P10" s="67" t="n">
        <v>3</v>
      </c>
      <c r="Q10" s="67" t="n">
        <v>3</v>
      </c>
      <c r="R10" s="67" t="n">
        <v>3</v>
      </c>
      <c r="S10" s="67" t="n">
        <v>3</v>
      </c>
      <c r="T10" s="67" t="n">
        <v>3</v>
      </c>
      <c r="U10" s="67" t="n">
        <v>3</v>
      </c>
      <c r="V10" s="67" t="n">
        <v>3</v>
      </c>
      <c r="W10" s="67" t="n">
        <v>3</v>
      </c>
      <c r="X10" s="67" t="n">
        <v>3</v>
      </c>
      <c r="Y10" s="67" t="n">
        <v>3</v>
      </c>
      <c r="Z10" s="67" t="n">
        <v>3</v>
      </c>
      <c r="AA10" s="67" t="n">
        <v>3</v>
      </c>
      <c r="AB10" s="67" t="n">
        <v>3</v>
      </c>
      <c r="AC10" s="67" t="n">
        <v>3</v>
      </c>
      <c r="AD10" s="14" t="n"/>
    </row>
    <row r="11">
      <c r="A11" s="11" t="inlineStr">
        <is>
          <t>MO-TOPOGRAFO</t>
        </is>
      </c>
      <c r="B11" s="11" t="inlineStr">
        <is>
          <t>Topógrafo</t>
        </is>
      </c>
      <c r="C11" s="18" t="inlineStr">
        <is>
          <t>pax</t>
        </is>
      </c>
      <c r="D11" s="58" t="n">
        <v>1</v>
      </c>
      <c r="E11" s="58" t="n">
        <v>1</v>
      </c>
      <c r="F11" s="58" t="n">
        <v>1</v>
      </c>
      <c r="G11" s="58" t="n">
        <v>1</v>
      </c>
      <c r="H11" s="58" t="n">
        <v>1</v>
      </c>
      <c r="I11" s="58" t="n">
        <v>1</v>
      </c>
      <c r="J11" s="58" t="n">
        <v>1</v>
      </c>
      <c r="K11" s="58" t="n">
        <v>1</v>
      </c>
      <c r="L11" s="58" t="n">
        <v>1</v>
      </c>
      <c r="M11" s="58" t="n">
        <v>1</v>
      </c>
      <c r="N11" s="58" t="n">
        <v>1</v>
      </c>
      <c r="O11" s="58" t="n">
        <v>1</v>
      </c>
      <c r="P11" s="58" t="n">
        <v>1</v>
      </c>
      <c r="Q11" s="58" t="n">
        <v>1</v>
      </c>
      <c r="R11" s="58" t="n">
        <v>1</v>
      </c>
      <c r="S11" s="58" t="n">
        <v>1</v>
      </c>
      <c r="T11" s="58" t="n">
        <v>1</v>
      </c>
      <c r="U11" s="58" t="n">
        <v>1</v>
      </c>
      <c r="V11" s="58" t="n">
        <v>1</v>
      </c>
      <c r="W11" s="58" t="n">
        <v>1</v>
      </c>
      <c r="X11" s="58" t="n">
        <v>1</v>
      </c>
      <c r="Y11" s="58" t="n">
        <v>1</v>
      </c>
      <c r="Z11" s="58" t="n">
        <v>1</v>
      </c>
      <c r="AA11" s="58" t="n">
        <v>1</v>
      </c>
      <c r="AB11" s="58" t="n">
        <v>1</v>
      </c>
      <c r="AC11" s="58" t="n">
        <v>1</v>
      </c>
      <c r="AD11" s="12" t="n"/>
    </row>
    <row r="13">
      <c r="A13" s="95" t="inlineStr">
        <is>
          <t>TOTAL SEMANAL</t>
        </is>
      </c>
      <c r="D13" s="96" t="n">
        <v>108</v>
      </c>
      <c r="E13" s="96" t="n">
        <v>108</v>
      </c>
      <c r="F13" s="96" t="n">
        <v>108</v>
      </c>
      <c r="G13" s="96" t="n">
        <v>108</v>
      </c>
      <c r="H13" s="96" t="n">
        <v>108</v>
      </c>
      <c r="I13" s="96" t="n">
        <v>108</v>
      </c>
      <c r="J13" s="96" t="n">
        <v>108</v>
      </c>
      <c r="K13" s="96" t="n">
        <v>108</v>
      </c>
      <c r="L13" s="96" t="n">
        <v>108</v>
      </c>
      <c r="M13" s="96" t="n">
        <v>108</v>
      </c>
      <c r="N13" s="96" t="n">
        <v>108</v>
      </c>
      <c r="O13" s="96" t="n">
        <v>108</v>
      </c>
      <c r="P13" s="96" t="n">
        <v>108</v>
      </c>
      <c r="Q13" s="96" t="n">
        <v>108</v>
      </c>
      <c r="R13" s="96" t="n">
        <v>108</v>
      </c>
      <c r="S13" s="96" t="n">
        <v>108</v>
      </c>
      <c r="T13" s="96" t="n">
        <v>108</v>
      </c>
      <c r="U13" s="96" t="n">
        <v>108</v>
      </c>
      <c r="V13" s="96" t="n">
        <v>108</v>
      </c>
      <c r="W13" s="96" t="n">
        <v>108</v>
      </c>
      <c r="X13" s="96" t="n">
        <v>108</v>
      </c>
      <c r="Y13" s="96" t="n">
        <v>108</v>
      </c>
      <c r="Z13" s="96" t="n">
        <v>108</v>
      </c>
      <c r="AA13" s="96" t="n">
        <v>108</v>
      </c>
      <c r="AB13" s="96" t="n">
        <v>108</v>
      </c>
      <c r="AC13" s="96" t="n">
        <v>108</v>
      </c>
      <c r="AD13" s="37" t="n"/>
    </row>
  </sheetData>
  <mergeCells count="2">
    <mergeCell ref="A13:C13"/>
    <mergeCell ref="A1:A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2" topLeftCell="C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6" customWidth="1" min="3" max="3"/>
    <col width="14" customWidth="1" min="4" max="4"/>
    <col width="20" customWidth="1" min="5" max="5"/>
    <col width="10" customWidth="1" min="6" max="6"/>
    <col width="13" customWidth="1" min="7" max="7"/>
    <col width="13" customWidth="1" min="8" max="8"/>
    <col width="14" customWidth="1" min="9" max="9"/>
  </cols>
  <sheetData>
    <row r="1">
      <c r="A1" s="1" t="inlineStr">
        <is>
          <t>CURVA ABC — ANÁLISE PARETO POR ITEM EAP (S/ BDI)</t>
        </is>
      </c>
    </row>
    <row r="2">
      <c r="A2" s="2" t="inlineStr">
        <is>
          <t>Item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Quantitativo</t>
        </is>
      </c>
      <c r="E2" s="2" t="inlineStr">
        <is>
          <t>Subtotal s/ BDI (R$)</t>
        </is>
      </c>
      <c r="F2" s="2" t="inlineStr">
        <is>
          <t>% do Total</t>
        </is>
      </c>
      <c r="G2" s="2" t="inlineStr">
        <is>
          <t>% Acumulado</t>
        </is>
      </c>
      <c r="H2" s="2" t="inlineStr">
        <is>
          <t>Criticidade</t>
        </is>
      </c>
      <c r="I2" s="2" t="inlineStr">
        <is>
          <t>Destaque</t>
        </is>
      </c>
    </row>
    <row r="3">
      <c r="A3" s="46" t="inlineStr">
        <is>
          <t>eap-1_2</t>
        </is>
      </c>
      <c r="B3" s="46" t="inlineStr">
        <is>
          <t>Supressão vegetal, destocamento e limpeza de árvores, arbustos, vegetação rasteira e entulhos com remoção para área de depósito - DMT até 350m</t>
        </is>
      </c>
      <c r="C3" s="46" t="inlineStr">
        <is>
          <t>M2</t>
        </is>
      </c>
      <c r="D3" s="47" t="n">
        <v>2036512.35</v>
      </c>
      <c r="E3" s="48" t="n">
        <v>1517345.69</v>
      </c>
      <c r="F3" s="97" t="n">
        <v>27.6234</v>
      </c>
      <c r="G3" s="97" t="n">
        <v>27.6234</v>
      </c>
      <c r="H3" s="46" t="inlineStr">
        <is>
          <t>A</t>
        </is>
      </c>
      <c r="I3" s="46" t="inlineStr"/>
    </row>
    <row r="4">
      <c r="A4" s="46" t="inlineStr">
        <is>
          <t>eap-1_1</t>
        </is>
      </c>
      <c r="B4" s="46" t="inlineStr">
        <is>
          <t>Supressão vegetal com ou sem destocamento de vegetação com Ø =&lt; 30cm, assim como remoção de arbustos, vegetação rasteira e limpeza para a área de depósito - DMT até 350m - ALTA</t>
        </is>
      </c>
      <c r="C4" s="46" t="inlineStr">
        <is>
          <t>M2</t>
        </is>
      </c>
      <c r="D4" s="47" t="n">
        <v>383592.55</v>
      </c>
      <c r="E4" s="48" t="n">
        <v>1011949.44</v>
      </c>
      <c r="F4" s="97" t="n">
        <v>18.4226</v>
      </c>
      <c r="G4" s="97" t="n">
        <v>46.046</v>
      </c>
      <c r="H4" s="46" t="inlineStr">
        <is>
          <t>A</t>
        </is>
      </c>
      <c r="I4" s="46" t="inlineStr"/>
    </row>
    <row r="5">
      <c r="A5" s="46" t="inlineStr">
        <is>
          <t>eap-2_1</t>
        </is>
      </c>
      <c r="B5" s="46" t="inlineStr">
        <is>
          <t>Fornecimento e Instalação de Mata burro (padrão VALEC)</t>
        </is>
      </c>
      <c r="C5" s="46" t="inlineStr">
        <is>
          <t>UNIDADE</t>
        </is>
      </c>
      <c r="D5" s="47" t="n">
        <v>59</v>
      </c>
      <c r="E5" s="48" t="n">
        <v>427724.46</v>
      </c>
      <c r="F5" s="97" t="n">
        <v>7.7868</v>
      </c>
      <c r="G5" s="97" t="n">
        <v>53.8328</v>
      </c>
      <c r="H5" s="46" t="inlineStr">
        <is>
          <t>A</t>
        </is>
      </c>
      <c r="I5" s="46" t="inlineStr"/>
    </row>
    <row r="6">
      <c r="A6" s="43" t="inlineStr">
        <is>
          <t>eap-1_3</t>
        </is>
      </c>
      <c r="B6" s="43" t="inlineStr">
        <is>
          <t>Corte com destocamento de árvores com Ø &gt; 30cm e remoção para a área de depósito - DMT até 1000m</t>
        </is>
      </c>
      <c r="C6" s="43" t="inlineStr">
        <is>
          <t>UNIDADE</t>
        </is>
      </c>
      <c r="D6" s="44" t="n">
        <v>12240.2</v>
      </c>
      <c r="E6" s="45" t="n">
        <v>306608.04</v>
      </c>
      <c r="F6" s="98" t="n">
        <v>5.5818</v>
      </c>
      <c r="G6" s="98" t="n">
        <v>59.4146</v>
      </c>
      <c r="H6" s="43" t="inlineStr">
        <is>
          <t>B</t>
        </is>
      </c>
      <c r="I6" s="43" t="inlineStr"/>
    </row>
    <row r="7">
      <c r="A7" s="43" t="inlineStr">
        <is>
          <t>eap-3_1</t>
        </is>
      </c>
      <c r="B7" s="43" t="inlineStr">
        <is>
          <t>Cerca arame liso (5 fios) com mourões de concreto, seção quadrada 10 x 10 cm (padrão VALEC) executada em solos compostos por material de 1ª e 2ª categoria</t>
        </is>
      </c>
      <c r="C7" s="43" t="inlineStr">
        <is>
          <t>M</t>
        </is>
      </c>
      <c r="D7" s="44" t="n">
        <v>77928.38</v>
      </c>
      <c r="E7" s="45" t="n">
        <v>275950.99</v>
      </c>
      <c r="F7" s="98" t="n">
        <v>5.0237</v>
      </c>
      <c r="G7" s="98" t="n">
        <v>64.4384</v>
      </c>
      <c r="H7" s="43" t="inlineStr">
        <is>
          <t>B</t>
        </is>
      </c>
      <c r="I7" s="43" t="inlineStr"/>
    </row>
    <row r="8">
      <c r="A8" s="43" t="inlineStr">
        <is>
          <t>eap-5_1</t>
        </is>
      </c>
      <c r="B8" s="43" t="inlineStr">
        <is>
          <t>Abertura de acesso para implantação de cerca</t>
        </is>
      </c>
      <c r="C8" s="43" t="inlineStr">
        <is>
          <t>M</t>
        </is>
      </c>
      <c r="D8" s="44" t="n">
        <v>57000</v>
      </c>
      <c r="E8" s="45" t="n">
        <v>275950.99</v>
      </c>
      <c r="F8" s="98" t="n">
        <v>5.0237</v>
      </c>
      <c r="G8" s="98" t="n">
        <v>69.46210000000001</v>
      </c>
      <c r="H8" s="43" t="inlineStr">
        <is>
          <t>B</t>
        </is>
      </c>
      <c r="I8" s="43" t="inlineStr"/>
    </row>
    <row r="9">
      <c r="A9" s="31" t="inlineStr">
        <is>
          <t>eap-3_3</t>
        </is>
      </c>
      <c r="B9" s="31" t="inlineStr">
        <is>
          <t>Cerca arame liso (5 fios) com mourão de eucalipto e mourão de madeira a cada 4,0 m e esticador a cada 50 m executada em solos compostos por material de 1ª e 2ª categoria</t>
        </is>
      </c>
      <c r="C9" s="31" t="inlineStr">
        <is>
          <t>M</t>
        </is>
      </c>
      <c r="D9" s="32" t="n">
        <v>16451.19</v>
      </c>
      <c r="E9" s="33" t="n">
        <v>275950.99</v>
      </c>
      <c r="F9" s="4" t="n">
        <v>5.0237</v>
      </c>
      <c r="G9" s="4" t="n">
        <v>74.4858</v>
      </c>
      <c r="H9" s="31" t="inlineStr">
        <is>
          <t>C</t>
        </is>
      </c>
      <c r="I9" s="31" t="inlineStr"/>
    </row>
    <row r="10">
      <c r="A10" s="34" t="inlineStr">
        <is>
          <t>eap-3_5</t>
        </is>
      </c>
      <c r="B10" s="34" t="inlineStr">
        <is>
          <t>Cerca arame liso (5 fios) com mourão de eucalipto e mourão de madeira a cada 4,0 m e esticador a cada 50 m executada em solos alagadas</t>
        </is>
      </c>
      <c r="C10" s="34" t="inlineStr">
        <is>
          <t>M</t>
        </is>
      </c>
      <c r="D10" s="35" t="n">
        <v>1827.91</v>
      </c>
      <c r="E10" s="36" t="n">
        <v>275950.99</v>
      </c>
      <c r="F10" s="7" t="n">
        <v>5.0237</v>
      </c>
      <c r="G10" s="7" t="n">
        <v>79.5095</v>
      </c>
      <c r="H10" s="34" t="inlineStr">
        <is>
          <t>C</t>
        </is>
      </c>
      <c r="I10" s="34" t="inlineStr"/>
    </row>
    <row r="11">
      <c r="A11" s="31" t="inlineStr">
        <is>
          <t>eap-3_2</t>
        </is>
      </c>
      <c r="B11" s="31" t="inlineStr">
        <is>
          <t>Cerca arame liso (5 fios) com mourões de concreto, seção quadrada 10 x 10 cm (padrão VALEC) executada em solos alagáveis</t>
        </is>
      </c>
      <c r="C11" s="31" t="inlineStr">
        <is>
          <t>M</t>
        </is>
      </c>
      <c r="D11" s="32" t="n">
        <v>575</v>
      </c>
      <c r="E11" s="33" t="n">
        <v>275950.99</v>
      </c>
      <c r="F11" s="4" t="n">
        <v>5.0237</v>
      </c>
      <c r="G11" s="4" t="n">
        <v>84.53319999999999</v>
      </c>
      <c r="H11" s="31" t="inlineStr">
        <is>
          <t>C</t>
        </is>
      </c>
      <c r="I11" s="31" t="inlineStr"/>
    </row>
    <row r="12">
      <c r="A12" s="34" t="inlineStr">
        <is>
          <t>eap-3_4</t>
        </is>
      </c>
      <c r="B12" s="34" t="inlineStr">
        <is>
          <t>Cerca arame liso (5 fios) com mourão de eucalipto e mourão de madeira a cada 2,5 m e esticador a cada 50 m executada em solos compostos por material de 1ª e 2ª categoria</t>
        </is>
      </c>
      <c r="C12" s="34" t="inlineStr">
        <is>
          <t>M</t>
        </is>
      </c>
      <c r="D12" s="35" t="n">
        <v>700</v>
      </c>
      <c r="E12" s="36" t="n">
        <v>275950.99</v>
      </c>
      <c r="F12" s="7" t="n">
        <v>5.0237</v>
      </c>
      <c r="G12" s="7" t="n">
        <v>89.5569</v>
      </c>
      <c r="H12" s="34" t="inlineStr">
        <is>
          <t>C</t>
        </is>
      </c>
      <c r="I12" s="34" t="inlineStr"/>
    </row>
    <row r="13">
      <c r="A13" s="31" t="inlineStr">
        <is>
          <t>eap-4_1</t>
        </is>
      </c>
      <c r="B13" s="31" t="inlineStr">
        <is>
          <t>Implantação do eixo</t>
        </is>
      </c>
      <c r="C13" s="31" t="inlineStr">
        <is>
          <t>KM</t>
        </is>
      </c>
      <c r="D13" s="32" t="n">
        <v>57</v>
      </c>
      <c r="E13" s="33" t="n">
        <v>191722.63</v>
      </c>
      <c r="F13" s="4" t="n">
        <v>3.4903</v>
      </c>
      <c r="G13" s="4" t="n">
        <v>93.0472</v>
      </c>
      <c r="H13" s="31" t="inlineStr">
        <is>
          <t>C</t>
        </is>
      </c>
      <c r="I13" s="31" t="inlineStr"/>
    </row>
    <row r="14">
      <c r="A14" s="34" t="inlineStr">
        <is>
          <t>eap-3_6</t>
        </is>
      </c>
      <c r="B14" s="34" t="inlineStr">
        <is>
          <t>Remoção de cerca de mourão de madeira</t>
        </is>
      </c>
      <c r="C14" s="34" t="inlineStr">
        <is>
          <t>M</t>
        </is>
      </c>
      <c r="D14" s="35" t="n">
        <v>37143.75</v>
      </c>
      <c r="E14" s="36" t="n">
        <v>161253.33</v>
      </c>
      <c r="F14" s="7" t="n">
        <v>2.9356</v>
      </c>
      <c r="G14" s="7" t="n">
        <v>95.9829</v>
      </c>
      <c r="H14" s="34" t="inlineStr">
        <is>
          <t>C</t>
        </is>
      </c>
      <c r="I14" s="34" t="inlineStr"/>
    </row>
    <row r="15">
      <c r="A15" s="31" t="inlineStr">
        <is>
          <t>eap-2_3</t>
        </is>
      </c>
      <c r="B15" s="31" t="inlineStr">
        <is>
          <t>Fornecimento e Instalação de Porteira Metálica (padrão VALEC)</t>
        </is>
      </c>
      <c r="C15" s="31" t="inlineStr">
        <is>
          <t>UNIDADE</t>
        </is>
      </c>
      <c r="D15" s="32" t="n">
        <v>44</v>
      </c>
      <c r="E15" s="33" t="n">
        <v>110329.62</v>
      </c>
      <c r="F15" s="4" t="n">
        <v>2.0086</v>
      </c>
      <c r="G15" s="4" t="n">
        <v>97.9914</v>
      </c>
      <c r="H15" s="31" t="inlineStr">
        <is>
          <t>C</t>
        </is>
      </c>
      <c r="I15" s="31" t="inlineStr"/>
    </row>
    <row r="16">
      <c r="A16" s="34" t="inlineStr">
        <is>
          <t>eap-2_2</t>
        </is>
      </c>
      <c r="B16" s="34" t="inlineStr">
        <is>
          <t>Fornecimento e Instalação de Porteira de Madeira (padrão VALEC)</t>
        </is>
      </c>
      <c r="C16" s="34" t="inlineStr">
        <is>
          <t>UNIDADE</t>
        </is>
      </c>
      <c r="D16" s="35" t="n">
        <v>19</v>
      </c>
      <c r="E16" s="36" t="n">
        <v>110329.62</v>
      </c>
      <c r="F16" s="7" t="n">
        <v>2.0086</v>
      </c>
      <c r="G16" s="7" t="n">
        <v>100</v>
      </c>
      <c r="H16" s="34" t="inlineStr">
        <is>
          <t>C</t>
        </is>
      </c>
      <c r="I16" s="34" t="inlineStr"/>
    </row>
    <row r="18">
      <c r="A18" s="29" t="inlineStr">
        <is>
          <t>TOTAL</t>
        </is>
      </c>
      <c r="E18" s="30">
        <f>SUM(E3:E17)</f>
        <v/>
      </c>
      <c r="F18" s="37" t="n"/>
      <c r="G18" s="37" t="n"/>
      <c r="H18" s="37" t="n"/>
      <c r="I18" s="37" t="n"/>
    </row>
  </sheetData>
  <mergeCells count="2">
    <mergeCell ref="A1:I1"/>
    <mergeCell ref="A18:D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2026-05-12T13:21:28Z</dcterms:created>
  <dcterms:modified xsi:type="dcterms:W3CDTF">2026-05-12T13:21:28Z</dcterms:modified>
</cp:coreProperties>
</file>