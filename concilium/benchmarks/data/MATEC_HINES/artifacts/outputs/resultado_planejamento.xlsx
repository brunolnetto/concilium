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I" sheetId="1" state="visible" r:id="rId1"/>
    <sheet name="DIRETOS.DET" sheetId="2" state="visible" r:id="rId2"/>
    <sheet name="DIRETOS.RES" sheetId="3" state="visible" r:id="rId3"/>
    <sheet name="INDIRETOS.DET" sheetId="4" state="visible" r:id="rId4"/>
    <sheet name="INDIRETOS.RES" sheetId="5" state="visible" r:id="rId5"/>
    <sheet name="PLANEJAMENTO" sheetId="6" state="visible" r:id="rId6"/>
    <sheet name="CRONOGRAMA.DET" sheetId="7" state="visible" r:id="rId7"/>
    <sheet name="CRONOGRAMA.RES" sheetId="8" state="visible" r:id="rId8"/>
    <sheet name="EQUIPE" sheetId="9" state="visible" r:id="rId9"/>
    <sheet name="EQUILIBRIO" sheetId="10" state="visible" r:id="rId10"/>
    <sheet name="RESULTADO" sheetId="11" state="visible" r:id="rId11"/>
    <sheet name="ANALISE.FC_CAIXA" sheetId="12" state="visible" r:id="rId12"/>
    <sheet name="HIST.EQUIPAMENTOS" sheetId="13" state="visible" r:id="rId13"/>
    <sheet name="HIST.MAO_OBRA" sheetId="14" state="visible" r:id="rId14"/>
    <sheet name="ANALISE.CURVA_ABC" sheetId="15" state="visible" r:id="rId15"/>
  </sheets>
  <definedNames>
    <definedName name="TOTAL_DIRETO">'DIRETOS.DET'!$I$44</definedName>
    <definedName name="DIRETOS_RES_SEM_BDI">'DIRETOS.RES'!$I$8</definedName>
    <definedName name="DIRETOS_RES_COM_BDI">'DIRETOS.RES'!$N$8</definedName>
    <definedName name="TOTAL_ADM">'INDIRETOS.DET'!$H$5</definedName>
    <definedName name="TOTAL_TOP">'INDIRETOS.DET'!$H$8</definedName>
    <definedName name="TOTAL_LAB">'INDIRETOS.DET'!$H$11</definedName>
    <definedName name="TOTAL_QSMS">'INDIRETOS.DET'!$H$14</definedName>
    <definedName name="TOTAL_MOB">'INDIRETOS.DET'!$H$17</definedName>
    <definedName name="TOTAL_INDIRETO">'INDIRETOS.DET'!$H$19</definedName>
    <definedName name="TOTAL_SEM_BDI">PLANEJAMENTO!$I$8</definedName>
    <definedName name="TOTAL_COM_BDI">PLANEJAMENTO!$N$8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R$ #,##0.00"/>
    <numFmt numFmtId="166" formatCode="#,##0.##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1A3A5C"/>
      <sz val="10"/>
    </font>
    <font>
      <name val="Calibri"/>
      <b val="1"/>
      <color rgb="00C05C18"/>
      <sz val="10"/>
    </font>
    <font>
      <name val="Calibri"/>
      <color rgb="001A202C"/>
      <sz val="10"/>
    </font>
    <font>
      <name val="Calibri"/>
      <b val="1"/>
      <color rgb="00276749"/>
      <sz val="10"/>
    </font>
    <font>
      <name val="Calibri"/>
      <color rgb="00C05C18"/>
      <sz val="10"/>
    </font>
    <font>
      <name val="Calibri"/>
      <b val="1"/>
      <color rgb="001A202C"/>
      <sz val="10"/>
    </font>
    <font>
      <name val="Calibri"/>
      <b val="1"/>
      <color rgb="00FFFFFF"/>
      <sz val="11"/>
    </font>
    <font>
      <name val="Calibri"/>
      <b val="1"/>
      <color rgb="0092400E"/>
      <sz val="10"/>
    </font>
    <font>
      <name val="Calibri"/>
      <color rgb="001A3A5C"/>
      <sz val="10"/>
    </font>
    <font>
      <name val="Calibri"/>
      <b val="1"/>
      <color rgb="009B1C1C"/>
      <sz val="10"/>
    </font>
    <font>
      <name val="Calibri"/>
      <b val="1"/>
      <color rgb="009B1C1C"/>
      <sz val="14"/>
    </font>
    <font>
      <name val="Calibri"/>
      <color rgb="009B1C1C"/>
      <sz val="10"/>
    </font>
    <font>
      <name val="Calibri"/>
      <color rgb="00276749"/>
      <sz val="10"/>
    </font>
    <font>
      <name val="Calibri"/>
      <i val="1"/>
      <color rgb="00555555"/>
      <sz val="9"/>
    </font>
  </fonts>
  <fills count="14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FFFFFF"/>
        <bgColor rgb="00FFFFFF"/>
      </patternFill>
    </fill>
    <fill>
      <patternFill patternType="solid">
        <fgColor rgb="00F0F5FA"/>
        <bgColor rgb="00F0F5FA"/>
      </patternFill>
    </fill>
    <fill>
      <patternFill patternType="solid">
        <fgColor rgb="00F7FAFC"/>
        <bgColor rgb="00F7FAFC"/>
      </patternFill>
    </fill>
    <fill>
      <patternFill patternType="solid">
        <fgColor rgb="002B6CB0"/>
        <bgColor rgb="002B6CB0"/>
      </patternFill>
    </fill>
    <fill>
      <patternFill patternType="solid">
        <fgColor rgb="00F5E6D8"/>
        <bgColor rgb="00F5E6D8"/>
      </patternFill>
    </fill>
    <fill>
      <patternFill patternType="solid">
        <fgColor rgb="00FFFF33"/>
        <bgColor rgb="00FFFF33"/>
      </patternFill>
    </fill>
    <fill>
      <patternFill patternType="solid">
        <fgColor rgb="00FFA500"/>
        <bgColor rgb="00FFA500"/>
      </patternFill>
    </fill>
    <fill>
      <patternFill patternType="solid">
        <fgColor rgb="00FEF3C7"/>
        <bgColor rgb="00FEF3C7"/>
      </patternFill>
    </fill>
    <fill>
      <patternFill patternType="solid">
        <fgColor rgb="00EAD9C3"/>
        <bgColor rgb="00EAD9C3"/>
      </patternFill>
    </fill>
    <fill>
      <patternFill patternType="solid">
        <fgColor rgb="00FADDDD"/>
        <bgColor rgb="00FADDDD"/>
      </patternFill>
    </fill>
    <fill>
      <patternFill patternType="solid">
        <fgColor rgb="00DCEEE5"/>
        <bgColor rgb="00DCEEE5"/>
      </patternFill>
    </fill>
  </fills>
  <borders count="6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/>
      <right/>
      <top style="thin">
        <color rgb="00CBD5E0"/>
      </top>
      <bottom/>
      <diagonal/>
    </border>
    <border>
      <left/>
      <right style="thin">
        <color rgb="00CBD5E0"/>
      </right>
      <top style="thin">
        <color rgb="00CBD5E0"/>
      </top>
      <bottom/>
      <diagonal/>
    </border>
    <border>
      <left/>
      <right style="thin">
        <color rgb="00CBD5E0"/>
      </right>
      <top style="thin">
        <color rgb="00CBD5E0"/>
      </top>
      <bottom style="thin">
        <color rgb="00CBD5E0"/>
      </bottom>
      <diagonal/>
    </border>
    <border>
      <left/>
      <right/>
      <top style="thin">
        <color rgb="00CBD5E0"/>
      </top>
      <bottom style="thin">
        <color rgb="00CBD5E0"/>
      </bottom>
      <diagonal/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5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6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0" fillId="7" borderId="1" pivotButton="0" quotePrefix="0" xfId="0"/>
    <xf numFmtId="165" fontId="4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right" vertical="center"/>
    </xf>
    <xf numFmtId="165" fontId="2" fillId="2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left" vertical="center"/>
    </xf>
    <xf numFmtId="166" fontId="0" fillId="3" borderId="1" applyAlignment="1" pivotButton="0" quotePrefix="0" xfId="0">
      <alignment horizontal="right" vertical="center"/>
    </xf>
    <xf numFmtId="4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left" vertical="center"/>
    </xf>
    <xf numFmtId="166" fontId="0" fillId="4" borderId="1" applyAlignment="1" pivotButton="0" quotePrefix="0" xfId="0">
      <alignment horizontal="right" vertical="center"/>
    </xf>
    <xf numFmtId="4" fontId="0" fillId="4" borderId="1" applyAlignment="1" pivotButton="0" quotePrefix="0" xfId="0">
      <alignment horizontal="right" vertical="center"/>
    </xf>
    <xf numFmtId="0" fontId="0" fillId="2" borderId="1" pivotButton="0" quotePrefix="0" xfId="0"/>
    <xf numFmtId="0" fontId="8" fillId="5" borderId="1" applyAlignment="1" pivotButton="0" quotePrefix="0" xfId="0">
      <alignment horizontal="left" vertical="center"/>
    </xf>
    <xf numFmtId="0" fontId="0" fillId="0" borderId="4" pivotButton="0" quotePrefix="0" xfId="0"/>
    <xf numFmtId="165" fontId="8" fillId="5" borderId="1" applyAlignment="1" pivotButton="0" quotePrefix="0" xfId="0">
      <alignment horizontal="right" vertical="center"/>
    </xf>
    <xf numFmtId="0" fontId="0" fillId="0" borderId="5" pivotButton="0" quotePrefix="0" xfId="0"/>
    <xf numFmtId="164" fontId="0" fillId="5" borderId="1" applyAlignment="1" pivotButton="0" quotePrefix="0" xfId="0">
      <alignment horizontal="right" vertical="center"/>
    </xf>
    <xf numFmtId="0" fontId="0" fillId="8" borderId="1" applyAlignment="1" pivotButton="0" quotePrefix="0" xfId="0">
      <alignment horizontal="left" vertical="center"/>
    </xf>
    <xf numFmtId="166" fontId="0" fillId="8" borderId="1" applyAlignment="1" pivotButton="0" quotePrefix="0" xfId="0">
      <alignment horizontal="right" vertical="center"/>
    </xf>
    <xf numFmtId="4" fontId="0" fillId="8" borderId="1" applyAlignment="1" pivotButton="0" quotePrefix="0" xfId="0">
      <alignment horizontal="right" vertical="center"/>
    </xf>
    <xf numFmtId="0" fontId="0" fillId="9" borderId="1" applyAlignment="1" pivotButton="0" quotePrefix="0" xfId="0">
      <alignment horizontal="left" vertical="center"/>
    </xf>
    <xf numFmtId="166" fontId="0" fillId="9" borderId="1" applyAlignment="1" pivotButton="0" quotePrefix="0" xfId="0">
      <alignment horizontal="right" vertical="center"/>
    </xf>
    <xf numFmtId="4" fontId="0" fillId="9" borderId="1" applyAlignment="1" pivotButton="0" quotePrefix="0" xfId="0">
      <alignment horizontal="right" vertical="center"/>
    </xf>
    <xf numFmtId="0" fontId="0" fillId="10" borderId="1" pivotButton="0" quotePrefix="0" xfId="0"/>
    <xf numFmtId="0" fontId="10" fillId="10" borderId="1" applyAlignment="1" pivotButton="0" quotePrefix="0" xfId="0">
      <alignment horizontal="left" vertical="center"/>
    </xf>
    <xf numFmtId="9" fontId="4" fillId="10" borderId="1" applyAlignment="1" pivotButton="0" quotePrefix="0" xfId="0">
      <alignment horizontal="center" vertical="center"/>
    </xf>
    <xf numFmtId="9" fontId="5" fillId="1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/>
    </xf>
    <xf numFmtId="1" fontId="0" fillId="7" borderId="1" applyAlignment="1" pivotButton="0" quotePrefix="0" xfId="0">
      <alignment horizontal="right" vertical="center"/>
    </xf>
    <xf numFmtId="0" fontId="11" fillId="3" borderId="1" applyAlignment="1" pivotButton="0" quotePrefix="0" xfId="0">
      <alignment horizontal="left" vertical="center"/>
    </xf>
    <xf numFmtId="1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9" fontId="0" fillId="3" borderId="1" applyAlignment="1" pivotButton="0" quotePrefix="0" xfId="0">
      <alignment horizontal="right" vertical="center"/>
    </xf>
    <xf numFmtId="0" fontId="8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/>
    </xf>
    <xf numFmtId="1" fontId="0" fillId="11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left" vertical="center"/>
    </xf>
    <xf numFmtId="1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9" fontId="0" fillId="4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0" fontId="5" fillId="12" borderId="1" applyAlignment="1" pivotButton="0" quotePrefix="0" xfId="0">
      <alignment horizontal="left" vertical="center"/>
    </xf>
    <xf numFmtId="165" fontId="5" fillId="12" borderId="1" applyAlignment="1" pivotButton="0" quotePrefix="0" xfId="0">
      <alignment horizontal="right" vertical="center"/>
    </xf>
    <xf numFmtId="165" fontId="12" fillId="12" borderId="1" applyAlignment="1" pivotButton="0" quotePrefix="0" xfId="0">
      <alignment horizontal="right" vertical="center"/>
    </xf>
    <xf numFmtId="0" fontId="12" fillId="1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165" fontId="8" fillId="3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left" vertical="center"/>
    </xf>
    <xf numFmtId="165" fontId="12" fillId="3" borderId="1" applyAlignment="1" pivotButton="0" quotePrefix="0" xfId="0">
      <alignment horizontal="right" vertical="center"/>
    </xf>
    <xf numFmtId="0" fontId="13" fillId="12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165" fontId="14" fillId="4" borderId="1" applyAlignment="1" pivotButton="0" quotePrefix="0" xfId="0">
      <alignment horizontal="right" vertical="center"/>
    </xf>
    <xf numFmtId="165" fontId="14" fillId="12" borderId="1" applyAlignment="1" pivotButton="0" quotePrefix="0" xfId="0">
      <alignment horizontal="right" vertical="center"/>
    </xf>
    <xf numFmtId="165" fontId="15" fillId="13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165" fontId="4" fillId="2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right" vertical="center"/>
    </xf>
    <xf numFmtId="165" fontId="6" fillId="13" borderId="1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right" vertical="center"/>
    </xf>
    <xf numFmtId="1" fontId="2" fillId="2" borderId="1" applyAlignment="1" pivotButton="0" quotePrefix="0" xfId="0">
      <alignment horizontal="right" vertical="center"/>
    </xf>
    <xf numFmtId="164" fontId="0" fillId="9" borderId="1" applyAlignment="1" pivotButton="0" quotePrefix="0" xfId="0">
      <alignment horizontal="right" vertical="center"/>
    </xf>
    <xf numFmtId="164" fontId="0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2" customWidth="1" min="12" max="12"/>
    <col width="12" customWidth="1" min="13" max="13"/>
  </cols>
  <sheetData>
    <row r="1">
      <c r="A1" s="1" t="inlineStr">
        <is>
          <t>BDI — BONIFICAÇÕES E DESPESAS INDIRETAS (FÓRMULA TCU AC.2622/2013)</t>
        </is>
      </c>
    </row>
    <row r="2">
      <c r="A2" s="2" t="inlineStr">
        <is>
          <t>Categoria</t>
        </is>
      </c>
      <c r="B2" s="2" t="inlineStr">
        <is>
          <t>AC (%)</t>
        </is>
      </c>
      <c r="C2" s="2" t="inlineStr">
        <is>
          <t>DF (%)</t>
        </is>
      </c>
      <c r="D2" s="2" t="inlineStr">
        <is>
          <t>R (%)</t>
        </is>
      </c>
      <c r="E2" s="2" t="inlineStr">
        <is>
          <t>CR (%)</t>
        </is>
      </c>
      <c r="F2" s="2" t="inlineStr">
        <is>
          <t>Lucro L (%)</t>
        </is>
      </c>
      <c r="G2" s="2" t="inlineStr">
        <is>
          <t>COFINS (%)</t>
        </is>
      </c>
      <c r="H2" s="2" t="inlineStr">
        <is>
          <t>ISS (%)</t>
        </is>
      </c>
      <c r="I2" s="2" t="inlineStr">
        <is>
          <t>PIS (%)</t>
        </is>
      </c>
      <c r="J2" s="2" t="inlineStr">
        <is>
          <t>CSSL (%)</t>
        </is>
      </c>
      <c r="K2" s="2" t="inlineStr">
        <is>
          <t>IR (%)</t>
        </is>
      </c>
      <c r="L2" s="2" t="inlineStr">
        <is>
          <t>T=Tributos (%)</t>
        </is>
      </c>
      <c r="M2" s="2" t="inlineStr">
        <is>
          <t>BDI Total (%)</t>
        </is>
      </c>
    </row>
    <row r="3">
      <c r="A3" s="3" t="inlineStr">
        <is>
          <t>MÃO DE OBRA</t>
        </is>
      </c>
      <c r="B3" s="4" t="n">
        <v>5</v>
      </c>
      <c r="C3" s="4" t="n">
        <v>1.5</v>
      </c>
      <c r="D3" s="4" t="n">
        <v>1</v>
      </c>
      <c r="E3" s="4" t="n">
        <v>0</v>
      </c>
      <c r="F3" s="4" t="n">
        <v>9</v>
      </c>
      <c r="G3" s="4" t="n">
        <v>3</v>
      </c>
      <c r="H3" s="4" t="n">
        <v>5</v>
      </c>
      <c r="I3" s="4" t="n">
        <v>0.65</v>
      </c>
      <c r="J3" s="4" t="n">
        <v>1.99</v>
      </c>
      <c r="K3" s="4" t="n">
        <v>2.74</v>
      </c>
      <c r="L3" s="4" t="n">
        <v>13.38</v>
      </c>
      <c r="M3" s="5" t="n">
        <v>34.5</v>
      </c>
    </row>
    <row r="4">
      <c r="A4" s="6" t="inlineStr">
        <is>
          <t>MATERIAL</t>
        </is>
      </c>
      <c r="B4" s="7" t="n">
        <v>5</v>
      </c>
      <c r="C4" s="7" t="n">
        <v>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8" t="n">
        <v>5</v>
      </c>
    </row>
    <row r="5">
      <c r="A5" s="3" t="inlineStr">
        <is>
          <t>SERVIÇOS</t>
        </is>
      </c>
      <c r="B5" s="4" t="n">
        <v>5</v>
      </c>
      <c r="C5" s="4" t="n">
        <v>1.5</v>
      </c>
      <c r="D5" s="4" t="n">
        <v>1</v>
      </c>
      <c r="E5" s="4" t="n">
        <v>0</v>
      </c>
      <c r="F5" s="4" t="n">
        <v>9</v>
      </c>
      <c r="G5" s="4" t="n">
        <v>3</v>
      </c>
      <c r="H5" s="4" t="n">
        <v>5</v>
      </c>
      <c r="I5" s="4" t="n">
        <v>0.65</v>
      </c>
      <c r="J5" s="4" t="n">
        <v>1.99</v>
      </c>
      <c r="K5" s="4" t="n">
        <v>2.74</v>
      </c>
      <c r="L5" s="4" t="n">
        <v>13.38</v>
      </c>
      <c r="M5" s="5" t="n">
        <v>34.5</v>
      </c>
    </row>
    <row r="6">
      <c r="A6" s="6" t="inlineStr">
        <is>
          <t>INDIRETO</t>
        </is>
      </c>
      <c r="B6" s="7" t="n">
        <v>4</v>
      </c>
      <c r="C6" s="7" t="n">
        <v>0</v>
      </c>
      <c r="D6" s="7" t="n">
        <v>0</v>
      </c>
      <c r="E6" s="7" t="n">
        <v>0</v>
      </c>
      <c r="F6" s="7" t="n">
        <v>2</v>
      </c>
      <c r="G6" s="7" t="n">
        <v>3</v>
      </c>
      <c r="H6" s="7" t="n">
        <v>5</v>
      </c>
      <c r="I6" s="7" t="n">
        <v>0.65</v>
      </c>
      <c r="J6" s="7" t="n">
        <v>1.99</v>
      </c>
      <c r="K6" s="7" t="n">
        <v>2.74</v>
      </c>
      <c r="L6" s="7" t="n">
        <v>13.38</v>
      </c>
      <c r="M6" s="8" t="n">
        <v>22.37</v>
      </c>
    </row>
    <row r="7">
      <c r="A7" s="3" t="inlineStr">
        <is>
          <t>DIESEL</t>
        </is>
      </c>
      <c r="B7" s="4" t="n">
        <v>4</v>
      </c>
      <c r="C7" s="4" t="n">
        <v>0</v>
      </c>
      <c r="D7" s="4" t="n">
        <v>0</v>
      </c>
      <c r="E7" s="4" t="n">
        <v>0</v>
      </c>
      <c r="F7" s="4" t="n">
        <v>5</v>
      </c>
      <c r="G7" s="4" t="n">
        <v>3</v>
      </c>
      <c r="H7" s="4" t="n">
        <v>5</v>
      </c>
      <c r="I7" s="4" t="n">
        <v>0.65</v>
      </c>
      <c r="J7" s="4" t="n">
        <v>1.99</v>
      </c>
      <c r="K7" s="4" t="n">
        <v>2.74</v>
      </c>
      <c r="L7" s="4" t="n">
        <v>13.38</v>
      </c>
      <c r="M7" s="5" t="n">
        <v>25.84</v>
      </c>
    </row>
    <row r="9">
      <c r="A9" s="9" t="inlineStr">
        <is>
          <t>Fórmula: BDI = (1 + AC + DF + R + CR + L) / (1 - T) - 1  |  T = COFINS+ISS+PIS+CSSL+IR</t>
        </is>
      </c>
    </row>
    <row r="11">
      <c r="A11" s="9" t="inlineStr">
        <is>
          <t>BDI Efetivo Aplicado por Item do Planejamento</t>
        </is>
      </c>
    </row>
    <row r="12">
      <c r="A12" s="10" t="inlineStr">
        <is>
          <t>Item ID</t>
        </is>
      </c>
      <c r="B12" s="10" t="inlineStr">
        <is>
          <t>MO BDI (%)</t>
        </is>
      </c>
      <c r="C12" s="10" t="inlineStr">
        <is>
          <t>EQ BDI (%)</t>
        </is>
      </c>
      <c r="D12" s="10" t="inlineStr">
        <is>
          <t>MAT BDI (%)</t>
        </is>
      </c>
      <c r="E12" s="10" t="inlineStr">
        <is>
          <t>DIESEL BDI (%)</t>
        </is>
      </c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</row>
    <row r="13">
      <c r="A13" s="11" t="inlineStr">
        <is>
          <t>eap-1_3</t>
        </is>
      </c>
      <c r="B13" s="4" t="n">
        <v>34.5</v>
      </c>
      <c r="C13" s="4" t="n">
        <v>34.5</v>
      </c>
      <c r="D13" s="4" t="n">
        <v>20</v>
      </c>
      <c r="E13" s="4" t="n">
        <v>34.5</v>
      </c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13" t="inlineStr">
        <is>
          <t>eap-1_2</t>
        </is>
      </c>
      <c r="B14" s="7" t="n">
        <v>34.5</v>
      </c>
      <c r="C14" s="7" t="n">
        <v>34.5</v>
      </c>
      <c r="D14" s="7" t="n">
        <v>20</v>
      </c>
      <c r="E14" s="7" t="n">
        <v>34.5</v>
      </c>
      <c r="F14" s="14" t="n"/>
      <c r="G14" s="14" t="n"/>
      <c r="H14" s="14" t="n"/>
      <c r="I14" s="14" t="n"/>
      <c r="J14" s="14" t="n"/>
      <c r="K14" s="14" t="n"/>
      <c r="L14" s="14" t="n"/>
      <c r="M14" s="14" t="n"/>
    </row>
    <row r="15">
      <c r="A15" s="11" t="inlineStr">
        <is>
          <t>eap-1_5</t>
        </is>
      </c>
      <c r="B15" s="4" t="n">
        <v>34.5</v>
      </c>
      <c r="C15" s="4" t="n">
        <v>34.5</v>
      </c>
      <c r="D15" s="4" t="n">
        <v>20</v>
      </c>
      <c r="E15" s="4" t="n">
        <v>34.5</v>
      </c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13" t="inlineStr">
        <is>
          <t>eap-1_1</t>
        </is>
      </c>
      <c r="B16" s="7" t="n">
        <v>34.5</v>
      </c>
      <c r="C16" s="7" t="n">
        <v>34.5</v>
      </c>
      <c r="D16" s="7" t="n">
        <v>20</v>
      </c>
      <c r="E16" s="7" t="n">
        <v>34.5</v>
      </c>
      <c r="F16" s="14" t="n"/>
      <c r="G16" s="14" t="n"/>
      <c r="H16" s="14" t="n"/>
      <c r="I16" s="14" t="n"/>
      <c r="J16" s="14" t="n"/>
      <c r="K16" s="14" t="n"/>
      <c r="L16" s="14" t="n"/>
      <c r="M16" s="14" t="n"/>
    </row>
  </sheetData>
  <mergeCells count="3">
    <mergeCell ref="A11:M11"/>
    <mergeCell ref="A1:M1"/>
    <mergeCell ref="A9:M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6" customWidth="1" min="3" max="3"/>
    <col width="10" customWidth="1" min="4" max="4"/>
    <col width="6" customWidth="1" min="5" max="5"/>
    <col width="16" customWidth="1" min="6" max="6"/>
    <col width="16" customWidth="1" min="7" max="7"/>
    <col width="10" customWidth="1" min="8" max="8"/>
    <col width="16" customWidth="1" min="9" max="9"/>
  </cols>
  <sheetData>
    <row r="1">
      <c r="A1" s="1" t="inlineStr">
        <is>
          <t>DIRETOS — EQUIPES E RECURSOS</t>
        </is>
      </c>
    </row>
    <row r="2">
      <c r="A2" s="2" t="inlineStr">
        <is>
          <t>Tipo</t>
        </is>
      </c>
      <c r="B2" s="2" t="inlineStr">
        <is>
          <t>Código</t>
        </is>
      </c>
      <c r="C2" s="2" t="inlineStr">
        <is>
          <t>Descrição</t>
        </is>
      </c>
      <c r="D2" s="2" t="inlineStr">
        <is>
          <t>Papel</t>
        </is>
      </c>
      <c r="E2" s="2" t="inlineStr">
        <is>
          <t>Qtd</t>
        </is>
      </c>
      <c r="F2" s="2" t="inlineStr">
        <is>
          <t>Custo Unit/Mês (R$)</t>
        </is>
      </c>
      <c r="G2" s="2" t="inlineStr">
        <is>
          <t>Custo Total/Mês (R$)</t>
        </is>
      </c>
      <c r="H2" s="2" t="inlineStr">
        <is>
          <t>Perm. (meses)</t>
        </is>
      </c>
      <c r="I2" s="2" t="inlineStr">
        <is>
          <t>Custo Total (R$)</t>
        </is>
      </c>
    </row>
    <row r="3">
      <c r="A3" s="9" t="inlineStr">
        <is>
          <t>eap-1_3 — Aterro compactado / 98% e 100% P.N nas útimas 5 camadas</t>
        </is>
      </c>
    </row>
    <row r="4">
      <c r="A4" s="11" t="inlineStr">
        <is>
          <t>MÃO DE OBRA</t>
        </is>
      </c>
      <c r="B4" s="11" t="inlineStr">
        <is>
          <t>MO-OPER-MOTO</t>
        </is>
      </c>
      <c r="C4" s="11" t="inlineStr">
        <is>
          <t>Operador de Motoniveladora</t>
        </is>
      </c>
      <c r="D4" s="15" t="inlineStr">
        <is>
          <t>DIRETO</t>
        </is>
      </c>
      <c r="E4" s="16" t="n">
        <v>1</v>
      </c>
      <c r="F4" s="17" t="n">
        <v>17356.25</v>
      </c>
      <c r="G4" s="17">
        <f>E4*F4</f>
        <v/>
      </c>
      <c r="H4" s="16" t="n">
        <v>9.199999999999999</v>
      </c>
      <c r="I4" s="17">
        <f>G4*H4</f>
        <v/>
      </c>
    </row>
    <row r="5">
      <c r="A5" s="11" t="inlineStr">
        <is>
          <t>MÃO DE OBRA</t>
        </is>
      </c>
      <c r="B5" s="11" t="inlineStr">
        <is>
          <t>MO-OPER-ROLO-COMP</t>
        </is>
      </c>
      <c r="C5" s="11" t="inlineStr">
        <is>
          <t>Operador de Rolo Compactador</t>
        </is>
      </c>
      <c r="D5" s="15" t="inlineStr">
        <is>
          <t>DIRETO</t>
        </is>
      </c>
      <c r="E5" s="16" t="n">
        <v>1</v>
      </c>
      <c r="F5" s="17" t="n">
        <v>10685.34</v>
      </c>
      <c r="G5" s="17">
        <f>E5*F5</f>
        <v/>
      </c>
      <c r="H5" s="16" t="n">
        <v>9.199999999999999</v>
      </c>
      <c r="I5" s="17">
        <f>G5*H5</f>
        <v/>
      </c>
    </row>
    <row r="6">
      <c r="A6" s="11" t="inlineStr">
        <is>
          <t>MÃO DE OBRA</t>
        </is>
      </c>
      <c r="B6" s="11" t="inlineStr">
        <is>
          <t>MO-MOTOR-CAM-PIPA</t>
        </is>
      </c>
      <c r="C6" s="11" t="inlineStr">
        <is>
          <t>Motorista de Caminhão Pipa</t>
        </is>
      </c>
      <c r="D6" s="15" t="inlineStr">
        <is>
          <t>DIRETO</t>
        </is>
      </c>
      <c r="E6" s="16" t="n">
        <v>1</v>
      </c>
      <c r="F6" s="17" t="n">
        <v>10685.34</v>
      </c>
      <c r="G6" s="17">
        <f>E6*F6</f>
        <v/>
      </c>
      <c r="H6" s="16" t="n">
        <v>9.199999999999999</v>
      </c>
      <c r="I6" s="17">
        <f>G6*H6</f>
        <v/>
      </c>
    </row>
    <row r="7">
      <c r="A7" s="11" t="inlineStr">
        <is>
          <t>MÃO DE OBRA</t>
        </is>
      </c>
      <c r="B7" s="11" t="inlineStr">
        <is>
          <t>MO-OPER-ROLO-COMP</t>
        </is>
      </c>
      <c r="C7" s="11" t="inlineStr">
        <is>
          <t>Operador de Rolo Compactador</t>
        </is>
      </c>
      <c r="D7" s="15" t="inlineStr">
        <is>
          <t>DIRETO</t>
        </is>
      </c>
      <c r="E7" s="16" t="n">
        <v>1</v>
      </c>
      <c r="F7" s="17" t="n">
        <v>10685.34</v>
      </c>
      <c r="G7" s="17">
        <f>E7*F7</f>
        <v/>
      </c>
      <c r="H7" s="16" t="n">
        <v>9.199999999999999</v>
      </c>
      <c r="I7" s="17">
        <f>G7*H7</f>
        <v/>
      </c>
    </row>
    <row r="8">
      <c r="A8" s="11" t="inlineStr">
        <is>
          <t>MÃO DE OBRA</t>
        </is>
      </c>
      <c r="B8" s="11" t="inlineStr">
        <is>
          <t>MO-ENCARREG-TERRA</t>
        </is>
      </c>
      <c r="C8" s="11" t="inlineStr">
        <is>
          <t>Encarregado de Terraplenagem</t>
        </is>
      </c>
      <c r="D8" s="15" t="inlineStr">
        <is>
          <t>DIRETO</t>
        </is>
      </c>
      <c r="E8" s="16" t="n">
        <v>1</v>
      </c>
      <c r="F8" s="17" t="n">
        <v>11549.8</v>
      </c>
      <c r="G8" s="17">
        <f>E8*F8</f>
        <v/>
      </c>
      <c r="H8" s="16" t="n">
        <v>9.199999999999999</v>
      </c>
      <c r="I8" s="17">
        <f>G8*H8</f>
        <v/>
      </c>
    </row>
    <row r="9">
      <c r="A9" s="11" t="inlineStr">
        <is>
          <t>EQUIPAMENTO</t>
        </is>
      </c>
      <c r="B9" s="11" t="inlineStr">
        <is>
          <t>EQ-E0029</t>
        </is>
      </c>
      <c r="C9" s="11" t="inlineStr">
        <is>
          <t>Motoniveladora 140HP</t>
        </is>
      </c>
      <c r="D9" s="18" t="inlineStr">
        <is>
          <t>—</t>
        </is>
      </c>
      <c r="E9" s="16" t="n">
        <v>1</v>
      </c>
      <c r="F9" s="17" t="n">
        <v>43326.98</v>
      </c>
      <c r="G9" s="17">
        <f>E9*F9</f>
        <v/>
      </c>
      <c r="H9" s="16" t="n">
        <v>9.199999999999999</v>
      </c>
      <c r="I9" s="17">
        <f>G9*H9</f>
        <v/>
      </c>
    </row>
    <row r="10">
      <c r="A10" s="19" t="inlineStr">
        <is>
          <t>COMBUSTÍVEL</t>
        </is>
      </c>
      <c r="B10" s="11" t="inlineStr">
        <is>
          <t>EQ-E0029</t>
        </is>
      </c>
      <c r="C10" s="11" t="inlineStr">
        <is>
          <t>Diesel S-10 (11.0 L/h)</t>
        </is>
      </c>
      <c r="D10" s="18" t="inlineStr">
        <is>
          <t>—</t>
        </is>
      </c>
      <c r="E10" s="16" t="n">
        <v>1</v>
      </c>
      <c r="F10" s="17" t="n">
        <v>14029.71</v>
      </c>
      <c r="G10" s="17">
        <f>E10*F10</f>
        <v/>
      </c>
      <c r="H10" s="16" t="n">
        <v>9.199999999999999</v>
      </c>
      <c r="I10" s="17">
        <f>G10*H10</f>
        <v/>
      </c>
    </row>
    <row r="11">
      <c r="A11" s="11" t="inlineStr">
        <is>
          <t>EQUIPAMENTO</t>
        </is>
      </c>
      <c r="B11" s="11" t="inlineStr">
        <is>
          <t>EQ-E0035</t>
        </is>
      </c>
      <c r="C11" s="11" t="inlineStr">
        <is>
          <t>Trator de esteiras 20T</t>
        </is>
      </c>
      <c r="D11" s="18" t="inlineStr">
        <is>
          <t>—</t>
        </is>
      </c>
      <c r="E11" s="16" t="n">
        <v>1</v>
      </c>
      <c r="F11" s="17" t="n">
        <v>21683.2</v>
      </c>
      <c r="G11" s="17">
        <f>E11*F11</f>
        <v/>
      </c>
      <c r="H11" s="16" t="n">
        <v>9.199999999999999</v>
      </c>
      <c r="I11" s="17">
        <f>G11*H11</f>
        <v/>
      </c>
    </row>
    <row r="12">
      <c r="A12" s="19" t="inlineStr">
        <is>
          <t>COMBUSTÍVEL</t>
        </is>
      </c>
      <c r="B12" s="11" t="inlineStr">
        <is>
          <t>EQ-E0035</t>
        </is>
      </c>
      <c r="C12" s="11" t="inlineStr">
        <is>
          <t>Diesel S-10 (18.0 L/h)</t>
        </is>
      </c>
      <c r="D12" s="18" t="inlineStr">
        <is>
          <t>—</t>
        </is>
      </c>
      <c r="E12" s="16" t="n">
        <v>1</v>
      </c>
      <c r="F12" s="17" t="n">
        <v>22957.71</v>
      </c>
      <c r="G12" s="17">
        <f>E12*F12</f>
        <v/>
      </c>
      <c r="H12" s="16" t="n">
        <v>9.199999999999999</v>
      </c>
      <c r="I12" s="17">
        <f>G12*H12</f>
        <v/>
      </c>
    </row>
    <row r="13">
      <c r="A13" s="11" t="inlineStr">
        <is>
          <t>EQUIPAMENTO</t>
        </is>
      </c>
      <c r="B13" s="11" t="inlineStr">
        <is>
          <t>EQ-E0010</t>
        </is>
      </c>
      <c r="C13" s="11" t="inlineStr">
        <is>
          <t>Caminhão Pipa 10.000L</t>
        </is>
      </c>
      <c r="D13" s="18" t="inlineStr">
        <is>
          <t>—</t>
        </is>
      </c>
      <c r="E13" s="16" t="n">
        <v>1</v>
      </c>
      <c r="F13" s="17" t="n">
        <v>19360</v>
      </c>
      <c r="G13" s="17">
        <f>E13*F13</f>
        <v/>
      </c>
      <c r="H13" s="16" t="n">
        <v>9.199999999999999</v>
      </c>
      <c r="I13" s="17">
        <f>G13*H13</f>
        <v/>
      </c>
    </row>
    <row r="14">
      <c r="A14" s="19" t="inlineStr">
        <is>
          <t>COMBUSTÍVEL</t>
        </is>
      </c>
      <c r="B14" s="11" t="inlineStr">
        <is>
          <t>EQ-E0010</t>
        </is>
      </c>
      <c r="C14" s="11" t="inlineStr">
        <is>
          <t>Diesel S-10 (2.0 L/h)</t>
        </is>
      </c>
      <c r="D14" s="18" t="inlineStr">
        <is>
          <t>—</t>
        </is>
      </c>
      <c r="E14" s="16" t="n">
        <v>1</v>
      </c>
      <c r="F14" s="17" t="n">
        <v>2550.86</v>
      </c>
      <c r="G14" s="17">
        <f>E14*F14</f>
        <v/>
      </c>
      <c r="H14" s="16" t="n">
        <v>9.199999999999999</v>
      </c>
      <c r="I14" s="17">
        <f>G14*H14</f>
        <v/>
      </c>
    </row>
    <row r="15">
      <c r="A15" s="20" t="inlineStr">
        <is>
          <t>Subtotal eap-1_3</t>
        </is>
      </c>
      <c r="B15" s="21" t="n"/>
      <c r="C15" s="21" t="n"/>
      <c r="D15" s="21" t="n"/>
      <c r="E15" s="21" t="n"/>
      <c r="F15" s="21" t="n"/>
      <c r="G15" s="22">
        <f>SUM(G4:G14)</f>
        <v/>
      </c>
      <c r="H15" s="23" t="n">
        <v>9.199999999999999</v>
      </c>
      <c r="I15" s="22">
        <f>SUM(I4:I14)</f>
        <v/>
      </c>
    </row>
    <row r="16">
      <c r="A16" s="9" t="inlineStr">
        <is>
          <t>eap-1_2 — Corte e transporte interno</t>
        </is>
      </c>
    </row>
    <row r="17">
      <c r="A17" s="13" t="inlineStr">
        <is>
          <t>MÃO DE OBRA</t>
        </is>
      </c>
      <c r="B17" s="13" t="inlineStr">
        <is>
          <t>MO-OPER-ESCAV</t>
        </is>
      </c>
      <c r="C17" s="13" t="inlineStr">
        <is>
          <t>Operador de Escavadeira</t>
        </is>
      </c>
      <c r="D17" s="24" t="inlineStr">
        <is>
          <t>DIRETO</t>
        </is>
      </c>
      <c r="E17" s="25" t="n">
        <v>1</v>
      </c>
      <c r="F17" s="26" t="n">
        <v>12875</v>
      </c>
      <c r="G17" s="26">
        <f>E17*F17</f>
        <v/>
      </c>
      <c r="H17" s="25" t="n">
        <v>9.199999999999999</v>
      </c>
      <c r="I17" s="26">
        <f>G17*H17</f>
        <v/>
      </c>
    </row>
    <row r="18">
      <c r="A18" s="13" t="inlineStr">
        <is>
          <t>MÃO DE OBRA</t>
        </is>
      </c>
      <c r="B18" s="13" t="inlineStr">
        <is>
          <t>MO-MOTOR-CAM-BASC</t>
        </is>
      </c>
      <c r="C18" s="13" t="inlineStr">
        <is>
          <t>Motorista de Caminhão Basculante</t>
        </is>
      </c>
      <c r="D18" s="24" t="inlineStr">
        <is>
          <t>DIRETO</t>
        </is>
      </c>
      <c r="E18" s="25" t="n">
        <v>3</v>
      </c>
      <c r="F18" s="26" t="n">
        <v>10685.34</v>
      </c>
      <c r="G18" s="26">
        <f>E18*F18</f>
        <v/>
      </c>
      <c r="H18" s="25" t="n">
        <v>9.199999999999999</v>
      </c>
      <c r="I18" s="26">
        <f>G18*H18</f>
        <v/>
      </c>
    </row>
    <row r="19">
      <c r="A19" s="13" t="inlineStr">
        <is>
          <t>MÃO DE OBRA</t>
        </is>
      </c>
      <c r="B19" s="13" t="inlineStr">
        <is>
          <t>MO-MOTOR-CAM-BASC</t>
        </is>
      </c>
      <c r="C19" s="13" t="inlineStr">
        <is>
          <t>Motorista de Caminhão Basculante</t>
        </is>
      </c>
      <c r="D19" s="24" t="inlineStr">
        <is>
          <t>DIRETO</t>
        </is>
      </c>
      <c r="E19" s="25" t="n">
        <v>1</v>
      </c>
      <c r="F19" s="26" t="n">
        <v>10685.34</v>
      </c>
      <c r="G19" s="26">
        <f>E19*F19</f>
        <v/>
      </c>
      <c r="H19" s="25" t="n">
        <v>9.199999999999999</v>
      </c>
      <c r="I19" s="26">
        <f>G19*H19</f>
        <v/>
      </c>
    </row>
    <row r="20">
      <c r="A20" s="13" t="inlineStr">
        <is>
          <t>MÃO DE OBRA</t>
        </is>
      </c>
      <c r="B20" s="13" t="inlineStr">
        <is>
          <t>MO-ENCARREG-TERRA</t>
        </is>
      </c>
      <c r="C20" s="13" t="inlineStr">
        <is>
          <t>Encarregado de Terraplenagem</t>
        </is>
      </c>
      <c r="D20" s="24" t="inlineStr">
        <is>
          <t>DIRETO</t>
        </is>
      </c>
      <c r="E20" s="25" t="n">
        <v>1</v>
      </c>
      <c r="F20" s="26" t="n">
        <v>11549.8</v>
      </c>
      <c r="G20" s="26">
        <f>E20*F20</f>
        <v/>
      </c>
      <c r="H20" s="25" t="n">
        <v>9.199999999999999</v>
      </c>
      <c r="I20" s="26">
        <f>G20*H20</f>
        <v/>
      </c>
    </row>
    <row r="21">
      <c r="A21" s="13" t="inlineStr">
        <is>
          <t>EQUIPAMENTO</t>
        </is>
      </c>
      <c r="B21" s="13" t="inlineStr">
        <is>
          <t>EQ-E0016</t>
        </is>
      </c>
      <c r="C21" s="13" t="inlineStr">
        <is>
          <t>Escavadeira Hidráulica 22t</t>
        </is>
      </c>
      <c r="D21" s="27" t="inlineStr">
        <is>
          <t>—</t>
        </is>
      </c>
      <c r="E21" s="25" t="n">
        <v>1</v>
      </c>
      <c r="F21" s="26" t="n">
        <v>35639.3</v>
      </c>
      <c r="G21" s="26">
        <f>E21*F21</f>
        <v/>
      </c>
      <c r="H21" s="25" t="n">
        <v>9.199999999999999</v>
      </c>
      <c r="I21" s="26">
        <f>G21*H21</f>
        <v/>
      </c>
    </row>
    <row r="22">
      <c r="A22" s="13" t="inlineStr">
        <is>
          <t>EQUIPAMENTO</t>
        </is>
      </c>
      <c r="B22" s="13" t="inlineStr">
        <is>
          <t>EQ-E0007</t>
        </is>
      </c>
      <c r="C22" s="13" t="inlineStr">
        <is>
          <t>Caminhão Basculante 14m³</t>
        </is>
      </c>
      <c r="D22" s="27" t="inlineStr">
        <is>
          <t>—</t>
        </is>
      </c>
      <c r="E22" s="25" t="n">
        <v>3</v>
      </c>
      <c r="F22" s="26" t="n">
        <v>25132.8</v>
      </c>
      <c r="G22" s="26">
        <f>E22*F22</f>
        <v/>
      </c>
      <c r="H22" s="25" t="n">
        <v>9.199999999999999</v>
      </c>
      <c r="I22" s="26">
        <f>G22*H22</f>
        <v/>
      </c>
    </row>
    <row r="23">
      <c r="A23" s="28" t="inlineStr">
        <is>
          <t>COMBUSTÍVEL</t>
        </is>
      </c>
      <c r="B23" s="13" t="inlineStr">
        <is>
          <t>EQ-E0007</t>
        </is>
      </c>
      <c r="C23" s="13" t="inlineStr">
        <is>
          <t>Diesel S-10 (7.3 L/h)</t>
        </is>
      </c>
      <c r="D23" s="27" t="inlineStr">
        <is>
          <t>—</t>
        </is>
      </c>
      <c r="E23" s="25" t="n">
        <v>3</v>
      </c>
      <c r="F23" s="26" t="n">
        <v>9259.610000000001</v>
      </c>
      <c r="G23" s="26">
        <f>E23*F23</f>
        <v/>
      </c>
      <c r="H23" s="25" t="n">
        <v>9.199999999999999</v>
      </c>
      <c r="I23" s="26">
        <f>G23*H23</f>
        <v/>
      </c>
    </row>
    <row r="24">
      <c r="A24" s="20" t="inlineStr">
        <is>
          <t>Subtotal eap-1_2</t>
        </is>
      </c>
      <c r="B24" s="21" t="n"/>
      <c r="C24" s="21" t="n"/>
      <c r="D24" s="21" t="n"/>
      <c r="E24" s="21" t="n"/>
      <c r="F24" s="21" t="n"/>
      <c r="G24" s="22">
        <f>SUM(G17:G23)</f>
        <v/>
      </c>
      <c r="H24" s="23" t="n">
        <v>9.199999999999999</v>
      </c>
      <c r="I24" s="22">
        <f>SUM(I17:I23)</f>
        <v/>
      </c>
    </row>
    <row r="25">
      <c r="A25" s="9" t="inlineStr">
        <is>
          <t>eap-1_5 — Opcional - Transporte de solo já cortado, para outro terreno em Guarulhos com DMT de 8km.</t>
        </is>
      </c>
    </row>
    <row r="26">
      <c r="A26" s="11" t="inlineStr">
        <is>
          <t>MÃO DE OBRA</t>
        </is>
      </c>
      <c r="B26" s="11" t="inlineStr">
        <is>
          <t>P0040</t>
        </is>
      </c>
      <c r="C26" s="11" t="inlineStr">
        <is>
          <t>Operador de Escavadeira</t>
        </is>
      </c>
      <c r="D26" s="15" t="inlineStr">
        <is>
          <t>DIRETO</t>
        </is>
      </c>
      <c r="E26" s="16" t="n">
        <v>1</v>
      </c>
      <c r="F26" s="17" t="n">
        <v>10300</v>
      </c>
      <c r="G26" s="17">
        <f>E26*F26</f>
        <v/>
      </c>
      <c r="H26" s="16" t="n">
        <v>9.199999999999999</v>
      </c>
      <c r="I26" s="17">
        <f>G26*H26</f>
        <v/>
      </c>
    </row>
    <row r="27">
      <c r="A27" s="11" t="inlineStr">
        <is>
          <t>MÃO DE OBRA</t>
        </is>
      </c>
      <c r="B27" s="11" t="inlineStr">
        <is>
          <t>P0001</t>
        </is>
      </c>
      <c r="C27" s="11" t="inlineStr">
        <is>
          <t>Ajudante</t>
        </is>
      </c>
      <c r="D27" s="15" t="inlineStr">
        <is>
          <t>DIRETO</t>
        </is>
      </c>
      <c r="E27" s="16" t="n">
        <v>1</v>
      </c>
      <c r="F27" s="17" t="n">
        <v>4209.32</v>
      </c>
      <c r="G27" s="17">
        <f>E27*F27</f>
        <v/>
      </c>
      <c r="H27" s="16" t="n">
        <v>9.199999999999999</v>
      </c>
      <c r="I27" s="17">
        <f>G27*H27</f>
        <v/>
      </c>
    </row>
    <row r="28">
      <c r="A28" s="11" t="inlineStr">
        <is>
          <t>MÃO DE OBRA</t>
        </is>
      </c>
      <c r="B28" s="11" t="inlineStr">
        <is>
          <t>P0065</t>
        </is>
      </c>
      <c r="C28" s="11" t="inlineStr">
        <is>
          <t>Encarregado de Frente</t>
        </is>
      </c>
      <c r="D28" s="15" t="inlineStr">
        <is>
          <t>DIRETO</t>
        </is>
      </c>
      <c r="E28" s="16" t="n">
        <v>1</v>
      </c>
      <c r="F28" s="17" t="n">
        <v>7500</v>
      </c>
      <c r="G28" s="17">
        <f>E28*F28</f>
        <v/>
      </c>
      <c r="H28" s="16" t="n">
        <v>9.199999999999999</v>
      </c>
      <c r="I28" s="17">
        <f>G28*H28</f>
        <v/>
      </c>
    </row>
    <row r="29">
      <c r="A29" s="11" t="inlineStr">
        <is>
          <t>MÃO DE OBRA</t>
        </is>
      </c>
      <c r="B29" s="11" t="inlineStr">
        <is>
          <t>P0032</t>
        </is>
      </c>
      <c r="C29" s="11" t="inlineStr">
        <is>
          <t>Motorista de Caminhão Basculante</t>
        </is>
      </c>
      <c r="D29" s="15" t="inlineStr">
        <is>
          <t>DIRETO</t>
        </is>
      </c>
      <c r="E29" s="16" t="n">
        <v>7</v>
      </c>
      <c r="F29" s="17" t="n">
        <v>6341.17</v>
      </c>
      <c r="G29" s="17">
        <f>E29*F29</f>
        <v/>
      </c>
      <c r="H29" s="16" t="n">
        <v>9.199999999999999</v>
      </c>
      <c r="I29" s="17">
        <f>G29*H29</f>
        <v/>
      </c>
    </row>
    <row r="30">
      <c r="A30" s="11" t="inlineStr">
        <is>
          <t>EQUIPAMENTO</t>
        </is>
      </c>
      <c r="B30" s="11" t="inlineStr">
        <is>
          <t>EQ-E0015</t>
        </is>
      </c>
      <c r="C30" s="11" t="inlineStr">
        <is>
          <t>Distribuidor de Brita</t>
        </is>
      </c>
      <c r="D30" s="18" t="inlineStr">
        <is>
          <t>—</t>
        </is>
      </c>
      <c r="E30" s="16" t="n">
        <v>1</v>
      </c>
      <c r="F30" s="17" t="n">
        <v>3449.6</v>
      </c>
      <c r="G30" s="17">
        <f>E30*F30</f>
        <v/>
      </c>
      <c r="H30" s="16" t="n">
        <v>9.199999999999999</v>
      </c>
      <c r="I30" s="17">
        <f>G30*H30</f>
        <v/>
      </c>
    </row>
    <row r="31">
      <c r="A31" s="19" t="inlineStr">
        <is>
          <t>COMBUSTÍVEL</t>
        </is>
      </c>
      <c r="B31" s="11" t="inlineStr">
        <is>
          <t>EQ-E0015</t>
        </is>
      </c>
      <c r="C31" s="11" t="inlineStr">
        <is>
          <t>Diesel S-10 (1.5 L/h)</t>
        </is>
      </c>
      <c r="D31" s="18" t="inlineStr">
        <is>
          <t>—</t>
        </is>
      </c>
      <c r="E31" s="16" t="n">
        <v>1</v>
      </c>
      <c r="F31" s="17" t="n">
        <v>1913.14</v>
      </c>
      <c r="G31" s="17">
        <f>E31*F31</f>
        <v/>
      </c>
      <c r="H31" s="16" t="n">
        <v>9.199999999999999</v>
      </c>
      <c r="I31" s="17">
        <f>G31*H31</f>
        <v/>
      </c>
    </row>
    <row r="32">
      <c r="A32" s="11" t="inlineStr">
        <is>
          <t>EQUIPAMENTO</t>
        </is>
      </c>
      <c r="B32" s="11" t="inlineStr">
        <is>
          <t>EQ-E0002</t>
        </is>
      </c>
      <c r="C32" s="11" t="inlineStr">
        <is>
          <t>Betoneira 400L</t>
        </is>
      </c>
      <c r="D32" s="18" t="inlineStr">
        <is>
          <t>—</t>
        </is>
      </c>
      <c r="E32" s="16" t="n">
        <v>7</v>
      </c>
      <c r="F32" s="17" t="n">
        <v>607.2</v>
      </c>
      <c r="G32" s="17">
        <f>E32*F32</f>
        <v/>
      </c>
      <c r="H32" s="16" t="n">
        <v>9.199999999999999</v>
      </c>
      <c r="I32" s="17">
        <f>G32*H32</f>
        <v/>
      </c>
    </row>
    <row r="33">
      <c r="A33" s="19" t="inlineStr">
        <is>
          <t>COMBUSTÍVEL</t>
        </is>
      </c>
      <c r="B33" s="11" t="inlineStr">
        <is>
          <t>EQ-E0002</t>
        </is>
      </c>
      <c r="C33" s="11" t="inlineStr">
        <is>
          <t>Diesel S-10 (1.5 L/h)</t>
        </is>
      </c>
      <c r="D33" s="18" t="inlineStr">
        <is>
          <t>—</t>
        </is>
      </c>
      <c r="E33" s="16" t="n">
        <v>7</v>
      </c>
      <c r="F33" s="17" t="n">
        <v>1913.14</v>
      </c>
      <c r="G33" s="17">
        <f>E33*F33</f>
        <v/>
      </c>
      <c r="H33" s="16" t="n">
        <v>9.199999999999999</v>
      </c>
      <c r="I33" s="17">
        <f>G33*H33</f>
        <v/>
      </c>
    </row>
    <row r="34">
      <c r="A34" s="20" t="inlineStr">
        <is>
          <t>Subtotal eap-1_5</t>
        </is>
      </c>
      <c r="B34" s="21" t="n"/>
      <c r="C34" s="21" t="n"/>
      <c r="D34" s="21" t="n"/>
      <c r="E34" s="21" t="n"/>
      <c r="F34" s="21" t="n"/>
      <c r="G34" s="22">
        <f>SUM(G26:G33)</f>
        <v/>
      </c>
      <c r="H34" s="23" t="n">
        <v>9.199999999999999</v>
      </c>
      <c r="I34" s="22">
        <f>SUM(I26:I33)</f>
        <v/>
      </c>
    </row>
    <row r="35">
      <c r="A35" s="9" t="inlineStr">
        <is>
          <t>eap-1_1 — Remoção Superficial (20cm - Top Soil) - Excluso supressão vegetal</t>
        </is>
      </c>
    </row>
    <row r="36">
      <c r="A36" s="13" t="inlineStr">
        <is>
          <t>MÃO DE OBRA</t>
        </is>
      </c>
      <c r="B36" s="13" t="inlineStr">
        <is>
          <t>MO-OPER-ESCAV</t>
        </is>
      </c>
      <c r="C36" s="13" t="inlineStr">
        <is>
          <t>Operador de Escavadeira</t>
        </is>
      </c>
      <c r="D36" s="24" t="inlineStr">
        <is>
          <t>DIRETO</t>
        </is>
      </c>
      <c r="E36" s="25" t="n">
        <v>1</v>
      </c>
      <c r="F36" s="26" t="n">
        <v>12875</v>
      </c>
      <c r="G36" s="26">
        <f>E36*F36</f>
        <v/>
      </c>
      <c r="H36" s="25" t="n">
        <v>9.199999999999999</v>
      </c>
      <c r="I36" s="26">
        <f>G36*H36</f>
        <v/>
      </c>
    </row>
    <row r="37">
      <c r="A37" s="13" t="inlineStr">
        <is>
          <t>MÃO DE OBRA</t>
        </is>
      </c>
      <c r="B37" s="13" t="inlineStr">
        <is>
          <t>MO-OPER-TRATOR-EST</t>
        </is>
      </c>
      <c r="C37" s="13" t="inlineStr">
        <is>
          <t>Operador de Trator de Esteiras</t>
        </is>
      </c>
      <c r="D37" s="24" t="inlineStr">
        <is>
          <t>DIRETO</t>
        </is>
      </c>
      <c r="E37" s="25" t="n">
        <v>1</v>
      </c>
      <c r="F37" s="26" t="n">
        <v>12875</v>
      </c>
      <c r="G37" s="26">
        <f>E37*F37</f>
        <v/>
      </c>
      <c r="H37" s="25" t="n">
        <v>9.199999999999999</v>
      </c>
      <c r="I37" s="26">
        <f>G37*H37</f>
        <v/>
      </c>
    </row>
    <row r="38">
      <c r="A38" s="13" t="inlineStr">
        <is>
          <t>MÃO DE OBRA</t>
        </is>
      </c>
      <c r="B38" s="13" t="inlineStr">
        <is>
          <t>MO-AJUDANTE</t>
        </is>
      </c>
      <c r="C38" s="13" t="inlineStr">
        <is>
          <t>Ajudante</t>
        </is>
      </c>
      <c r="D38" s="24" t="inlineStr">
        <is>
          <t>DIRETO</t>
        </is>
      </c>
      <c r="E38" s="25" t="n">
        <v>3</v>
      </c>
      <c r="F38" s="26" t="n">
        <v>5261.65</v>
      </c>
      <c r="G38" s="26">
        <f>E38*F38</f>
        <v/>
      </c>
      <c r="H38" s="25" t="n">
        <v>9.199999999999999</v>
      </c>
      <c r="I38" s="26">
        <f>G38*H38</f>
        <v/>
      </c>
    </row>
    <row r="39">
      <c r="A39" s="13" t="inlineStr">
        <is>
          <t>EQUIPAMENTO</t>
        </is>
      </c>
      <c r="B39" s="13" t="inlineStr">
        <is>
          <t>EQ-E0016</t>
        </is>
      </c>
      <c r="C39" s="13" t="inlineStr">
        <is>
          <t>Escavadeira Hidráulica 22t</t>
        </is>
      </c>
      <c r="D39" s="27" t="inlineStr">
        <is>
          <t>—</t>
        </is>
      </c>
      <c r="E39" s="25" t="n">
        <v>1</v>
      </c>
      <c r="F39" s="26" t="n">
        <v>35639.3</v>
      </c>
      <c r="G39" s="26">
        <f>E39*F39</f>
        <v/>
      </c>
      <c r="H39" s="25" t="n">
        <v>9.199999999999999</v>
      </c>
      <c r="I39" s="26">
        <f>G39*H39</f>
        <v/>
      </c>
    </row>
    <row r="40">
      <c r="A40" s="13" t="inlineStr">
        <is>
          <t>EQUIPAMENTO</t>
        </is>
      </c>
      <c r="B40" s="13" t="inlineStr">
        <is>
          <t>EQ-E0024</t>
        </is>
      </c>
      <c r="C40" s="13" t="inlineStr">
        <is>
          <t>Trator de Esteiras 20t (300HP)</t>
        </is>
      </c>
      <c r="D40" s="27" t="inlineStr">
        <is>
          <t>—</t>
        </is>
      </c>
      <c r="E40" s="25" t="n">
        <v>1</v>
      </c>
      <c r="F40" s="26" t="n">
        <v>49477.12</v>
      </c>
      <c r="G40" s="26">
        <f>E40*F40</f>
        <v/>
      </c>
      <c r="H40" s="25" t="n">
        <v>9.199999999999999</v>
      </c>
      <c r="I40" s="26">
        <f>G40*H40</f>
        <v/>
      </c>
    </row>
    <row r="41">
      <c r="A41" s="28" t="inlineStr">
        <is>
          <t>COMBUSTÍVEL</t>
        </is>
      </c>
      <c r="B41" s="13" t="inlineStr">
        <is>
          <t>EQ-E0024</t>
        </is>
      </c>
      <c r="C41" s="13" t="inlineStr">
        <is>
          <t>Diesel S-10 (18.0 L/h)</t>
        </is>
      </c>
      <c r="D41" s="27" t="inlineStr">
        <is>
          <t>—</t>
        </is>
      </c>
      <c r="E41" s="25" t="n">
        <v>1</v>
      </c>
      <c r="F41" s="26" t="n">
        <v>22957.71</v>
      </c>
      <c r="G41" s="26">
        <f>E41*F41</f>
        <v/>
      </c>
      <c r="H41" s="25" t="n">
        <v>9.199999999999999</v>
      </c>
      <c r="I41" s="26">
        <f>G41*H41</f>
        <v/>
      </c>
    </row>
    <row r="42">
      <c r="A42" s="20" t="inlineStr">
        <is>
          <t>Subtotal eap-1_1</t>
        </is>
      </c>
      <c r="B42" s="21" t="n"/>
      <c r="C42" s="21" t="n"/>
      <c r="D42" s="21" t="n"/>
      <c r="E42" s="21" t="n"/>
      <c r="F42" s="21" t="n"/>
      <c r="G42" s="22">
        <f>SUM(G36:G41)</f>
        <v/>
      </c>
      <c r="H42" s="23" t="n">
        <v>9.199999999999999</v>
      </c>
      <c r="I42" s="22">
        <f>SUM(I36:I41)</f>
        <v/>
      </c>
    </row>
    <row r="44">
      <c r="A44" s="29" t="inlineStr">
        <is>
          <t>TOTAL DIRETO</t>
        </is>
      </c>
      <c r="I44" s="30">
        <f>I15+I24+I34+I42</f>
        <v/>
      </c>
    </row>
  </sheetData>
  <mergeCells count="6">
    <mergeCell ref="A25:I25"/>
    <mergeCell ref="A1:I1"/>
    <mergeCell ref="A3:I3"/>
    <mergeCell ref="A44:H44"/>
    <mergeCell ref="A35:I35"/>
    <mergeCell ref="A16:I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xSplit="2" ySplit="2" topLeftCell="C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6" customWidth="1" min="3" max="3"/>
    <col width="13" customWidth="1" min="4" max="4"/>
    <col width="15" customWidth="1" min="5" max="5"/>
    <col width="15" customWidth="1" min="6" max="6"/>
    <col width="13" customWidth="1" min="7" max="7"/>
    <col width="13" customWidth="1" min="8" max="8"/>
    <col width="17" customWidth="1" min="9" max="9"/>
    <col width="15" customWidth="1" min="10" max="10"/>
    <col width="15" customWidth="1" min="11" max="11"/>
    <col width="13" customWidth="1" min="12" max="12"/>
    <col width="13" customWidth="1" min="13" max="13"/>
    <col width="17" customWidth="1" min="14" max="14"/>
  </cols>
  <sheetData>
    <row r="1">
      <c r="A1" s="1" t="inlineStr">
        <is>
          <t>DIRETOS RESUMIDO — COMPONENTES MO/EQ/COMB/MAT s/BDI e c/BDI</t>
        </is>
      </c>
    </row>
    <row r="2">
      <c r="A2" s="2" t="inlineStr">
        <is>
          <t>Item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Quantitativo</t>
        </is>
      </c>
      <c r="E2" s="2" t="inlineStr">
        <is>
          <t>MO s/BDI</t>
        </is>
      </c>
      <c r="F2" s="2" t="inlineStr">
        <is>
          <t>EQ s/BDI</t>
        </is>
      </c>
      <c r="G2" s="2" t="inlineStr">
        <is>
          <t>Comb. s/BDI</t>
        </is>
      </c>
      <c r="H2" s="2" t="inlineStr">
        <is>
          <t>MAT s/BDI</t>
        </is>
      </c>
      <c r="I2" s="2" t="inlineStr">
        <is>
          <t>Total s/BDI</t>
        </is>
      </c>
      <c r="J2" s="2" t="inlineStr">
        <is>
          <t>MO c/BDI</t>
        </is>
      </c>
      <c r="K2" s="2" t="inlineStr">
        <is>
          <t>EQ c/BDI</t>
        </is>
      </c>
      <c r="L2" s="2" t="inlineStr">
        <is>
          <t>Comb. c/BDI</t>
        </is>
      </c>
      <c r="M2" s="2" t="inlineStr">
        <is>
          <t>MAT c/BDI</t>
        </is>
      </c>
      <c r="N2" s="2" t="inlineStr">
        <is>
          <t>Total c/BDI</t>
        </is>
      </c>
    </row>
    <row r="3">
      <c r="A3" s="31" t="inlineStr">
        <is>
          <t>eap-1_3</t>
        </is>
      </c>
      <c r="B3" s="31" t="inlineStr">
        <is>
          <t>Aterro compactado / 98% e 100% P.N nas útimas 5 camadas</t>
        </is>
      </c>
      <c r="C3" s="31" t="inlineStr">
        <is>
          <t>m3</t>
        </is>
      </c>
      <c r="D3" s="32" t="n">
        <v>1000000</v>
      </c>
      <c r="E3" s="33" t="n">
        <v>560851.04</v>
      </c>
      <c r="F3" s="33" t="n">
        <v>776205.66</v>
      </c>
      <c r="G3" s="33" t="n">
        <v>349458.5</v>
      </c>
      <c r="H3" s="33" t="n">
        <v>0</v>
      </c>
      <c r="I3" s="33" t="n">
        <v>1686515.2</v>
      </c>
      <c r="J3" s="33" t="n">
        <v>754319.42</v>
      </c>
      <c r="K3" s="33" t="n">
        <v>1043961.68</v>
      </c>
      <c r="L3" s="33" t="n">
        <v>470005.96</v>
      </c>
      <c r="M3" s="33" t="n">
        <v>0</v>
      </c>
      <c r="N3" s="33" t="n">
        <v>2268287.06</v>
      </c>
    </row>
    <row r="4">
      <c r="A4" s="34" t="inlineStr">
        <is>
          <t>eap-1_2</t>
        </is>
      </c>
      <c r="B4" s="34" t="inlineStr">
        <is>
          <t>Corte e transporte interno</t>
        </is>
      </c>
      <c r="C4" s="34" t="inlineStr">
        <is>
          <t>m3</t>
        </is>
      </c>
      <c r="D4" s="35" t="n">
        <v>1250000</v>
      </c>
      <c r="E4" s="36" t="n">
        <v>617928.67</v>
      </c>
      <c r="F4" s="36" t="n">
        <v>1021546.84</v>
      </c>
      <c r="G4" s="36" t="n">
        <v>245522.79</v>
      </c>
      <c r="H4" s="36" t="n">
        <v>1076677.71</v>
      </c>
      <c r="I4" s="36" t="n">
        <v>2961676.01</v>
      </c>
      <c r="J4" s="36" t="n">
        <v>831086.26</v>
      </c>
      <c r="K4" s="36" t="n">
        <v>1373934.53</v>
      </c>
      <c r="L4" s="36" t="n">
        <v>330217.11</v>
      </c>
      <c r="M4" s="36" t="n">
        <v>1292013.25</v>
      </c>
      <c r="N4" s="36" t="n">
        <v>3827251.14</v>
      </c>
    </row>
    <row r="5">
      <c r="A5" s="31" t="inlineStr">
        <is>
          <t>eap-1_5</t>
        </is>
      </c>
      <c r="B5" s="31" t="inlineStr">
        <is>
          <t>Opcional - Transporte de solo já cortado, para outro terreno em Guarulhos com DMT de 8km.</t>
        </is>
      </c>
      <c r="C5" s="31" t="inlineStr">
        <is>
          <t>m3</t>
        </is>
      </c>
      <c r="D5" s="32" t="n">
        <v>200000</v>
      </c>
      <c r="E5" s="33" t="n">
        <v>589686</v>
      </c>
      <c r="F5" s="33" t="n">
        <v>0</v>
      </c>
      <c r="G5" s="33" t="n">
        <v>941974.6</v>
      </c>
      <c r="H5" s="33" t="n">
        <v>0</v>
      </c>
      <c r="I5" s="33" t="n">
        <v>1531660.6</v>
      </c>
      <c r="J5" s="33" t="n">
        <v>793101.13</v>
      </c>
      <c r="K5" s="33" t="n">
        <v>0</v>
      </c>
      <c r="L5" s="33" t="n">
        <v>1266913.45</v>
      </c>
      <c r="M5" s="33" t="n">
        <v>0</v>
      </c>
      <c r="N5" s="33" t="n">
        <v>2060014.58</v>
      </c>
    </row>
    <row r="6">
      <c r="A6" s="34" t="inlineStr">
        <is>
          <t>eap-1_1</t>
        </is>
      </c>
      <c r="B6" s="34" t="inlineStr">
        <is>
          <t>Remoção Superficial (20cm - Top Soil) - Excluso supressão vegetal</t>
        </is>
      </c>
      <c r="C6" s="34" t="inlineStr">
        <is>
          <t>m2</t>
        </is>
      </c>
      <c r="D6" s="35" t="n">
        <v>245000</v>
      </c>
      <c r="E6" s="36" t="n">
        <v>141964.76</v>
      </c>
      <c r="F6" s="36" t="n">
        <v>0</v>
      </c>
      <c r="G6" s="36" t="n">
        <v>72074.10000000001</v>
      </c>
      <c r="H6" s="36" t="n">
        <v>0</v>
      </c>
      <c r="I6" s="36" t="n">
        <v>214038.86</v>
      </c>
      <c r="J6" s="36" t="n">
        <v>190936.21</v>
      </c>
      <c r="K6" s="36" t="n">
        <v>0</v>
      </c>
      <c r="L6" s="36" t="n">
        <v>96936.42</v>
      </c>
      <c r="M6" s="36" t="n">
        <v>0</v>
      </c>
      <c r="N6" s="36" t="n">
        <v>287872.63</v>
      </c>
    </row>
    <row r="8">
      <c r="A8" s="29" t="inlineStr">
        <is>
          <t>TOTAL DIRETO</t>
        </is>
      </c>
      <c r="E8" s="30">
        <f>SUM(E3:E7)</f>
        <v/>
      </c>
      <c r="F8" s="30">
        <f>SUM(F3:F7)</f>
        <v/>
      </c>
      <c r="G8" s="30">
        <f>SUM(G3:G7)</f>
        <v/>
      </c>
      <c r="H8" s="30">
        <f>SUM(H3:H7)</f>
        <v/>
      </c>
      <c r="I8" s="30">
        <f>SUM(I3:I7)</f>
        <v/>
      </c>
      <c r="J8" s="30">
        <f>SUM(J3:J7)</f>
        <v/>
      </c>
      <c r="K8" s="30">
        <f>SUM(K3:K7)</f>
        <v/>
      </c>
      <c r="L8" s="30">
        <f>SUM(L3:L7)</f>
        <v/>
      </c>
      <c r="M8" s="30">
        <f>SUM(M3:M7)</f>
        <v/>
      </c>
      <c r="N8" s="30">
        <f>SUM(N3:N7)</f>
        <v/>
      </c>
    </row>
  </sheetData>
  <mergeCells count="2">
    <mergeCell ref="A8:D8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36" customWidth="1" min="4" max="4"/>
    <col width="6" customWidth="1" min="5" max="5"/>
    <col width="18" customWidth="1" min="6" max="6"/>
    <col width="10" customWidth="1" min="7" max="7"/>
    <col width="18" customWidth="1" min="8" max="8"/>
  </cols>
  <sheetData>
    <row r="1">
      <c r="A1" s="1" t="inlineStr">
        <is>
          <t>INDIRETOS — CUSTOS INDIRETOS DETALHADOS</t>
        </is>
      </c>
    </row>
    <row r="2">
      <c r="A2" s="2" t="inlineStr">
        <is>
          <t>Categoria</t>
        </is>
      </c>
      <c r="B2" s="2" t="inlineStr">
        <is>
          <t>Tipo</t>
        </is>
      </c>
      <c r="C2" s="2" t="inlineStr">
        <is>
          <t>Código/Função</t>
        </is>
      </c>
      <c r="D2" s="2" t="inlineStr">
        <is>
          <t>Descrição</t>
        </is>
      </c>
      <c r="E2" s="2" t="inlineStr">
        <is>
          <t>Qtd</t>
        </is>
      </c>
      <c r="F2" s="2" t="inlineStr">
        <is>
          <t>Custo Mensal (R$)</t>
        </is>
      </c>
      <c r="G2" s="2" t="inlineStr">
        <is>
          <t>Perm. (m)</t>
        </is>
      </c>
      <c r="H2" s="2" t="inlineStr">
        <is>
          <t>Custo Total (R$)</t>
        </is>
      </c>
    </row>
    <row r="3">
      <c r="A3" s="9" t="inlineStr">
        <is>
          <t>ADM — Administracao de obra</t>
        </is>
      </c>
    </row>
    <row r="4">
      <c r="A4" s="3" t="inlineStr">
        <is>
          <t>ADM</t>
        </is>
      </c>
      <c r="B4" s="11" t="inlineStr">
        <is>
          <t>CUSTO TOTAL</t>
        </is>
      </c>
      <c r="C4" s="11" t="inlineStr">
        <is>
          <t>—</t>
        </is>
      </c>
      <c r="D4" s="11" t="inlineStr">
        <is>
          <t>Administracao de obra</t>
        </is>
      </c>
      <c r="E4" s="16" t="n">
        <v>1</v>
      </c>
      <c r="F4" s="17" t="n">
        <v>0</v>
      </c>
      <c r="G4" s="16" t="n">
        <v>9.24</v>
      </c>
      <c r="H4" s="17" t="n">
        <v>3391109.2</v>
      </c>
    </row>
    <row r="5">
      <c r="A5" s="20" t="inlineStr">
        <is>
          <t>Subtotal ADM</t>
        </is>
      </c>
      <c r="B5" s="21" t="n"/>
      <c r="C5" s="21" t="n"/>
      <c r="D5" s="21" t="n"/>
      <c r="E5" s="21" t="n"/>
      <c r="F5" s="21" t="n"/>
      <c r="G5" s="21" t="n"/>
      <c r="H5" s="22">
        <f>SUM(H4:H4)</f>
        <v/>
      </c>
    </row>
    <row r="6">
      <c r="A6" s="9" t="inlineStr">
        <is>
          <t>TOP — Topografia</t>
        </is>
      </c>
    </row>
    <row r="7">
      <c r="A7" s="6" t="inlineStr">
        <is>
          <t>TOP</t>
        </is>
      </c>
      <c r="B7" s="13" t="inlineStr">
        <is>
          <t>CUSTO TOTAL</t>
        </is>
      </c>
      <c r="C7" s="13" t="inlineStr">
        <is>
          <t>—</t>
        </is>
      </c>
      <c r="D7" s="13" t="inlineStr">
        <is>
          <t>Topografia</t>
        </is>
      </c>
      <c r="E7" s="25" t="n">
        <v>1</v>
      </c>
      <c r="F7" s="26" t="n">
        <v>0</v>
      </c>
      <c r="G7" s="25" t="n">
        <v>9.24</v>
      </c>
      <c r="H7" s="26" t="n">
        <v>595062.8</v>
      </c>
    </row>
    <row r="8">
      <c r="A8" s="20" t="inlineStr">
        <is>
          <t>Subtotal TOP</t>
        </is>
      </c>
      <c r="B8" s="21" t="n"/>
      <c r="C8" s="21" t="n"/>
      <c r="D8" s="21" t="n"/>
      <c r="E8" s="21" t="n"/>
      <c r="F8" s="21" t="n"/>
      <c r="G8" s="21" t="n"/>
      <c r="H8" s="22">
        <f>SUM(H7:H7)</f>
        <v/>
      </c>
    </row>
    <row r="9">
      <c r="A9" s="9" t="inlineStr">
        <is>
          <t>LAB — Laboratorio de solos e materiais</t>
        </is>
      </c>
    </row>
    <row r="10">
      <c r="A10" s="3" t="inlineStr">
        <is>
          <t>LAB</t>
        </is>
      </c>
      <c r="B10" s="11" t="inlineStr">
        <is>
          <t>CUSTO TOTAL</t>
        </is>
      </c>
      <c r="C10" s="11" t="inlineStr">
        <is>
          <t>—</t>
        </is>
      </c>
      <c r="D10" s="11" t="inlineStr">
        <is>
          <t>Laboratorio de solos e materiais</t>
        </is>
      </c>
      <c r="E10" s="16" t="n">
        <v>1</v>
      </c>
      <c r="F10" s="17" t="n">
        <v>0</v>
      </c>
      <c r="G10" s="16" t="n">
        <v>9.24</v>
      </c>
      <c r="H10" s="17" t="n">
        <v>556642</v>
      </c>
    </row>
    <row r="11">
      <c r="A11" s="20" t="inlineStr">
        <is>
          <t>Subtotal LAB</t>
        </is>
      </c>
      <c r="B11" s="21" t="n"/>
      <c r="C11" s="21" t="n"/>
      <c r="D11" s="21" t="n"/>
      <c r="E11" s="21" t="n"/>
      <c r="F11" s="21" t="n"/>
      <c r="G11" s="21" t="n"/>
      <c r="H11" s="22">
        <f>SUM(H10:H10)</f>
        <v/>
      </c>
    </row>
    <row r="12">
      <c r="A12" s="9" t="inlineStr">
        <is>
          <t>QSMS — Qualidade, Saude, Seguranca e Meio Ambiente</t>
        </is>
      </c>
    </row>
    <row r="13">
      <c r="A13" s="6" t="inlineStr">
        <is>
          <t>QSMS</t>
        </is>
      </c>
      <c r="B13" s="13" t="inlineStr">
        <is>
          <t>CUSTO TOTAL</t>
        </is>
      </c>
      <c r="C13" s="13" t="inlineStr">
        <is>
          <t>—</t>
        </is>
      </c>
      <c r="D13" s="13" t="inlineStr">
        <is>
          <t>Qualidade, Saude, Seguranca e Meio Ambiente</t>
        </is>
      </c>
      <c r="E13" s="25" t="n">
        <v>1</v>
      </c>
      <c r="F13" s="26" t="n">
        <v>0</v>
      </c>
      <c r="G13" s="25" t="n">
        <v>9.24</v>
      </c>
      <c r="H13" s="26" t="n">
        <v>467580.4</v>
      </c>
    </row>
    <row r="14">
      <c r="A14" s="20" t="inlineStr">
        <is>
          <t>Subtotal QSMS</t>
        </is>
      </c>
      <c r="B14" s="21" t="n"/>
      <c r="C14" s="21" t="n"/>
      <c r="D14" s="21" t="n"/>
      <c r="E14" s="21" t="n"/>
      <c r="F14" s="21" t="n"/>
      <c r="G14" s="21" t="n"/>
      <c r="H14" s="22">
        <f>SUM(H13:H13)</f>
        <v/>
      </c>
    </row>
    <row r="15">
      <c r="A15" s="9" t="inlineStr">
        <is>
          <t>MOB — Mobilizacao e desmobilizacao</t>
        </is>
      </c>
    </row>
    <row r="16">
      <c r="A16" s="3" t="inlineStr">
        <is>
          <t>MOB</t>
        </is>
      </c>
      <c r="B16" s="11" t="inlineStr">
        <is>
          <t>CUSTO TOTAL</t>
        </is>
      </c>
      <c r="C16" s="11" t="inlineStr">
        <is>
          <t>—</t>
        </is>
      </c>
      <c r="D16" s="11" t="inlineStr">
        <is>
          <t>Mobilizacao e desmobilizacao</t>
        </is>
      </c>
      <c r="E16" s="16" t="n">
        <v>1</v>
      </c>
      <c r="F16" s="17" t="n">
        <v>0</v>
      </c>
      <c r="G16" s="16" t="n">
        <v>11</v>
      </c>
      <c r="H16" s="17" t="n">
        <v>0</v>
      </c>
    </row>
    <row r="17">
      <c r="A17" s="20" t="inlineStr">
        <is>
          <t>Subtotal MOB</t>
        </is>
      </c>
      <c r="B17" s="21" t="n"/>
      <c r="C17" s="21" t="n"/>
      <c r="D17" s="21" t="n"/>
      <c r="E17" s="21" t="n"/>
      <c r="F17" s="21" t="n"/>
      <c r="G17" s="21" t="n"/>
      <c r="H17" s="22">
        <f>SUM(H16:H16)</f>
        <v/>
      </c>
    </row>
    <row r="19">
      <c r="A19" s="29" t="inlineStr">
        <is>
          <t>TOTAL INDIRETO</t>
        </is>
      </c>
      <c r="H19" s="30">
        <f>H5+H8+H11+H14+H17</f>
        <v/>
      </c>
    </row>
    <row r="22">
      <c r="A22" s="9" t="inlineStr">
        <is>
          <t>Distribuição Mensal de Indiretos</t>
        </is>
      </c>
    </row>
    <row r="23">
      <c r="A23" s="10" t="inlineStr">
        <is>
          <t>Mês</t>
        </is>
      </c>
      <c r="B23" s="10" t="inlineStr">
        <is>
          <t>Despesa Indireta (R$)</t>
        </is>
      </c>
      <c r="C23" s="10" t="inlineStr"/>
      <c r="D23" s="10" t="inlineStr"/>
      <c r="E23" s="10" t="inlineStr"/>
      <c r="F23" s="10" t="inlineStr"/>
      <c r="G23" s="10" t="inlineStr"/>
      <c r="H23" s="10" t="inlineStr"/>
    </row>
    <row r="24">
      <c r="A24" s="13" t="inlineStr">
        <is>
          <t>Mar/25</t>
        </is>
      </c>
      <c r="B24" s="26" t="n">
        <v>556710.49</v>
      </c>
      <c r="C24" s="14" t="n"/>
      <c r="D24" s="14" t="n"/>
      <c r="E24" s="14" t="n"/>
      <c r="F24" s="14" t="n"/>
      <c r="G24" s="14" t="n"/>
      <c r="H24" s="14" t="n"/>
    </row>
    <row r="25">
      <c r="A25" s="11" t="inlineStr">
        <is>
          <t>Abr/25</t>
        </is>
      </c>
      <c r="B25" s="17" t="n">
        <v>556710.49</v>
      </c>
      <c r="C25" s="12" t="n"/>
      <c r="D25" s="12" t="n"/>
      <c r="E25" s="12" t="n"/>
      <c r="F25" s="12" t="n"/>
      <c r="G25" s="12" t="n"/>
      <c r="H25" s="12" t="n"/>
    </row>
    <row r="26">
      <c r="A26" s="13" t="inlineStr">
        <is>
          <t>Mai/25</t>
        </is>
      </c>
      <c r="B26" s="26" t="n">
        <v>556710.49</v>
      </c>
      <c r="C26" s="14" t="n"/>
      <c r="D26" s="14" t="n"/>
      <c r="E26" s="14" t="n"/>
      <c r="F26" s="14" t="n"/>
      <c r="G26" s="14" t="n"/>
      <c r="H26" s="14" t="n"/>
    </row>
    <row r="27">
      <c r="A27" s="11" t="inlineStr">
        <is>
          <t>Jun/25</t>
        </is>
      </c>
      <c r="B27" s="17" t="n">
        <v>556710.49</v>
      </c>
      <c r="C27" s="12" t="n"/>
      <c r="D27" s="12" t="n"/>
      <c r="E27" s="12" t="n"/>
      <c r="F27" s="12" t="n"/>
      <c r="G27" s="12" t="n"/>
      <c r="H27" s="12" t="n"/>
    </row>
    <row r="28">
      <c r="A28" s="13" t="inlineStr">
        <is>
          <t>Jul/25</t>
        </is>
      </c>
      <c r="B28" s="26" t="n">
        <v>556710.49</v>
      </c>
      <c r="C28" s="14" t="n"/>
      <c r="D28" s="14" t="n"/>
      <c r="E28" s="14" t="n"/>
      <c r="F28" s="14" t="n"/>
      <c r="G28" s="14" t="n"/>
      <c r="H28" s="14" t="n"/>
    </row>
    <row r="29">
      <c r="A29" s="11" t="inlineStr">
        <is>
          <t>Ago/25</t>
        </is>
      </c>
      <c r="B29" s="17" t="n">
        <v>556710.49</v>
      </c>
      <c r="C29" s="12" t="n"/>
      <c r="D29" s="12" t="n"/>
      <c r="E29" s="12" t="n"/>
      <c r="F29" s="12" t="n"/>
      <c r="G29" s="12" t="n"/>
      <c r="H29" s="12" t="n"/>
    </row>
    <row r="30">
      <c r="A30" s="13" t="inlineStr">
        <is>
          <t>Set/25</t>
        </is>
      </c>
      <c r="B30" s="26" t="n">
        <v>556710.49</v>
      </c>
      <c r="C30" s="14" t="n"/>
      <c r="D30" s="14" t="n"/>
      <c r="E30" s="14" t="n"/>
      <c r="F30" s="14" t="n"/>
      <c r="G30" s="14" t="n"/>
      <c r="H30" s="14" t="n"/>
    </row>
    <row r="31">
      <c r="A31" s="11" t="inlineStr">
        <is>
          <t>Out/25</t>
        </is>
      </c>
      <c r="B31" s="17" t="n">
        <v>556710.49</v>
      </c>
      <c r="C31" s="12" t="n"/>
      <c r="D31" s="12" t="n"/>
      <c r="E31" s="12" t="n"/>
      <c r="F31" s="12" t="n"/>
      <c r="G31" s="12" t="n"/>
      <c r="H31" s="12" t="n"/>
    </row>
    <row r="32">
      <c r="A32" s="13" t="inlineStr">
        <is>
          <t>Nov/25</t>
        </is>
      </c>
      <c r="B32" s="26" t="n">
        <v>556710.49</v>
      </c>
      <c r="C32" s="14" t="n"/>
      <c r="D32" s="14" t="n"/>
      <c r="E32" s="14" t="n"/>
      <c r="F32" s="14" t="n"/>
      <c r="G32" s="14" t="n"/>
      <c r="H32" s="14" t="n"/>
    </row>
    <row r="33">
      <c r="A33" s="11" t="inlineStr">
        <is>
          <t>Dez/25</t>
        </is>
      </c>
      <c r="B33" s="17" t="n">
        <v>0</v>
      </c>
      <c r="C33" s="12" t="n"/>
      <c r="D33" s="12" t="n"/>
      <c r="E33" s="12" t="n"/>
      <c r="F33" s="12" t="n"/>
      <c r="G33" s="12" t="n"/>
      <c r="H33" s="12" t="n"/>
    </row>
  </sheetData>
  <mergeCells count="8">
    <mergeCell ref="A9:H9"/>
    <mergeCell ref="A12:H12"/>
    <mergeCell ref="A3:H3"/>
    <mergeCell ref="A15:H15"/>
    <mergeCell ref="A1:H1"/>
    <mergeCell ref="A19:G19"/>
    <mergeCell ref="A6:H6"/>
    <mergeCell ref="A22:H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8" customWidth="1" min="3" max="3"/>
    <col width="10" customWidth="1" min="4" max="4"/>
    <col width="18" customWidth="1" min="5" max="5"/>
    <col width="14" customWidth="1" min="6" max="6"/>
  </cols>
  <sheetData>
    <row r="1">
      <c r="A1" s="1" t="inlineStr">
        <is>
          <t>INDIRETOS RESUMIDO — CATEGORIAS + INDICADORES</t>
        </is>
      </c>
    </row>
    <row r="2">
      <c r="A2" s="2" t="inlineStr">
        <is>
          <t>Categoria</t>
        </is>
      </c>
      <c r="B2" s="2" t="inlineStr">
        <is>
          <t>Descrição</t>
        </is>
      </c>
      <c r="C2" s="2" t="inlineStr">
        <is>
          <t>Custo s/BDI (R$)</t>
        </is>
      </c>
      <c r="D2" s="2" t="inlineStr">
        <is>
          <t>BDI (%)</t>
        </is>
      </c>
      <c r="E2" s="2" t="inlineStr">
        <is>
          <t>Custo c/BDI (R$)</t>
        </is>
      </c>
      <c r="F2" s="2" t="inlineStr">
        <is>
          <t>% do Total</t>
        </is>
      </c>
    </row>
    <row r="3">
      <c r="A3" s="3" t="inlineStr">
        <is>
          <t>ADM</t>
        </is>
      </c>
      <c r="B3" s="11" t="inlineStr">
        <is>
          <t>Administracao de obra</t>
        </is>
      </c>
      <c r="C3" s="17" t="n">
        <v>3391109.2</v>
      </c>
      <c r="D3" s="4" t="n">
        <v>22.37</v>
      </c>
      <c r="E3" s="17" t="n">
        <v>4149822.41</v>
      </c>
      <c r="F3" s="4" t="n">
        <v>67.68000000000001</v>
      </c>
    </row>
    <row r="4">
      <c r="A4" s="6" t="inlineStr">
        <is>
          <t>TOP</t>
        </is>
      </c>
      <c r="B4" s="13" t="inlineStr">
        <is>
          <t>Topografia</t>
        </is>
      </c>
      <c r="C4" s="26" t="n">
        <v>595062.8</v>
      </c>
      <c r="D4" s="7" t="n">
        <v>22.37</v>
      </c>
      <c r="E4" s="26" t="n">
        <v>728199.77</v>
      </c>
      <c r="F4" s="7" t="n">
        <v>11.88</v>
      </c>
    </row>
    <row r="5">
      <c r="A5" s="3" t="inlineStr">
        <is>
          <t>LAB</t>
        </is>
      </c>
      <c r="B5" s="11" t="inlineStr">
        <is>
          <t>Laboratorio de solos e materiais</t>
        </is>
      </c>
      <c r="C5" s="17" t="n">
        <v>556642</v>
      </c>
      <c r="D5" s="4" t="n">
        <v>22.37</v>
      </c>
      <c r="E5" s="17" t="n">
        <v>681182.85</v>
      </c>
      <c r="F5" s="4" t="n">
        <v>11.11</v>
      </c>
    </row>
    <row r="6">
      <c r="A6" s="6" t="inlineStr">
        <is>
          <t>QSMS</t>
        </is>
      </c>
      <c r="B6" s="13" t="inlineStr">
        <is>
          <t>Qualidade, Saude, Seguranca e Meio Ambiente</t>
        </is>
      </c>
      <c r="C6" s="26" t="n">
        <v>467580.4</v>
      </c>
      <c r="D6" s="7" t="n">
        <v>22.37</v>
      </c>
      <c r="E6" s="26" t="n">
        <v>572194.97</v>
      </c>
      <c r="F6" s="7" t="n">
        <v>9.33</v>
      </c>
    </row>
    <row r="7">
      <c r="A7" s="3" t="inlineStr">
        <is>
          <t>MOB</t>
        </is>
      </c>
      <c r="B7" s="11" t="inlineStr">
        <is>
          <t>Mobilizacao e desmobilizacao</t>
        </is>
      </c>
      <c r="C7" s="17" t="n">
        <v>0</v>
      </c>
      <c r="D7" s="4" t="n">
        <v>22.37</v>
      </c>
      <c r="E7" s="17" t="n">
        <v>0</v>
      </c>
      <c r="F7" s="4" t="n">
        <v>0</v>
      </c>
    </row>
    <row r="9">
      <c r="A9" s="29" t="inlineStr">
        <is>
          <t>TOTAL INDIRETO</t>
        </is>
      </c>
      <c r="C9" s="30">
        <f>C3+C4+C5+C6+C7</f>
        <v/>
      </c>
      <c r="D9" s="37" t="n"/>
      <c r="E9" s="30">
        <f>E3+E4+E5+E6+E7</f>
        <v/>
      </c>
      <c r="F9" s="37" t="n"/>
    </row>
    <row r="12">
      <c r="A12" s="9" t="inlineStr">
        <is>
          <t>INDICADORES DE COMPOSIÇÃO DE CUSTO</t>
        </is>
      </c>
    </row>
    <row r="13">
      <c r="A13" s="38" t="inlineStr">
        <is>
          <t>TOTAL DIRETO (catálogo s/BDI)</t>
        </is>
      </c>
      <c r="B13" s="39" t="n"/>
      <c r="C13" s="40" t="n">
        <v>6393890.67</v>
      </c>
      <c r="D13" s="41" t="n"/>
      <c r="E13" s="41" t="n"/>
      <c r="F13" s="39" t="n"/>
    </row>
    <row r="14">
      <c r="A14" s="38" t="inlineStr">
        <is>
          <t>TOTAL INDIRETO s/BDI</t>
        </is>
      </c>
      <c r="B14" s="39" t="n"/>
      <c r="C14" s="40" t="n">
        <v>5010394.4</v>
      </c>
      <c r="D14" s="41" t="n"/>
      <c r="E14" s="41" t="n"/>
      <c r="F14" s="39" t="n"/>
    </row>
    <row r="15">
      <c r="A15" s="38" t="inlineStr">
        <is>
          <t>RAZÃO CI / CD</t>
        </is>
      </c>
      <c r="B15" s="39" t="n"/>
      <c r="C15" s="42" t="n">
        <v>-181.41</v>
      </c>
      <c r="D15" s="41" t="n"/>
      <c r="E15" s="41" t="n"/>
      <c r="F15" s="39" t="n"/>
    </row>
    <row r="16">
      <c r="A16" s="38" t="inlineStr">
        <is>
          <t>PREÇO DE VENDA TOTAL</t>
        </is>
      </c>
      <c r="B16" s="39" t="n"/>
      <c r="C16" s="40" t="n">
        <v>14574825.41</v>
      </c>
      <c r="D16" s="41" t="n"/>
      <c r="E16" s="41" t="n"/>
      <c r="F16" s="39" t="n"/>
    </row>
    <row r="17">
      <c r="A17" s="38" t="inlineStr">
        <is>
          <t>CI / PVT</t>
        </is>
      </c>
      <c r="B17" s="39" t="n"/>
      <c r="C17" s="42" t="n">
        <v>-79.58</v>
      </c>
      <c r="D17" s="41" t="n"/>
      <c r="E17" s="41" t="n"/>
      <c r="F17" s="39" t="n"/>
    </row>
  </sheetData>
  <mergeCells count="13">
    <mergeCell ref="C13:F13"/>
    <mergeCell ref="A16:B16"/>
    <mergeCell ref="C17:F17"/>
    <mergeCell ref="A15:B15"/>
    <mergeCell ref="A1:F1"/>
    <mergeCell ref="A13:B13"/>
    <mergeCell ref="A14:B14"/>
    <mergeCell ref="C15:F15"/>
    <mergeCell ref="A12:F12"/>
    <mergeCell ref="C16:F16"/>
    <mergeCell ref="A17:B17"/>
    <mergeCell ref="A9:B9"/>
    <mergeCell ref="C14:F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xSplit="2" ySplit="2" topLeftCell="C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6" customWidth="1" min="3" max="3"/>
    <col width="13" customWidth="1" min="4" max="4"/>
    <col width="15" customWidth="1" min="5" max="5"/>
    <col width="15" customWidth="1" min="6" max="6"/>
    <col width="13" customWidth="1" min="7" max="7"/>
    <col width="13" customWidth="1" min="8" max="8"/>
    <col width="17" customWidth="1" min="9" max="9"/>
    <col width="15" customWidth="1" min="10" max="10"/>
    <col width="15" customWidth="1" min="11" max="11"/>
    <col width="13" customWidth="1" min="12" max="12"/>
    <col width="13" customWidth="1" min="13" max="13"/>
    <col width="17" customWidth="1" min="14" max="14"/>
    <col width="12" customWidth="1" min="15" max="15"/>
  </cols>
  <sheetData>
    <row r="1">
      <c r="A1" s="1" t="inlineStr">
        <is>
          <t>PLANEJAMENTO — ORÇAMENTO POR EAP (COMPONENTES s/BDI e c/BDI)</t>
        </is>
      </c>
    </row>
    <row r="2">
      <c r="A2" s="2" t="inlineStr">
        <is>
          <t>Item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Quantitativo</t>
        </is>
      </c>
      <c r="E2" s="2" t="inlineStr">
        <is>
          <t>MO s/BDI (R$)</t>
        </is>
      </c>
      <c r="F2" s="2" t="inlineStr">
        <is>
          <t>EQ s/BDI (R$)</t>
        </is>
      </c>
      <c r="G2" s="2" t="inlineStr">
        <is>
          <t>Comb. s/BDI (R$)</t>
        </is>
      </c>
      <c r="H2" s="2" t="inlineStr">
        <is>
          <t>MAT s/BDI (R$)</t>
        </is>
      </c>
      <c r="I2" s="2" t="inlineStr">
        <is>
          <t>Total s/BDI (R$)</t>
        </is>
      </c>
      <c r="J2" s="2" t="inlineStr">
        <is>
          <t>MO c/BDI (R$)</t>
        </is>
      </c>
      <c r="K2" s="2" t="inlineStr">
        <is>
          <t>EQ c/BDI (R$)</t>
        </is>
      </c>
      <c r="L2" s="2" t="inlineStr">
        <is>
          <t>Comb. c/BDI (R$)</t>
        </is>
      </c>
      <c r="M2" s="2" t="inlineStr">
        <is>
          <t>MAT c/BDI (R$)</t>
        </is>
      </c>
      <c r="N2" s="2" t="inlineStr">
        <is>
          <t>Total c/BDI (R$)</t>
        </is>
      </c>
      <c r="O2" s="2" t="inlineStr">
        <is>
          <t>Criticidade</t>
        </is>
      </c>
    </row>
    <row r="3">
      <c r="A3" s="43" t="inlineStr">
        <is>
          <t>eap-1_3</t>
        </is>
      </c>
      <c r="B3" s="43" t="inlineStr">
        <is>
          <t>Aterro compactado / 98% e 100% P.N nas útimas 5 camadas</t>
        </is>
      </c>
      <c r="C3" s="43" t="inlineStr">
        <is>
          <t>m3</t>
        </is>
      </c>
      <c r="D3" s="44" t="n">
        <v>1000000</v>
      </c>
      <c r="E3" s="45" t="n">
        <v>560851.04</v>
      </c>
      <c r="F3" s="45" t="n">
        <v>776205.66</v>
      </c>
      <c r="G3" s="45" t="n">
        <v>349458.5</v>
      </c>
      <c r="H3" s="45" t="n">
        <v>0</v>
      </c>
      <c r="I3" s="45" t="n">
        <v>1686515.2</v>
      </c>
      <c r="J3" s="45" t="n">
        <v>754319.42</v>
      </c>
      <c r="K3" s="45" t="n">
        <v>1043961.68</v>
      </c>
      <c r="L3" s="45" t="n">
        <v>470005.96</v>
      </c>
      <c r="M3" s="45" t="n">
        <v>0</v>
      </c>
      <c r="N3" s="45" t="n">
        <v>2268287.06</v>
      </c>
      <c r="O3" s="43" t="inlineStr">
        <is>
          <t>B</t>
        </is>
      </c>
    </row>
    <row r="4">
      <c r="A4" s="46" t="inlineStr">
        <is>
          <t>eap-1_2</t>
        </is>
      </c>
      <c r="B4" s="46" t="inlineStr">
        <is>
          <t>Corte e transporte interno</t>
        </is>
      </c>
      <c r="C4" s="46" t="inlineStr">
        <is>
          <t>m3</t>
        </is>
      </c>
      <c r="D4" s="47" t="n">
        <v>1250000</v>
      </c>
      <c r="E4" s="48" t="n">
        <v>617928.67</v>
      </c>
      <c r="F4" s="48" t="n">
        <v>1021546.84</v>
      </c>
      <c r="G4" s="48" t="n">
        <v>245522.79</v>
      </c>
      <c r="H4" s="48" t="n">
        <v>1076677.71</v>
      </c>
      <c r="I4" s="48" t="n">
        <v>2961676.01</v>
      </c>
      <c r="J4" s="48" t="n">
        <v>831086.26</v>
      </c>
      <c r="K4" s="48" t="n">
        <v>1373934.53</v>
      </c>
      <c r="L4" s="48" t="n">
        <v>330217.11</v>
      </c>
      <c r="M4" s="48" t="n">
        <v>1292013.25</v>
      </c>
      <c r="N4" s="48" t="n">
        <v>3827251.14</v>
      </c>
      <c r="O4" s="46" t="inlineStr">
        <is>
          <t>A</t>
        </is>
      </c>
    </row>
    <row r="5">
      <c r="A5" s="31" t="inlineStr">
        <is>
          <t>eap-1_5</t>
        </is>
      </c>
      <c r="B5" s="31" t="inlineStr">
        <is>
          <t>Opcional - Transporte de solo já cortado, para outro terreno em Guarulhos com DMT de 8km.</t>
        </is>
      </c>
      <c r="C5" s="31" t="inlineStr">
        <is>
          <t>m3</t>
        </is>
      </c>
      <c r="D5" s="32" t="n">
        <v>200000</v>
      </c>
      <c r="E5" s="33" t="n">
        <v>589686</v>
      </c>
      <c r="F5" s="33" t="n">
        <v>0</v>
      </c>
      <c r="G5" s="33" t="n">
        <v>941974.6</v>
      </c>
      <c r="H5" s="33" t="n">
        <v>0</v>
      </c>
      <c r="I5" s="33" t="n">
        <v>1531660.6</v>
      </c>
      <c r="J5" s="33" t="n">
        <v>793101.13</v>
      </c>
      <c r="K5" s="33" t="n">
        <v>0</v>
      </c>
      <c r="L5" s="33" t="n">
        <v>1266913.45</v>
      </c>
      <c r="M5" s="33" t="n">
        <v>0</v>
      </c>
      <c r="N5" s="33" t="n">
        <v>2060014.58</v>
      </c>
      <c r="O5" s="31" t="inlineStr">
        <is>
          <t>C</t>
        </is>
      </c>
    </row>
    <row r="6">
      <c r="A6" s="34" t="inlineStr">
        <is>
          <t>eap-1_1</t>
        </is>
      </c>
      <c r="B6" s="34" t="inlineStr">
        <is>
          <t>Remoção Superficial (20cm - Top Soil) - Excluso supressão vegetal</t>
        </is>
      </c>
      <c r="C6" s="34" t="inlineStr">
        <is>
          <t>m2</t>
        </is>
      </c>
      <c r="D6" s="35" t="n">
        <v>245000</v>
      </c>
      <c r="E6" s="36" t="n">
        <v>141964.76</v>
      </c>
      <c r="F6" s="36" t="n">
        <v>0</v>
      </c>
      <c r="G6" s="36" t="n">
        <v>72074.10000000001</v>
      </c>
      <c r="H6" s="36" t="n">
        <v>0</v>
      </c>
      <c r="I6" s="36" t="n">
        <v>214038.86</v>
      </c>
      <c r="J6" s="36" t="n">
        <v>190936.21</v>
      </c>
      <c r="K6" s="36" t="n">
        <v>0</v>
      </c>
      <c r="L6" s="36" t="n">
        <v>96936.42</v>
      </c>
      <c r="M6" s="36" t="n">
        <v>0</v>
      </c>
      <c r="N6" s="36" t="n">
        <v>287872.63</v>
      </c>
      <c r="O6" s="34" t="inlineStr">
        <is>
          <t>C</t>
        </is>
      </c>
    </row>
    <row r="8">
      <c r="A8" s="29" t="inlineStr">
        <is>
          <t>TOTAL</t>
        </is>
      </c>
      <c r="E8" s="30">
        <f>SUM(E3:E7)</f>
        <v/>
      </c>
      <c r="F8" s="30">
        <f>SUM(F3:F7)</f>
        <v/>
      </c>
      <c r="G8" s="30">
        <f>SUM(G3:G7)</f>
        <v/>
      </c>
      <c r="H8" s="30">
        <f>SUM(H3:H7)</f>
        <v/>
      </c>
      <c r="I8" s="30">
        <f>SUM(I3:I7)</f>
        <v/>
      </c>
      <c r="J8" s="30">
        <f>SUM(J3:J7)</f>
        <v/>
      </c>
      <c r="K8" s="30">
        <f>SUM(K3:K7)</f>
        <v/>
      </c>
      <c r="L8" s="30">
        <f>SUM(L3:L7)</f>
        <v/>
      </c>
      <c r="M8" s="30">
        <f>SUM(M3:M7)</f>
        <v/>
      </c>
      <c r="N8" s="30">
        <f>SUM(N3:N7)</f>
        <v/>
      </c>
      <c r="O8" s="30">
        <f>SUM(O3:O7)</f>
        <v/>
      </c>
    </row>
  </sheetData>
  <mergeCells count="2">
    <mergeCell ref="A1:O1"/>
    <mergeCell ref="A8:D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2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6" customWidth="1" min="3" max="3"/>
    <col width="2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</cols>
  <sheetData>
    <row r="1">
      <c r="A1" s="1" t="inlineStr">
        <is>
          <t>CRONOGRAMA SEMANAL — ACOMPANHAMENTO FÍSICO DE PRODUÇÃO</t>
        </is>
      </c>
    </row>
    <row r="2">
      <c r="A2" s="2" t="inlineStr">
        <is>
          <t>Item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Métrica</t>
        </is>
      </c>
      <c r="E2" s="2" t="inlineStr">
        <is>
          <t>31/Mar</t>
        </is>
      </c>
      <c r="F2" s="2" t="inlineStr">
        <is>
          <t>07/Abr</t>
        </is>
      </c>
      <c r="G2" s="2" t="inlineStr">
        <is>
          <t>14/Abr</t>
        </is>
      </c>
      <c r="H2" s="2" t="inlineStr">
        <is>
          <t>21/Abr</t>
        </is>
      </c>
      <c r="I2" s="2" t="inlineStr">
        <is>
          <t>28/Abr</t>
        </is>
      </c>
      <c r="J2" s="2" t="inlineStr">
        <is>
          <t>05/Mai</t>
        </is>
      </c>
      <c r="K2" s="2" t="inlineStr">
        <is>
          <t>12/Mai</t>
        </is>
      </c>
      <c r="L2" s="2" t="inlineStr">
        <is>
          <t>19/Mai</t>
        </is>
      </c>
      <c r="M2" s="2" t="inlineStr">
        <is>
          <t>26/Mai</t>
        </is>
      </c>
      <c r="N2" s="2" t="inlineStr">
        <is>
          <t>02/Jun</t>
        </is>
      </c>
      <c r="O2" s="2" t="inlineStr">
        <is>
          <t>09/Jun</t>
        </is>
      </c>
      <c r="P2" s="2" t="inlineStr">
        <is>
          <t>16/Jun</t>
        </is>
      </c>
      <c r="Q2" s="2" t="inlineStr">
        <is>
          <t>23/Jun</t>
        </is>
      </c>
      <c r="R2" s="2" t="inlineStr">
        <is>
          <t>30/Jun</t>
        </is>
      </c>
      <c r="S2" s="2" t="inlineStr">
        <is>
          <t>07/Jul</t>
        </is>
      </c>
      <c r="T2" s="2" t="inlineStr">
        <is>
          <t>14/Jul</t>
        </is>
      </c>
      <c r="U2" s="2" t="inlineStr">
        <is>
          <t>21/Jul</t>
        </is>
      </c>
      <c r="V2" s="2" t="inlineStr">
        <is>
          <t>28/Jul</t>
        </is>
      </c>
      <c r="W2" s="2" t="inlineStr">
        <is>
          <t>04/Ago</t>
        </is>
      </c>
      <c r="X2" s="2" t="inlineStr">
        <is>
          <t>11/Ago</t>
        </is>
      </c>
      <c r="Y2" s="2" t="inlineStr">
        <is>
          <t>18/Ago</t>
        </is>
      </c>
      <c r="Z2" s="2" t="inlineStr">
        <is>
          <t>25/Ago</t>
        </is>
      </c>
      <c r="AA2" s="2" t="inlineStr">
        <is>
          <t>01/Set</t>
        </is>
      </c>
      <c r="AB2" s="2" t="inlineStr">
        <is>
          <t>08/Set</t>
        </is>
      </c>
      <c r="AC2" s="2" t="inlineStr">
        <is>
          <t>15/Set</t>
        </is>
      </c>
      <c r="AD2" s="2" t="inlineStr">
        <is>
          <t>22/Set</t>
        </is>
      </c>
      <c r="AE2" s="2" t="inlineStr">
        <is>
          <t>29/Set</t>
        </is>
      </c>
      <c r="AF2" s="2" t="inlineStr">
        <is>
          <t>06/Out</t>
        </is>
      </c>
      <c r="AG2" s="2" t="inlineStr">
        <is>
          <t>13/Out</t>
        </is>
      </c>
      <c r="AH2" s="2" t="inlineStr">
        <is>
          <t>20/Out</t>
        </is>
      </c>
      <c r="AI2" s="2" t="inlineStr">
        <is>
          <t>27/Out</t>
        </is>
      </c>
      <c r="AJ2" s="2" t="inlineStr">
        <is>
          <t>03/Nov</t>
        </is>
      </c>
      <c r="AK2" s="2" t="inlineStr">
        <is>
          <t>10/Nov</t>
        </is>
      </c>
      <c r="AL2" s="2" t="inlineStr">
        <is>
          <t>17/Nov</t>
        </is>
      </c>
      <c r="AM2" s="2" t="inlineStr">
        <is>
          <t>24/Nov</t>
        </is>
      </c>
      <c r="AN2" s="2" t="inlineStr">
        <is>
          <t>01/Dez</t>
        </is>
      </c>
      <c r="AO2" s="2" t="inlineStr">
        <is>
          <t>08/Dez</t>
        </is>
      </c>
      <c r="AP2" s="2" t="inlineStr">
        <is>
          <t>15/Dez</t>
        </is>
      </c>
      <c r="AQ2" s="2" t="inlineStr">
        <is>
          <t>22/Dez</t>
        </is>
      </c>
      <c r="AR2" s="2" t="inlineStr">
        <is>
          <t>29/Dez</t>
        </is>
      </c>
    </row>
    <row r="3">
      <c r="A3" s="49" t="n"/>
      <c r="B3" s="49" t="n"/>
      <c r="C3" s="49" t="n"/>
      <c r="D3" s="50" t="inlineStr">
        <is>
          <t>Praticabilidade</t>
        </is>
      </c>
      <c r="E3" s="51" t="n">
        <v>0.8571</v>
      </c>
      <c r="F3" s="52" t="n">
        <v>1</v>
      </c>
      <c r="G3" s="51" t="n">
        <v>0.8571</v>
      </c>
      <c r="H3" s="51" t="n">
        <v>0.8571</v>
      </c>
      <c r="I3" s="51" t="n">
        <v>0.8571</v>
      </c>
      <c r="J3" s="51" t="n">
        <v>0.8571</v>
      </c>
      <c r="K3" s="52" t="n">
        <v>1</v>
      </c>
      <c r="L3" s="51" t="n">
        <v>0.7143</v>
      </c>
      <c r="M3" s="52" t="n">
        <v>1</v>
      </c>
      <c r="N3" s="52" t="n">
        <v>1</v>
      </c>
      <c r="O3" s="52" t="n">
        <v>1</v>
      </c>
      <c r="P3" s="52" t="n">
        <v>1</v>
      </c>
      <c r="Q3" s="52" t="n">
        <v>1</v>
      </c>
      <c r="R3" s="52" t="n">
        <v>1</v>
      </c>
      <c r="S3" s="52" t="n">
        <v>1</v>
      </c>
      <c r="T3" s="52" t="n">
        <v>1</v>
      </c>
      <c r="U3" s="52" t="n">
        <v>1</v>
      </c>
      <c r="V3" s="52" t="n">
        <v>1</v>
      </c>
      <c r="W3" s="52" t="n">
        <v>1</v>
      </c>
      <c r="X3" s="52" t="n">
        <v>1</v>
      </c>
      <c r="Y3" s="52" t="n">
        <v>1</v>
      </c>
      <c r="Z3" s="52" t="n">
        <v>1</v>
      </c>
      <c r="AA3" s="52" t="n">
        <v>1</v>
      </c>
      <c r="AB3" s="52" t="n">
        <v>1</v>
      </c>
      <c r="AC3" s="52" t="n">
        <v>1</v>
      </c>
      <c r="AD3" s="52" t="n">
        <v>1</v>
      </c>
      <c r="AE3" s="52" t="n">
        <v>1</v>
      </c>
      <c r="AF3" s="52" t="n">
        <v>1</v>
      </c>
      <c r="AG3" s="52" t="n">
        <v>1</v>
      </c>
      <c r="AH3" s="52" t="n">
        <v>1</v>
      </c>
      <c r="AI3" s="52" t="n">
        <v>1</v>
      </c>
      <c r="AJ3" s="52" t="n">
        <v>1</v>
      </c>
      <c r="AK3" s="51" t="n">
        <v>0.8571</v>
      </c>
      <c r="AL3" s="52" t="n">
        <v>1</v>
      </c>
      <c r="AM3" s="51" t="n">
        <v>0.8571</v>
      </c>
      <c r="AN3" s="51" t="n">
        <v>0.8571</v>
      </c>
      <c r="AO3" s="51" t="n">
        <v>0.8571</v>
      </c>
      <c r="AP3" s="52" t="n">
        <v>1</v>
      </c>
      <c r="AQ3" s="52" t="n">
        <v>1</v>
      </c>
      <c r="AR3" s="52" t="n">
        <v>1</v>
      </c>
    </row>
    <row r="4">
      <c r="A4" s="20" t="inlineStr">
        <is>
          <t>eap-1_3</t>
        </is>
      </c>
      <c r="B4" s="20" t="inlineStr">
        <is>
          <t>Aterro compactado / 98% e 100% P.N nas útimas 5 camadas</t>
        </is>
      </c>
      <c r="C4" s="53" t="inlineStr">
        <is>
          <t>m3</t>
        </is>
      </c>
      <c r="D4" s="54" t="inlineStr">
        <is>
          <t>Dias Trabalhados</t>
        </is>
      </c>
      <c r="E4" s="55" t="n">
        <v>6</v>
      </c>
      <c r="F4" s="55" t="n">
        <v>6</v>
      </c>
      <c r="G4" s="55" t="n">
        <v>6</v>
      </c>
      <c r="H4" s="55" t="n">
        <v>6</v>
      </c>
      <c r="I4" s="55" t="n">
        <v>6</v>
      </c>
      <c r="J4" s="55" t="n">
        <v>6</v>
      </c>
      <c r="K4" s="55" t="n">
        <v>6</v>
      </c>
      <c r="L4" s="55" t="n">
        <v>6</v>
      </c>
      <c r="M4" s="55" t="n">
        <v>6</v>
      </c>
      <c r="N4" s="55" t="n">
        <v>6</v>
      </c>
      <c r="O4" s="55" t="n">
        <v>6</v>
      </c>
      <c r="P4" s="55" t="n">
        <v>6</v>
      </c>
      <c r="Q4" s="55" t="n">
        <v>6</v>
      </c>
      <c r="R4" s="55" t="n">
        <v>6</v>
      </c>
      <c r="S4" s="55" t="n">
        <v>6</v>
      </c>
      <c r="T4" s="55" t="n">
        <v>6</v>
      </c>
      <c r="U4" s="55" t="n">
        <v>6</v>
      </c>
      <c r="V4" s="55" t="n">
        <v>6</v>
      </c>
      <c r="W4" s="55" t="n">
        <v>6</v>
      </c>
      <c r="X4" s="55" t="n">
        <v>6</v>
      </c>
      <c r="Y4" s="55" t="n">
        <v>6</v>
      </c>
      <c r="Z4" s="55" t="n">
        <v>6</v>
      </c>
      <c r="AA4" s="55" t="n">
        <v>6</v>
      </c>
      <c r="AB4" s="55" t="n">
        <v>6</v>
      </c>
      <c r="AC4" s="55" t="n">
        <v>6</v>
      </c>
      <c r="AD4" s="55" t="n">
        <v>6</v>
      </c>
      <c r="AE4" s="55" t="n">
        <v>6</v>
      </c>
      <c r="AF4" s="55" t="n">
        <v>6</v>
      </c>
      <c r="AG4" s="55" t="n">
        <v>6</v>
      </c>
      <c r="AH4" s="55" t="n">
        <v>6</v>
      </c>
      <c r="AI4" s="55" t="n">
        <v>6</v>
      </c>
      <c r="AJ4" s="55" t="n">
        <v>6</v>
      </c>
      <c r="AK4" s="55" t="n">
        <v>6</v>
      </c>
      <c r="AL4" s="55" t="n">
        <v>6</v>
      </c>
      <c r="AM4" s="55" t="n">
        <v>6</v>
      </c>
      <c r="AN4" s="55" t="n">
        <v>6</v>
      </c>
      <c r="AO4" s="55" t="n">
        <v>6</v>
      </c>
      <c r="AP4" s="55" t="n">
        <v>6</v>
      </c>
      <c r="AQ4" s="55" t="n">
        <v>6</v>
      </c>
      <c r="AR4" s="55" t="n">
        <v>6</v>
      </c>
    </row>
    <row r="5">
      <c r="A5" s="11" t="n"/>
      <c r="B5" s="11" t="n"/>
      <c r="C5" s="18" t="n"/>
      <c r="D5" s="56" t="inlineStr">
        <is>
          <t>Nº De Equipes</t>
        </is>
      </c>
      <c r="E5" s="57" t="n">
        <v>5</v>
      </c>
      <c r="F5" s="57" t="n">
        <v>5</v>
      </c>
      <c r="G5" s="57" t="n">
        <v>5</v>
      </c>
      <c r="H5" s="57" t="n">
        <v>5</v>
      </c>
      <c r="I5" s="57" t="n">
        <v>5</v>
      </c>
      <c r="J5" s="57" t="n">
        <v>5</v>
      </c>
      <c r="K5" s="57" t="n">
        <v>5</v>
      </c>
      <c r="L5" s="57" t="n">
        <v>5</v>
      </c>
      <c r="M5" s="57" t="n">
        <v>5</v>
      </c>
      <c r="N5" s="57" t="n">
        <v>5</v>
      </c>
      <c r="O5" s="57" t="n">
        <v>5</v>
      </c>
      <c r="P5" s="57" t="n">
        <v>5</v>
      </c>
      <c r="Q5" s="57" t="n">
        <v>5</v>
      </c>
      <c r="R5" s="57" t="n">
        <v>5</v>
      </c>
      <c r="S5" s="57" t="n">
        <v>5</v>
      </c>
      <c r="T5" s="57" t="n">
        <v>5</v>
      </c>
      <c r="U5" s="57" t="n">
        <v>5</v>
      </c>
      <c r="V5" s="57" t="n">
        <v>5</v>
      </c>
      <c r="W5" s="57" t="n">
        <v>5</v>
      </c>
      <c r="X5" s="57" t="n">
        <v>5</v>
      </c>
      <c r="Y5" s="57" t="n">
        <v>5</v>
      </c>
      <c r="Z5" s="57" t="n">
        <v>5</v>
      </c>
      <c r="AA5" s="57" t="n">
        <v>5</v>
      </c>
      <c r="AB5" s="57" t="n">
        <v>5</v>
      </c>
      <c r="AC5" s="57" t="n">
        <v>5</v>
      </c>
      <c r="AD5" s="57" t="n">
        <v>5</v>
      </c>
      <c r="AE5" s="57" t="n">
        <v>5</v>
      </c>
      <c r="AF5" s="57" t="n">
        <v>5</v>
      </c>
      <c r="AG5" s="57" t="n">
        <v>5</v>
      </c>
      <c r="AH5" s="57" t="n">
        <v>5</v>
      </c>
      <c r="AI5" s="57" t="n">
        <v>5</v>
      </c>
      <c r="AJ5" s="57" t="n">
        <v>5</v>
      </c>
      <c r="AK5" s="57" t="n">
        <v>5</v>
      </c>
      <c r="AL5" s="57" t="n">
        <v>5</v>
      </c>
      <c r="AM5" s="57" t="n">
        <v>5</v>
      </c>
      <c r="AN5" s="57" t="n">
        <v>5</v>
      </c>
      <c r="AO5" s="57" t="n">
        <v>5</v>
      </c>
      <c r="AP5" s="57" t="n">
        <v>5</v>
      </c>
      <c r="AQ5" s="57" t="n">
        <v>5</v>
      </c>
      <c r="AR5" s="57" t="n">
        <v>5</v>
      </c>
    </row>
    <row r="6">
      <c r="A6" s="11" t="n"/>
      <c r="B6" s="11" t="n"/>
      <c r="C6" s="18" t="n"/>
      <c r="D6" s="56" t="inlineStr">
        <is>
          <t>Qtd. Planejada</t>
        </is>
      </c>
      <c r="E6" s="33" t="n">
        <v>33348.73</v>
      </c>
      <c r="F6" s="33" t="n">
        <v>38908.8</v>
      </c>
      <c r="G6" s="33" t="n">
        <v>33348.73</v>
      </c>
      <c r="H6" s="33" t="n">
        <v>33348.73</v>
      </c>
      <c r="I6" s="33" t="n">
        <v>33348.73</v>
      </c>
      <c r="J6" s="33" t="n">
        <v>33348.73</v>
      </c>
      <c r="K6" s="33" t="n">
        <v>38908.8</v>
      </c>
      <c r="L6" s="33" t="n">
        <v>27792.56</v>
      </c>
      <c r="M6" s="33" t="n">
        <v>38908.8</v>
      </c>
      <c r="N6" s="33" t="n">
        <v>38908.8</v>
      </c>
      <c r="O6" s="33" t="n">
        <v>38908.8</v>
      </c>
      <c r="P6" s="33" t="n">
        <v>38908.8</v>
      </c>
      <c r="Q6" s="33" t="n">
        <v>38908.8</v>
      </c>
      <c r="R6" s="33" t="n">
        <v>38908.8</v>
      </c>
      <c r="S6" s="33" t="n">
        <v>38908.8</v>
      </c>
      <c r="T6" s="33" t="n">
        <v>38908.8</v>
      </c>
      <c r="U6" s="33" t="n">
        <v>38908.8</v>
      </c>
      <c r="V6" s="33" t="n">
        <v>38908.8</v>
      </c>
      <c r="W6" s="33" t="n">
        <v>38908.8</v>
      </c>
      <c r="X6" s="33" t="n">
        <v>38908.8</v>
      </c>
      <c r="Y6" s="33" t="n">
        <v>38908.8</v>
      </c>
      <c r="Z6" s="33" t="n">
        <v>38908.8</v>
      </c>
      <c r="AA6" s="33" t="n">
        <v>38908.8</v>
      </c>
      <c r="AB6" s="33" t="n">
        <v>38908.8</v>
      </c>
      <c r="AC6" s="33" t="n">
        <v>38908.8</v>
      </c>
      <c r="AD6" s="33" t="n">
        <v>38908.8</v>
      </c>
      <c r="AE6" s="33" t="n">
        <v>27287.78</v>
      </c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</row>
    <row r="7">
      <c r="A7" s="11" t="n"/>
      <c r="B7" s="11" t="n"/>
      <c r="C7" s="18" t="n"/>
      <c r="D7" s="56" t="inlineStr">
        <is>
          <t>Qtd Plan. Acumulada</t>
        </is>
      </c>
      <c r="E7" s="33" t="n">
        <v>33348.73</v>
      </c>
      <c r="F7" s="33" t="n">
        <v>72257.53</v>
      </c>
      <c r="G7" s="33" t="n">
        <v>105606.26</v>
      </c>
      <c r="H7" s="33" t="n">
        <v>138955</v>
      </c>
      <c r="I7" s="33" t="n">
        <v>172303.73</v>
      </c>
      <c r="J7" s="33" t="n">
        <v>205652.46</v>
      </c>
      <c r="K7" s="33" t="n">
        <v>244561.26</v>
      </c>
      <c r="L7" s="33" t="n">
        <v>272353.82</v>
      </c>
      <c r="M7" s="33" t="n">
        <v>311262.62</v>
      </c>
      <c r="N7" s="33" t="n">
        <v>350171.42</v>
      </c>
      <c r="O7" s="33" t="n">
        <v>389080.22</v>
      </c>
      <c r="P7" s="33" t="n">
        <v>427989.02</v>
      </c>
      <c r="Q7" s="33" t="n">
        <v>466897.82</v>
      </c>
      <c r="R7" s="33" t="n">
        <v>505806.62</v>
      </c>
      <c r="S7" s="33" t="n">
        <v>544715.42</v>
      </c>
      <c r="T7" s="33" t="n">
        <v>583624.22</v>
      </c>
      <c r="U7" s="33" t="n">
        <v>622533.02</v>
      </c>
      <c r="V7" s="33" t="n">
        <v>661441.8199999999</v>
      </c>
      <c r="W7" s="33" t="n">
        <v>700350.62</v>
      </c>
      <c r="X7" s="33" t="n">
        <v>739259.42</v>
      </c>
      <c r="Y7" s="33" t="n">
        <v>778168.22</v>
      </c>
      <c r="Z7" s="33" t="n">
        <v>817077.02</v>
      </c>
      <c r="AA7" s="33" t="n">
        <v>855985.8199999999</v>
      </c>
      <c r="AB7" s="33" t="n">
        <v>894894.62</v>
      </c>
      <c r="AC7" s="33" t="n">
        <v>933803.42</v>
      </c>
      <c r="AD7" s="33" t="n">
        <v>972712.22</v>
      </c>
      <c r="AE7" s="33" t="n">
        <v>1000000</v>
      </c>
      <c r="AF7" s="33" t="n">
        <v>1000000</v>
      </c>
      <c r="AG7" s="33" t="n">
        <v>1000000</v>
      </c>
      <c r="AH7" s="33" t="n">
        <v>1000000</v>
      </c>
      <c r="AI7" s="33" t="n">
        <v>1000000</v>
      </c>
      <c r="AJ7" s="33" t="n">
        <v>1000000</v>
      </c>
      <c r="AK7" s="33" t="n">
        <v>1000000</v>
      </c>
      <c r="AL7" s="33" t="n">
        <v>1000000</v>
      </c>
      <c r="AM7" s="33" t="n">
        <v>1000000</v>
      </c>
      <c r="AN7" s="33" t="n">
        <v>1000000</v>
      </c>
      <c r="AO7" s="33" t="n">
        <v>1000000</v>
      </c>
      <c r="AP7" s="33" t="n">
        <v>1000000</v>
      </c>
      <c r="AQ7" s="33" t="n">
        <v>1000000</v>
      </c>
      <c r="AR7" s="33" t="n">
        <v>1000000</v>
      </c>
    </row>
    <row r="8">
      <c r="A8" s="11" t="n"/>
      <c r="B8" s="11" t="n"/>
      <c r="C8" s="18" t="n"/>
      <c r="D8" s="56" t="inlineStr">
        <is>
          <t>Eficiência</t>
        </is>
      </c>
      <c r="E8" s="59" t="n">
        <v>0.8571</v>
      </c>
      <c r="F8" s="59" t="n">
        <v>1</v>
      </c>
      <c r="G8" s="59" t="n">
        <v>0.8571</v>
      </c>
      <c r="H8" s="59" t="n">
        <v>0.8571</v>
      </c>
      <c r="I8" s="59" t="n">
        <v>0.8571</v>
      </c>
      <c r="J8" s="59" t="n">
        <v>0.8571</v>
      </c>
      <c r="K8" s="59" t="n">
        <v>1</v>
      </c>
      <c r="L8" s="59" t="n">
        <v>0.7143</v>
      </c>
      <c r="M8" s="59" t="n">
        <v>1</v>
      </c>
      <c r="N8" s="59" t="n">
        <v>1</v>
      </c>
      <c r="O8" s="59" t="n">
        <v>1</v>
      </c>
      <c r="P8" s="59" t="n">
        <v>1</v>
      </c>
      <c r="Q8" s="59" t="n">
        <v>1</v>
      </c>
      <c r="R8" s="59" t="n">
        <v>1</v>
      </c>
      <c r="S8" s="59" t="n">
        <v>1</v>
      </c>
      <c r="T8" s="59" t="n">
        <v>1</v>
      </c>
      <c r="U8" s="59" t="n">
        <v>1</v>
      </c>
      <c r="V8" s="59" t="n">
        <v>1</v>
      </c>
      <c r="W8" s="59" t="n">
        <v>1</v>
      </c>
      <c r="X8" s="59" t="n">
        <v>1</v>
      </c>
      <c r="Y8" s="59" t="n">
        <v>1</v>
      </c>
      <c r="Z8" s="59" t="n">
        <v>1</v>
      </c>
      <c r="AA8" s="59" t="n">
        <v>1</v>
      </c>
      <c r="AB8" s="59" t="n">
        <v>1</v>
      </c>
      <c r="AC8" s="59" t="n">
        <v>1</v>
      </c>
      <c r="AD8" s="59" t="n">
        <v>1</v>
      </c>
      <c r="AE8" s="59" t="n">
        <v>1</v>
      </c>
      <c r="AF8" s="59" t="n">
        <v>1</v>
      </c>
      <c r="AG8" s="59" t="n">
        <v>1</v>
      </c>
      <c r="AH8" s="59" t="n">
        <v>1</v>
      </c>
      <c r="AI8" s="59" t="n">
        <v>1</v>
      </c>
      <c r="AJ8" s="59" t="n">
        <v>1</v>
      </c>
      <c r="AK8" s="59" t="n">
        <v>0.8571</v>
      </c>
      <c r="AL8" s="59" t="n">
        <v>1</v>
      </c>
      <c r="AM8" s="59" t="n">
        <v>0.8571</v>
      </c>
      <c r="AN8" s="59" t="n">
        <v>0.8571</v>
      </c>
      <c r="AO8" s="59" t="n">
        <v>0.8571</v>
      </c>
      <c r="AP8" s="59" t="n">
        <v>1</v>
      </c>
      <c r="AQ8" s="59" t="n">
        <v>1</v>
      </c>
      <c r="AR8" s="59" t="n">
        <v>1</v>
      </c>
    </row>
    <row r="9">
      <c r="A9" s="60" t="inlineStr">
        <is>
          <t>eap-1_2</t>
        </is>
      </c>
      <c r="B9" s="60" t="inlineStr">
        <is>
          <t>Corte e transporte interno</t>
        </is>
      </c>
      <c r="C9" s="61" t="inlineStr">
        <is>
          <t>m3</t>
        </is>
      </c>
      <c r="D9" s="62" t="inlineStr">
        <is>
          <t>Dias Trabalhados</t>
        </is>
      </c>
      <c r="E9" s="63" t="n">
        <v>6</v>
      </c>
      <c r="F9" s="63" t="n">
        <v>6</v>
      </c>
      <c r="G9" s="63" t="n">
        <v>6</v>
      </c>
      <c r="H9" s="63" t="n">
        <v>6</v>
      </c>
      <c r="I9" s="63" t="n">
        <v>6</v>
      </c>
      <c r="J9" s="63" t="n">
        <v>6</v>
      </c>
      <c r="K9" s="63" t="n">
        <v>6</v>
      </c>
      <c r="L9" s="63" t="n">
        <v>6</v>
      </c>
      <c r="M9" s="63" t="n">
        <v>6</v>
      </c>
      <c r="N9" s="63" t="n">
        <v>6</v>
      </c>
      <c r="O9" s="63" t="n">
        <v>6</v>
      </c>
      <c r="P9" s="63" t="n">
        <v>6</v>
      </c>
      <c r="Q9" s="63" t="n">
        <v>6</v>
      </c>
      <c r="R9" s="63" t="n">
        <v>6</v>
      </c>
      <c r="S9" s="63" t="n">
        <v>6</v>
      </c>
      <c r="T9" s="63" t="n">
        <v>6</v>
      </c>
      <c r="U9" s="63" t="n">
        <v>6</v>
      </c>
      <c r="V9" s="63" t="n">
        <v>6</v>
      </c>
      <c r="W9" s="63" t="n">
        <v>6</v>
      </c>
      <c r="X9" s="63" t="n">
        <v>6</v>
      </c>
      <c r="Y9" s="63" t="n">
        <v>6</v>
      </c>
      <c r="Z9" s="63" t="n">
        <v>6</v>
      </c>
      <c r="AA9" s="63" t="n">
        <v>6</v>
      </c>
      <c r="AB9" s="63" t="n">
        <v>6</v>
      </c>
      <c r="AC9" s="63" t="n">
        <v>6</v>
      </c>
      <c r="AD9" s="63" t="n">
        <v>6</v>
      </c>
      <c r="AE9" s="63" t="n">
        <v>6</v>
      </c>
      <c r="AF9" s="63" t="n">
        <v>6</v>
      </c>
      <c r="AG9" s="63" t="n">
        <v>6</v>
      </c>
      <c r="AH9" s="63" t="n">
        <v>6</v>
      </c>
      <c r="AI9" s="63" t="n">
        <v>6</v>
      </c>
      <c r="AJ9" s="63" t="n">
        <v>6</v>
      </c>
      <c r="AK9" s="63" t="n">
        <v>6</v>
      </c>
      <c r="AL9" s="63" t="n">
        <v>6</v>
      </c>
      <c r="AM9" s="63" t="n">
        <v>6</v>
      </c>
      <c r="AN9" s="63" t="n">
        <v>6</v>
      </c>
      <c r="AO9" s="63" t="n">
        <v>6</v>
      </c>
      <c r="AP9" s="63" t="n">
        <v>6</v>
      </c>
      <c r="AQ9" s="63" t="n">
        <v>6</v>
      </c>
      <c r="AR9" s="63" t="n">
        <v>6</v>
      </c>
    </row>
    <row r="10">
      <c r="A10" s="13" t="n"/>
      <c r="B10" s="13" t="n"/>
      <c r="C10" s="27" t="n"/>
      <c r="D10" s="64" t="inlineStr">
        <is>
          <t>Nº De Equipes</t>
        </is>
      </c>
      <c r="E10" s="65" t="n">
        <v>6</v>
      </c>
      <c r="F10" s="65" t="n">
        <v>6</v>
      </c>
      <c r="G10" s="65" t="n">
        <v>6</v>
      </c>
      <c r="H10" s="65" t="n">
        <v>6</v>
      </c>
      <c r="I10" s="65" t="n">
        <v>6</v>
      </c>
      <c r="J10" s="65" t="n">
        <v>6</v>
      </c>
      <c r="K10" s="65" t="n">
        <v>6</v>
      </c>
      <c r="L10" s="65" t="n">
        <v>6</v>
      </c>
      <c r="M10" s="65" t="n">
        <v>6</v>
      </c>
      <c r="N10" s="65" t="n">
        <v>6</v>
      </c>
      <c r="O10" s="65" t="n">
        <v>6</v>
      </c>
      <c r="P10" s="65" t="n">
        <v>6</v>
      </c>
      <c r="Q10" s="65" t="n">
        <v>6</v>
      </c>
      <c r="R10" s="65" t="n">
        <v>6</v>
      </c>
      <c r="S10" s="65" t="n">
        <v>6</v>
      </c>
      <c r="T10" s="65" t="n">
        <v>6</v>
      </c>
      <c r="U10" s="65" t="n">
        <v>6</v>
      </c>
      <c r="V10" s="65" t="n">
        <v>6</v>
      </c>
      <c r="W10" s="65" t="n">
        <v>6</v>
      </c>
      <c r="X10" s="65" t="n">
        <v>6</v>
      </c>
      <c r="Y10" s="65" t="n">
        <v>6</v>
      </c>
      <c r="Z10" s="65" t="n">
        <v>6</v>
      </c>
      <c r="AA10" s="65" t="n">
        <v>6</v>
      </c>
      <c r="AB10" s="65" t="n">
        <v>6</v>
      </c>
      <c r="AC10" s="65" t="n">
        <v>6</v>
      </c>
      <c r="AD10" s="65" t="n">
        <v>6</v>
      </c>
      <c r="AE10" s="65" t="n">
        <v>6</v>
      </c>
      <c r="AF10" s="65" t="n">
        <v>6</v>
      </c>
      <c r="AG10" s="65" t="n">
        <v>6</v>
      </c>
      <c r="AH10" s="65" t="n">
        <v>6</v>
      </c>
      <c r="AI10" s="65" t="n">
        <v>6</v>
      </c>
      <c r="AJ10" s="65" t="n">
        <v>6</v>
      </c>
      <c r="AK10" s="65" t="n">
        <v>6</v>
      </c>
      <c r="AL10" s="65" t="n">
        <v>6</v>
      </c>
      <c r="AM10" s="65" t="n">
        <v>6</v>
      </c>
      <c r="AN10" s="65" t="n">
        <v>6</v>
      </c>
      <c r="AO10" s="65" t="n">
        <v>6</v>
      </c>
      <c r="AP10" s="65" t="n">
        <v>6</v>
      </c>
      <c r="AQ10" s="65" t="n">
        <v>6</v>
      </c>
      <c r="AR10" s="65" t="n">
        <v>6</v>
      </c>
    </row>
    <row r="11">
      <c r="A11" s="13" t="n"/>
      <c r="B11" s="13" t="n"/>
      <c r="C11" s="27" t="n"/>
      <c r="D11" s="64" t="inlineStr">
        <is>
          <t>Qtd. Planejada</t>
        </is>
      </c>
      <c r="E11" s="36" t="n">
        <v>39403.84</v>
      </c>
      <c r="F11" s="36" t="n">
        <v>45973.44</v>
      </c>
      <c r="G11" s="36" t="n">
        <v>39403.84</v>
      </c>
      <c r="H11" s="36" t="n">
        <v>39403.84</v>
      </c>
      <c r="I11" s="36" t="n">
        <v>39403.84</v>
      </c>
      <c r="J11" s="36" t="n">
        <v>39403.84</v>
      </c>
      <c r="K11" s="36" t="n">
        <v>45973.44</v>
      </c>
      <c r="L11" s="36" t="n">
        <v>32838.83</v>
      </c>
      <c r="M11" s="36" t="n">
        <v>45973.44</v>
      </c>
      <c r="N11" s="36" t="n">
        <v>45973.44</v>
      </c>
      <c r="O11" s="36" t="n">
        <v>45973.44</v>
      </c>
      <c r="P11" s="36" t="n">
        <v>45973.44</v>
      </c>
      <c r="Q11" s="36" t="n">
        <v>45973.44</v>
      </c>
      <c r="R11" s="36" t="n">
        <v>45973.44</v>
      </c>
      <c r="S11" s="36" t="n">
        <v>45973.44</v>
      </c>
      <c r="T11" s="36" t="n">
        <v>45973.44</v>
      </c>
      <c r="U11" s="36" t="n">
        <v>45973.44</v>
      </c>
      <c r="V11" s="36" t="n">
        <v>45973.44</v>
      </c>
      <c r="W11" s="36" t="n">
        <v>45973.44</v>
      </c>
      <c r="X11" s="36" t="n">
        <v>45973.44</v>
      </c>
      <c r="Y11" s="36" t="n">
        <v>45973.44</v>
      </c>
      <c r="Z11" s="36" t="n">
        <v>45973.44</v>
      </c>
      <c r="AA11" s="36" t="n">
        <v>45973.44</v>
      </c>
      <c r="AB11" s="36" t="n">
        <v>45973.44</v>
      </c>
      <c r="AC11" s="36" t="n">
        <v>45973.44</v>
      </c>
      <c r="AD11" s="36" t="n">
        <v>45973.44</v>
      </c>
      <c r="AE11" s="36" t="n">
        <v>45973.44</v>
      </c>
      <c r="AF11" s="36" t="n">
        <v>45973.44</v>
      </c>
      <c r="AG11" s="36" t="n">
        <v>8726.309999999999</v>
      </c>
      <c r="AH11" s="66" t="n"/>
      <c r="AI11" s="66" t="n"/>
      <c r="AJ11" s="66" t="n"/>
      <c r="AK11" s="66" t="n"/>
      <c r="AL11" s="66" t="n"/>
      <c r="AM11" s="66" t="n"/>
      <c r="AN11" s="66" t="n"/>
      <c r="AO11" s="66" t="n"/>
      <c r="AP11" s="66" t="n"/>
      <c r="AQ11" s="66" t="n"/>
      <c r="AR11" s="66" t="n"/>
    </row>
    <row r="12">
      <c r="A12" s="13" t="n"/>
      <c r="B12" s="13" t="n"/>
      <c r="C12" s="27" t="n"/>
      <c r="D12" s="64" t="inlineStr">
        <is>
          <t>Qtd Plan. Acumulada</t>
        </is>
      </c>
      <c r="E12" s="36" t="n">
        <v>39403.84</v>
      </c>
      <c r="F12" s="36" t="n">
        <v>85377.28</v>
      </c>
      <c r="G12" s="36" t="n">
        <v>124781.11</v>
      </c>
      <c r="H12" s="36" t="n">
        <v>164184.95</v>
      </c>
      <c r="I12" s="36" t="n">
        <v>203588.78</v>
      </c>
      <c r="J12" s="36" t="n">
        <v>242992.62</v>
      </c>
      <c r="K12" s="36" t="n">
        <v>288966.06</v>
      </c>
      <c r="L12" s="36" t="n">
        <v>321804.89</v>
      </c>
      <c r="M12" s="36" t="n">
        <v>367778.33</v>
      </c>
      <c r="N12" s="36" t="n">
        <v>413751.77</v>
      </c>
      <c r="O12" s="36" t="n">
        <v>459725.21</v>
      </c>
      <c r="P12" s="36" t="n">
        <v>505698.65</v>
      </c>
      <c r="Q12" s="36" t="n">
        <v>551672.09</v>
      </c>
      <c r="R12" s="36" t="n">
        <v>597645.53</v>
      </c>
      <c r="S12" s="36" t="n">
        <v>643618.97</v>
      </c>
      <c r="T12" s="36" t="n">
        <v>689592.41</v>
      </c>
      <c r="U12" s="36" t="n">
        <v>735565.85</v>
      </c>
      <c r="V12" s="36" t="n">
        <v>781539.29</v>
      </c>
      <c r="W12" s="36" t="n">
        <v>827512.73</v>
      </c>
      <c r="X12" s="36" t="n">
        <v>873486.17</v>
      </c>
      <c r="Y12" s="36" t="n">
        <v>919459.61</v>
      </c>
      <c r="Z12" s="36" t="n">
        <v>965433.05</v>
      </c>
      <c r="AA12" s="36" t="n">
        <v>1011406.49</v>
      </c>
      <c r="AB12" s="36" t="n">
        <v>1057379.93</v>
      </c>
      <c r="AC12" s="36" t="n">
        <v>1103353.37</v>
      </c>
      <c r="AD12" s="36" t="n">
        <v>1149326.81</v>
      </c>
      <c r="AE12" s="36" t="n">
        <v>1195300.25</v>
      </c>
      <c r="AF12" s="36" t="n">
        <v>1241273.69</v>
      </c>
      <c r="AG12" s="36" t="n">
        <v>1250000</v>
      </c>
      <c r="AH12" s="36" t="n">
        <v>1250000</v>
      </c>
      <c r="AI12" s="36" t="n">
        <v>1250000</v>
      </c>
      <c r="AJ12" s="36" t="n">
        <v>1250000</v>
      </c>
      <c r="AK12" s="36" t="n">
        <v>1250000</v>
      </c>
      <c r="AL12" s="36" t="n">
        <v>1250000</v>
      </c>
      <c r="AM12" s="36" t="n">
        <v>1250000</v>
      </c>
      <c r="AN12" s="36" t="n">
        <v>1250000</v>
      </c>
      <c r="AO12" s="36" t="n">
        <v>1250000</v>
      </c>
      <c r="AP12" s="36" t="n">
        <v>1250000</v>
      </c>
      <c r="AQ12" s="36" t="n">
        <v>1250000</v>
      </c>
      <c r="AR12" s="36" t="n">
        <v>1250000</v>
      </c>
    </row>
    <row r="13">
      <c r="A13" s="13" t="n"/>
      <c r="B13" s="13" t="n"/>
      <c r="C13" s="27" t="n"/>
      <c r="D13" s="64" t="inlineStr">
        <is>
          <t>Eficiência</t>
        </is>
      </c>
      <c r="E13" s="67" t="n">
        <v>0.8571</v>
      </c>
      <c r="F13" s="67" t="n">
        <v>1</v>
      </c>
      <c r="G13" s="67" t="n">
        <v>0.8571</v>
      </c>
      <c r="H13" s="67" t="n">
        <v>0.8571</v>
      </c>
      <c r="I13" s="67" t="n">
        <v>0.8571</v>
      </c>
      <c r="J13" s="67" t="n">
        <v>0.8571</v>
      </c>
      <c r="K13" s="67" t="n">
        <v>1</v>
      </c>
      <c r="L13" s="67" t="n">
        <v>0.7143</v>
      </c>
      <c r="M13" s="67" t="n">
        <v>1</v>
      </c>
      <c r="N13" s="67" t="n">
        <v>1</v>
      </c>
      <c r="O13" s="67" t="n">
        <v>1</v>
      </c>
      <c r="P13" s="67" t="n">
        <v>1</v>
      </c>
      <c r="Q13" s="67" t="n">
        <v>1</v>
      </c>
      <c r="R13" s="67" t="n">
        <v>1</v>
      </c>
      <c r="S13" s="67" t="n">
        <v>1</v>
      </c>
      <c r="T13" s="67" t="n">
        <v>1</v>
      </c>
      <c r="U13" s="67" t="n">
        <v>1</v>
      </c>
      <c r="V13" s="67" t="n">
        <v>1</v>
      </c>
      <c r="W13" s="67" t="n">
        <v>1</v>
      </c>
      <c r="X13" s="67" t="n">
        <v>1</v>
      </c>
      <c r="Y13" s="67" t="n">
        <v>1</v>
      </c>
      <c r="Z13" s="67" t="n">
        <v>1</v>
      </c>
      <c r="AA13" s="67" t="n">
        <v>1</v>
      </c>
      <c r="AB13" s="67" t="n">
        <v>1</v>
      </c>
      <c r="AC13" s="67" t="n">
        <v>1</v>
      </c>
      <c r="AD13" s="67" t="n">
        <v>1</v>
      </c>
      <c r="AE13" s="67" t="n">
        <v>1</v>
      </c>
      <c r="AF13" s="67" t="n">
        <v>1</v>
      </c>
      <c r="AG13" s="67" t="n">
        <v>1</v>
      </c>
      <c r="AH13" s="67" t="n">
        <v>1</v>
      </c>
      <c r="AI13" s="67" t="n">
        <v>1</v>
      </c>
      <c r="AJ13" s="67" t="n">
        <v>1</v>
      </c>
      <c r="AK13" s="67" t="n">
        <v>0.8571</v>
      </c>
      <c r="AL13" s="67" t="n">
        <v>1</v>
      </c>
      <c r="AM13" s="67" t="n">
        <v>0.8571</v>
      </c>
      <c r="AN13" s="67" t="n">
        <v>0.8571</v>
      </c>
      <c r="AO13" s="67" t="n">
        <v>0.8571</v>
      </c>
      <c r="AP13" s="67" t="n">
        <v>1</v>
      </c>
      <c r="AQ13" s="67" t="n">
        <v>1</v>
      </c>
      <c r="AR13" s="67" t="n">
        <v>1</v>
      </c>
    </row>
    <row r="14">
      <c r="A14" s="20" t="inlineStr">
        <is>
          <t>eap-1_5</t>
        </is>
      </c>
      <c r="B14" s="20" t="inlineStr">
        <is>
          <t>Opcional - Transporte de solo já cortado, para outro terreno em Guarulhos com DMT de 8km.</t>
        </is>
      </c>
      <c r="C14" s="53" t="inlineStr">
        <is>
          <t>m3</t>
        </is>
      </c>
      <c r="D14" s="54" t="inlineStr">
        <is>
          <t>Dias Trabalhados</t>
        </is>
      </c>
      <c r="E14" s="55" t="n">
        <v>6</v>
      </c>
      <c r="F14" s="55" t="n">
        <v>6</v>
      </c>
      <c r="G14" s="55" t="n">
        <v>6</v>
      </c>
      <c r="H14" s="55" t="n">
        <v>6</v>
      </c>
      <c r="I14" s="55" t="n">
        <v>6</v>
      </c>
      <c r="J14" s="55" t="n">
        <v>6</v>
      </c>
      <c r="K14" s="55" t="n">
        <v>6</v>
      </c>
      <c r="L14" s="55" t="n">
        <v>6</v>
      </c>
      <c r="M14" s="55" t="n">
        <v>6</v>
      </c>
      <c r="N14" s="55" t="n">
        <v>6</v>
      </c>
      <c r="O14" s="55" t="n">
        <v>6</v>
      </c>
      <c r="P14" s="55" t="n">
        <v>6</v>
      </c>
      <c r="Q14" s="55" t="n">
        <v>6</v>
      </c>
      <c r="R14" s="55" t="n">
        <v>6</v>
      </c>
      <c r="S14" s="55" t="n">
        <v>6</v>
      </c>
      <c r="T14" s="55" t="n">
        <v>6</v>
      </c>
      <c r="U14" s="55" t="n">
        <v>6</v>
      </c>
      <c r="V14" s="55" t="n">
        <v>6</v>
      </c>
      <c r="W14" s="55" t="n">
        <v>6</v>
      </c>
      <c r="X14" s="55" t="n">
        <v>6</v>
      </c>
      <c r="Y14" s="55" t="n">
        <v>6</v>
      </c>
      <c r="Z14" s="55" t="n">
        <v>6</v>
      </c>
      <c r="AA14" s="55" t="n">
        <v>6</v>
      </c>
      <c r="AB14" s="55" t="n">
        <v>6</v>
      </c>
      <c r="AC14" s="55" t="n">
        <v>6</v>
      </c>
      <c r="AD14" s="55" t="n">
        <v>6</v>
      </c>
      <c r="AE14" s="55" t="n">
        <v>6</v>
      </c>
      <c r="AF14" s="55" t="n">
        <v>6</v>
      </c>
      <c r="AG14" s="55" t="n">
        <v>6</v>
      </c>
      <c r="AH14" s="55" t="n">
        <v>6</v>
      </c>
      <c r="AI14" s="55" t="n">
        <v>6</v>
      </c>
      <c r="AJ14" s="55" t="n">
        <v>6</v>
      </c>
      <c r="AK14" s="55" t="n">
        <v>6</v>
      </c>
      <c r="AL14" s="55" t="n">
        <v>6</v>
      </c>
      <c r="AM14" s="55" t="n">
        <v>6</v>
      </c>
      <c r="AN14" s="55" t="n">
        <v>6</v>
      </c>
      <c r="AO14" s="55" t="n">
        <v>6</v>
      </c>
      <c r="AP14" s="55" t="n">
        <v>6</v>
      </c>
      <c r="AQ14" s="55" t="n">
        <v>6</v>
      </c>
      <c r="AR14" s="55" t="n">
        <v>6</v>
      </c>
    </row>
    <row r="15">
      <c r="A15" s="11" t="n"/>
      <c r="B15" s="11" t="n"/>
      <c r="C15" s="18" t="n"/>
      <c r="D15" s="56" t="inlineStr">
        <is>
          <t>Nº De Equipes</t>
        </is>
      </c>
      <c r="E15" s="57" t="n">
        <v>1</v>
      </c>
      <c r="F15" s="57" t="n">
        <v>1</v>
      </c>
      <c r="G15" s="57" t="n">
        <v>1</v>
      </c>
      <c r="H15" s="57" t="n">
        <v>1</v>
      </c>
      <c r="I15" s="57" t="n">
        <v>1</v>
      </c>
      <c r="J15" s="57" t="n">
        <v>1</v>
      </c>
      <c r="K15" s="57" t="n">
        <v>1</v>
      </c>
      <c r="L15" s="57" t="n">
        <v>1</v>
      </c>
      <c r="M15" s="57" t="n">
        <v>1</v>
      </c>
      <c r="N15" s="57" t="n">
        <v>1</v>
      </c>
      <c r="O15" s="57" t="n">
        <v>1</v>
      </c>
      <c r="P15" s="57" t="n">
        <v>1</v>
      </c>
      <c r="Q15" s="57" t="n">
        <v>1</v>
      </c>
      <c r="R15" s="57" t="n">
        <v>1</v>
      </c>
      <c r="S15" s="57" t="n">
        <v>1</v>
      </c>
      <c r="T15" s="57" t="n">
        <v>1</v>
      </c>
      <c r="U15" s="57" t="n">
        <v>1</v>
      </c>
      <c r="V15" s="57" t="n">
        <v>1</v>
      </c>
      <c r="W15" s="57" t="n">
        <v>1</v>
      </c>
      <c r="X15" s="57" t="n">
        <v>1</v>
      </c>
      <c r="Y15" s="57" t="n">
        <v>1</v>
      </c>
      <c r="Z15" s="57" t="n">
        <v>1</v>
      </c>
      <c r="AA15" s="57" t="n">
        <v>1</v>
      </c>
      <c r="AB15" s="57" t="n">
        <v>1</v>
      </c>
      <c r="AC15" s="57" t="n">
        <v>1</v>
      </c>
      <c r="AD15" s="57" t="n">
        <v>1</v>
      </c>
      <c r="AE15" s="57" t="n">
        <v>1</v>
      </c>
      <c r="AF15" s="57" t="n">
        <v>1</v>
      </c>
      <c r="AG15" s="57" t="n">
        <v>1</v>
      </c>
      <c r="AH15" s="57" t="n">
        <v>1</v>
      </c>
      <c r="AI15" s="57" t="n">
        <v>1</v>
      </c>
      <c r="AJ15" s="57" t="n">
        <v>1</v>
      </c>
      <c r="AK15" s="57" t="n">
        <v>1</v>
      </c>
      <c r="AL15" s="57" t="n">
        <v>1</v>
      </c>
      <c r="AM15" s="57" t="n">
        <v>1</v>
      </c>
      <c r="AN15" s="57" t="n">
        <v>1</v>
      </c>
      <c r="AO15" s="57" t="n">
        <v>1</v>
      </c>
      <c r="AP15" s="57" t="n">
        <v>1</v>
      </c>
      <c r="AQ15" s="57" t="n">
        <v>1</v>
      </c>
      <c r="AR15" s="57" t="n">
        <v>1</v>
      </c>
    </row>
    <row r="16">
      <c r="A16" s="11" t="n"/>
      <c r="B16" s="11" t="n"/>
      <c r="C16" s="18" t="n"/>
      <c r="D16" s="56" t="inlineStr">
        <is>
          <t>Qtd. Planejada</t>
        </is>
      </c>
      <c r="E16" s="33" t="n">
        <v>9834.299999999999</v>
      </c>
      <c r="F16" s="33" t="n">
        <v>11473.92</v>
      </c>
      <c r="G16" s="33" t="n">
        <v>9834.299999999999</v>
      </c>
      <c r="H16" s="33" t="n">
        <v>9834.299999999999</v>
      </c>
      <c r="I16" s="33" t="n">
        <v>9834.299999999999</v>
      </c>
      <c r="J16" s="33" t="n">
        <v>9834.299999999999</v>
      </c>
      <c r="K16" s="33" t="n">
        <v>11473.92</v>
      </c>
      <c r="L16" s="33" t="n">
        <v>8195.82</v>
      </c>
      <c r="M16" s="33" t="n">
        <v>11473.92</v>
      </c>
      <c r="N16" s="33" t="n">
        <v>11473.92</v>
      </c>
      <c r="O16" s="33" t="n">
        <v>11473.92</v>
      </c>
      <c r="P16" s="33" t="n">
        <v>11473.92</v>
      </c>
      <c r="Q16" s="33" t="n">
        <v>11473.92</v>
      </c>
      <c r="R16" s="33" t="n">
        <v>11473.92</v>
      </c>
      <c r="S16" s="33" t="n">
        <v>11473.92</v>
      </c>
      <c r="T16" s="33" t="n">
        <v>11473.92</v>
      </c>
      <c r="U16" s="33" t="n">
        <v>11473.92</v>
      </c>
      <c r="V16" s="33" t="n">
        <v>11473.92</v>
      </c>
      <c r="W16" s="33" t="n">
        <v>4945.65</v>
      </c>
      <c r="X16" s="58" t="n"/>
      <c r="Y16" s="58" t="n"/>
      <c r="Z16" s="58" t="n"/>
      <c r="AA16" s="58" t="n"/>
      <c r="AB16" s="58" t="n"/>
      <c r="AC16" s="58" t="n"/>
      <c r="AD16" s="58" t="n"/>
      <c r="AE16" s="58" t="n"/>
      <c r="AF16" s="58" t="n"/>
      <c r="AG16" s="58" t="n"/>
      <c r="AH16" s="58" t="n"/>
      <c r="AI16" s="58" t="n"/>
      <c r="AJ16" s="58" t="n"/>
      <c r="AK16" s="58" t="n"/>
      <c r="AL16" s="58" t="n"/>
      <c r="AM16" s="58" t="n"/>
      <c r="AN16" s="58" t="n"/>
      <c r="AO16" s="58" t="n"/>
      <c r="AP16" s="58" t="n"/>
      <c r="AQ16" s="58" t="n"/>
      <c r="AR16" s="58" t="n"/>
    </row>
    <row r="17">
      <c r="A17" s="11" t="n"/>
      <c r="B17" s="11" t="n"/>
      <c r="C17" s="18" t="n"/>
      <c r="D17" s="56" t="inlineStr">
        <is>
          <t>Qtd Plan. Acumulada</t>
        </is>
      </c>
      <c r="E17" s="33" t="n">
        <v>9834.299999999999</v>
      </c>
      <c r="F17" s="33" t="n">
        <v>21308.22</v>
      </c>
      <c r="G17" s="33" t="n">
        <v>31142.51</v>
      </c>
      <c r="H17" s="33" t="n">
        <v>40976.81</v>
      </c>
      <c r="I17" s="33" t="n">
        <v>50811.11</v>
      </c>
      <c r="J17" s="33" t="n">
        <v>60645.4</v>
      </c>
      <c r="K17" s="33" t="n">
        <v>72119.32000000001</v>
      </c>
      <c r="L17" s="33" t="n">
        <v>80315.14999999999</v>
      </c>
      <c r="M17" s="33" t="n">
        <v>91789.07000000001</v>
      </c>
      <c r="N17" s="33" t="n">
        <v>103262.99</v>
      </c>
      <c r="O17" s="33" t="n">
        <v>114736.91</v>
      </c>
      <c r="P17" s="33" t="n">
        <v>126210.83</v>
      </c>
      <c r="Q17" s="33" t="n">
        <v>137684.75</v>
      </c>
      <c r="R17" s="33" t="n">
        <v>149158.67</v>
      </c>
      <c r="S17" s="33" t="n">
        <v>160632.59</v>
      </c>
      <c r="T17" s="33" t="n">
        <v>172106.51</v>
      </c>
      <c r="U17" s="33" t="n">
        <v>183580.43</v>
      </c>
      <c r="V17" s="33" t="n">
        <v>195054.35</v>
      </c>
      <c r="W17" s="33" t="n">
        <v>200000</v>
      </c>
      <c r="X17" s="33" t="n">
        <v>200000</v>
      </c>
      <c r="Y17" s="33" t="n">
        <v>200000</v>
      </c>
      <c r="Z17" s="33" t="n">
        <v>200000</v>
      </c>
      <c r="AA17" s="33" t="n">
        <v>200000</v>
      </c>
      <c r="AB17" s="33" t="n">
        <v>200000</v>
      </c>
      <c r="AC17" s="33" t="n">
        <v>200000</v>
      </c>
      <c r="AD17" s="33" t="n">
        <v>200000</v>
      </c>
      <c r="AE17" s="33" t="n">
        <v>200000</v>
      </c>
      <c r="AF17" s="33" t="n">
        <v>200000</v>
      </c>
      <c r="AG17" s="33" t="n">
        <v>200000</v>
      </c>
      <c r="AH17" s="33" t="n">
        <v>200000</v>
      </c>
      <c r="AI17" s="33" t="n">
        <v>200000</v>
      </c>
      <c r="AJ17" s="33" t="n">
        <v>200000</v>
      </c>
      <c r="AK17" s="33" t="n">
        <v>200000</v>
      </c>
      <c r="AL17" s="33" t="n">
        <v>200000</v>
      </c>
      <c r="AM17" s="33" t="n">
        <v>200000</v>
      </c>
      <c r="AN17" s="33" t="n">
        <v>200000</v>
      </c>
      <c r="AO17" s="33" t="n">
        <v>200000</v>
      </c>
      <c r="AP17" s="33" t="n">
        <v>200000</v>
      </c>
      <c r="AQ17" s="33" t="n">
        <v>200000</v>
      </c>
      <c r="AR17" s="33" t="n">
        <v>200000</v>
      </c>
    </row>
    <row r="18">
      <c r="A18" s="11" t="n"/>
      <c r="B18" s="11" t="n"/>
      <c r="C18" s="18" t="n"/>
      <c r="D18" s="56" t="inlineStr">
        <is>
          <t>Eficiência</t>
        </is>
      </c>
      <c r="E18" s="59" t="n">
        <v>0.8571</v>
      </c>
      <c r="F18" s="59" t="n">
        <v>1</v>
      </c>
      <c r="G18" s="59" t="n">
        <v>0.8571</v>
      </c>
      <c r="H18" s="59" t="n">
        <v>0.8571</v>
      </c>
      <c r="I18" s="59" t="n">
        <v>0.8571</v>
      </c>
      <c r="J18" s="59" t="n">
        <v>0.8571</v>
      </c>
      <c r="K18" s="59" t="n">
        <v>1</v>
      </c>
      <c r="L18" s="59" t="n">
        <v>0.7143</v>
      </c>
      <c r="M18" s="59" t="n">
        <v>1</v>
      </c>
      <c r="N18" s="59" t="n">
        <v>1</v>
      </c>
      <c r="O18" s="59" t="n">
        <v>1</v>
      </c>
      <c r="P18" s="59" t="n">
        <v>1</v>
      </c>
      <c r="Q18" s="59" t="n">
        <v>1</v>
      </c>
      <c r="R18" s="59" t="n">
        <v>1</v>
      </c>
      <c r="S18" s="59" t="n">
        <v>1</v>
      </c>
      <c r="T18" s="59" t="n">
        <v>1</v>
      </c>
      <c r="U18" s="59" t="n">
        <v>1</v>
      </c>
      <c r="V18" s="59" t="n">
        <v>1</v>
      </c>
      <c r="W18" s="59" t="n">
        <v>1</v>
      </c>
      <c r="X18" s="59" t="n">
        <v>1</v>
      </c>
      <c r="Y18" s="59" t="n">
        <v>1</v>
      </c>
      <c r="Z18" s="59" t="n">
        <v>1</v>
      </c>
      <c r="AA18" s="59" t="n">
        <v>1</v>
      </c>
      <c r="AB18" s="59" t="n">
        <v>1</v>
      </c>
      <c r="AC18" s="59" t="n">
        <v>1</v>
      </c>
      <c r="AD18" s="59" t="n">
        <v>1</v>
      </c>
      <c r="AE18" s="59" t="n">
        <v>1</v>
      </c>
      <c r="AF18" s="59" t="n">
        <v>1</v>
      </c>
      <c r="AG18" s="59" t="n">
        <v>1</v>
      </c>
      <c r="AH18" s="59" t="n">
        <v>1</v>
      </c>
      <c r="AI18" s="59" t="n">
        <v>1</v>
      </c>
      <c r="AJ18" s="59" t="n">
        <v>1</v>
      </c>
      <c r="AK18" s="59" t="n">
        <v>0.8571</v>
      </c>
      <c r="AL18" s="59" t="n">
        <v>1</v>
      </c>
      <c r="AM18" s="59" t="n">
        <v>0.8571</v>
      </c>
      <c r="AN18" s="59" t="n">
        <v>0.8571</v>
      </c>
      <c r="AO18" s="59" t="n">
        <v>0.8571</v>
      </c>
      <c r="AP18" s="59" t="n">
        <v>1</v>
      </c>
      <c r="AQ18" s="59" t="n">
        <v>1</v>
      </c>
      <c r="AR18" s="59" t="n">
        <v>1</v>
      </c>
    </row>
    <row r="19">
      <c r="A19" s="60" t="inlineStr">
        <is>
          <t>eap-1_1</t>
        </is>
      </c>
      <c r="B19" s="60" t="inlineStr">
        <is>
          <t>Remoção Superficial (20cm - Top Soil) - Excluso supressão vegetal</t>
        </is>
      </c>
      <c r="C19" s="61" t="inlineStr">
        <is>
          <t>m2</t>
        </is>
      </c>
      <c r="D19" s="62" t="inlineStr">
        <is>
          <t>Dias Trabalhados</t>
        </is>
      </c>
      <c r="E19" s="63" t="n">
        <v>6</v>
      </c>
      <c r="F19" s="63" t="n">
        <v>6</v>
      </c>
      <c r="G19" s="63" t="n">
        <v>6</v>
      </c>
      <c r="H19" s="63" t="n">
        <v>6</v>
      </c>
      <c r="I19" s="63" t="n">
        <v>6</v>
      </c>
      <c r="J19" s="63" t="n">
        <v>6</v>
      </c>
      <c r="K19" s="63" t="n">
        <v>6</v>
      </c>
      <c r="L19" s="63" t="n">
        <v>6</v>
      </c>
      <c r="M19" s="63" t="n">
        <v>6</v>
      </c>
      <c r="N19" s="63" t="n">
        <v>6</v>
      </c>
      <c r="O19" s="63" t="n">
        <v>6</v>
      </c>
      <c r="P19" s="63" t="n">
        <v>6</v>
      </c>
      <c r="Q19" s="63" t="n">
        <v>6</v>
      </c>
      <c r="R19" s="63" t="n">
        <v>6</v>
      </c>
      <c r="S19" s="63" t="n">
        <v>6</v>
      </c>
      <c r="T19" s="63" t="n">
        <v>6</v>
      </c>
      <c r="U19" s="63" t="n">
        <v>6</v>
      </c>
      <c r="V19" s="63" t="n">
        <v>6</v>
      </c>
      <c r="W19" s="63" t="n">
        <v>6</v>
      </c>
      <c r="X19" s="63" t="n">
        <v>6</v>
      </c>
      <c r="Y19" s="63" t="n">
        <v>6</v>
      </c>
      <c r="Z19" s="63" t="n">
        <v>6</v>
      </c>
      <c r="AA19" s="63" t="n">
        <v>6</v>
      </c>
      <c r="AB19" s="63" t="n">
        <v>6</v>
      </c>
      <c r="AC19" s="63" t="n">
        <v>6</v>
      </c>
      <c r="AD19" s="63" t="n">
        <v>6</v>
      </c>
      <c r="AE19" s="63" t="n">
        <v>6</v>
      </c>
      <c r="AF19" s="63" t="n">
        <v>6</v>
      </c>
      <c r="AG19" s="63" t="n">
        <v>6</v>
      </c>
      <c r="AH19" s="63" t="n">
        <v>6</v>
      </c>
      <c r="AI19" s="63" t="n">
        <v>6</v>
      </c>
      <c r="AJ19" s="63" t="n">
        <v>6</v>
      </c>
      <c r="AK19" s="63" t="n">
        <v>6</v>
      </c>
      <c r="AL19" s="63" t="n">
        <v>6</v>
      </c>
      <c r="AM19" s="63" t="n">
        <v>6</v>
      </c>
      <c r="AN19" s="63" t="n">
        <v>6</v>
      </c>
      <c r="AO19" s="63" t="n">
        <v>6</v>
      </c>
      <c r="AP19" s="63" t="n">
        <v>6</v>
      </c>
      <c r="AQ19" s="63" t="n">
        <v>6</v>
      </c>
      <c r="AR19" s="63" t="n">
        <v>6</v>
      </c>
    </row>
    <row r="20">
      <c r="A20" s="13" t="n"/>
      <c r="B20" s="13" t="n"/>
      <c r="C20" s="27" t="n"/>
      <c r="D20" s="64" t="inlineStr">
        <is>
          <t>Nº De Equipes</t>
        </is>
      </c>
      <c r="E20" s="65" t="n">
        <v>1</v>
      </c>
      <c r="F20" s="65" t="n">
        <v>1</v>
      </c>
      <c r="G20" s="65" t="n">
        <v>1</v>
      </c>
      <c r="H20" s="65" t="n">
        <v>1</v>
      </c>
      <c r="I20" s="65" t="n">
        <v>1</v>
      </c>
      <c r="J20" s="65" t="n">
        <v>1</v>
      </c>
      <c r="K20" s="65" t="n">
        <v>1</v>
      </c>
      <c r="L20" s="65" t="n">
        <v>1</v>
      </c>
      <c r="M20" s="65" t="n">
        <v>1</v>
      </c>
      <c r="N20" s="65" t="n">
        <v>1</v>
      </c>
      <c r="O20" s="65" t="n">
        <v>1</v>
      </c>
      <c r="P20" s="65" t="n">
        <v>1</v>
      </c>
      <c r="Q20" s="65" t="n">
        <v>1</v>
      </c>
      <c r="R20" s="65" t="n">
        <v>1</v>
      </c>
      <c r="S20" s="65" t="n">
        <v>1</v>
      </c>
      <c r="T20" s="65" t="n">
        <v>1</v>
      </c>
      <c r="U20" s="65" t="n">
        <v>1</v>
      </c>
      <c r="V20" s="65" t="n">
        <v>1</v>
      </c>
      <c r="W20" s="65" t="n">
        <v>1</v>
      </c>
      <c r="X20" s="65" t="n">
        <v>1</v>
      </c>
      <c r="Y20" s="65" t="n">
        <v>1</v>
      </c>
      <c r="Z20" s="65" t="n">
        <v>1</v>
      </c>
      <c r="AA20" s="65" t="n">
        <v>1</v>
      </c>
      <c r="AB20" s="65" t="n">
        <v>1</v>
      </c>
      <c r="AC20" s="65" t="n">
        <v>1</v>
      </c>
      <c r="AD20" s="65" t="n">
        <v>1</v>
      </c>
      <c r="AE20" s="65" t="n">
        <v>1</v>
      </c>
      <c r="AF20" s="65" t="n">
        <v>1</v>
      </c>
      <c r="AG20" s="65" t="n">
        <v>1</v>
      </c>
      <c r="AH20" s="65" t="n">
        <v>1</v>
      </c>
      <c r="AI20" s="65" t="n">
        <v>1</v>
      </c>
      <c r="AJ20" s="65" t="n">
        <v>1</v>
      </c>
      <c r="AK20" s="65" t="n">
        <v>1</v>
      </c>
      <c r="AL20" s="65" t="n">
        <v>1</v>
      </c>
      <c r="AM20" s="65" t="n">
        <v>1</v>
      </c>
      <c r="AN20" s="65" t="n">
        <v>1</v>
      </c>
      <c r="AO20" s="65" t="n">
        <v>1</v>
      </c>
      <c r="AP20" s="65" t="n">
        <v>1</v>
      </c>
      <c r="AQ20" s="65" t="n">
        <v>1</v>
      </c>
      <c r="AR20" s="65" t="n">
        <v>1</v>
      </c>
    </row>
    <row r="21">
      <c r="A21" s="13" t="n"/>
      <c r="B21" s="13" t="n"/>
      <c r="C21" s="27" t="n"/>
      <c r="D21" s="64" t="inlineStr">
        <is>
          <t>Qtd. Planejada</t>
        </is>
      </c>
      <c r="E21" s="36" t="n">
        <v>30855.6</v>
      </c>
      <c r="F21" s="36" t="n">
        <v>36000</v>
      </c>
      <c r="G21" s="36" t="n">
        <v>30855.6</v>
      </c>
      <c r="H21" s="36" t="n">
        <v>30855.6</v>
      </c>
      <c r="I21" s="36" t="n">
        <v>30855.6</v>
      </c>
      <c r="J21" s="36" t="n">
        <v>30855.6</v>
      </c>
      <c r="K21" s="36" t="n">
        <v>36000</v>
      </c>
      <c r="L21" s="36" t="n">
        <v>18722</v>
      </c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  <c r="AE21" s="66" t="n"/>
      <c r="AF21" s="66" t="n"/>
      <c r="AG21" s="66" t="n"/>
      <c r="AH21" s="66" t="n"/>
      <c r="AI21" s="66" t="n"/>
      <c r="AJ21" s="66" t="n"/>
      <c r="AK21" s="66" t="n"/>
      <c r="AL21" s="66" t="n"/>
      <c r="AM21" s="66" t="n"/>
      <c r="AN21" s="66" t="n"/>
      <c r="AO21" s="66" t="n"/>
      <c r="AP21" s="66" t="n"/>
      <c r="AQ21" s="66" t="n"/>
      <c r="AR21" s="66" t="n"/>
    </row>
    <row r="22">
      <c r="A22" s="13" t="n"/>
      <c r="B22" s="13" t="n"/>
      <c r="C22" s="27" t="n"/>
      <c r="D22" s="64" t="inlineStr">
        <is>
          <t>Qtd Plan. Acumulada</t>
        </is>
      </c>
      <c r="E22" s="36" t="n">
        <v>30855.6</v>
      </c>
      <c r="F22" s="36" t="n">
        <v>66855.60000000001</v>
      </c>
      <c r="G22" s="36" t="n">
        <v>97711.2</v>
      </c>
      <c r="H22" s="36" t="n">
        <v>128566.8</v>
      </c>
      <c r="I22" s="36" t="n">
        <v>159422.4</v>
      </c>
      <c r="J22" s="36" t="n">
        <v>190278</v>
      </c>
      <c r="K22" s="36" t="n">
        <v>226278</v>
      </c>
      <c r="L22" s="36" t="n">
        <v>245000</v>
      </c>
      <c r="M22" s="36" t="n">
        <v>245000</v>
      </c>
      <c r="N22" s="36" t="n">
        <v>245000</v>
      </c>
      <c r="O22" s="36" t="n">
        <v>245000</v>
      </c>
      <c r="P22" s="36" t="n">
        <v>245000</v>
      </c>
      <c r="Q22" s="36" t="n">
        <v>245000</v>
      </c>
      <c r="R22" s="36" t="n">
        <v>245000</v>
      </c>
      <c r="S22" s="36" t="n">
        <v>245000</v>
      </c>
      <c r="T22" s="36" t="n">
        <v>245000</v>
      </c>
      <c r="U22" s="36" t="n">
        <v>245000</v>
      </c>
      <c r="V22" s="36" t="n">
        <v>245000</v>
      </c>
      <c r="W22" s="36" t="n">
        <v>245000</v>
      </c>
      <c r="X22" s="36" t="n">
        <v>245000</v>
      </c>
      <c r="Y22" s="36" t="n">
        <v>245000</v>
      </c>
      <c r="Z22" s="36" t="n">
        <v>245000</v>
      </c>
      <c r="AA22" s="36" t="n">
        <v>245000</v>
      </c>
      <c r="AB22" s="36" t="n">
        <v>245000</v>
      </c>
      <c r="AC22" s="36" t="n">
        <v>245000</v>
      </c>
      <c r="AD22" s="36" t="n">
        <v>245000</v>
      </c>
      <c r="AE22" s="36" t="n">
        <v>245000</v>
      </c>
      <c r="AF22" s="36" t="n">
        <v>245000</v>
      </c>
      <c r="AG22" s="36" t="n">
        <v>245000</v>
      </c>
      <c r="AH22" s="36" t="n">
        <v>245000</v>
      </c>
      <c r="AI22" s="36" t="n">
        <v>245000</v>
      </c>
      <c r="AJ22" s="36" t="n">
        <v>245000</v>
      </c>
      <c r="AK22" s="36" t="n">
        <v>245000</v>
      </c>
      <c r="AL22" s="36" t="n">
        <v>245000</v>
      </c>
      <c r="AM22" s="36" t="n">
        <v>245000</v>
      </c>
      <c r="AN22" s="36" t="n">
        <v>245000</v>
      </c>
      <c r="AO22" s="36" t="n">
        <v>245000</v>
      </c>
      <c r="AP22" s="36" t="n">
        <v>245000</v>
      </c>
      <c r="AQ22" s="36" t="n">
        <v>245000</v>
      </c>
      <c r="AR22" s="36" t="n">
        <v>245000</v>
      </c>
    </row>
    <row r="23">
      <c r="A23" s="13" t="n"/>
      <c r="B23" s="13" t="n"/>
      <c r="C23" s="27" t="n"/>
      <c r="D23" s="64" t="inlineStr">
        <is>
          <t>Eficiência</t>
        </is>
      </c>
      <c r="E23" s="67" t="n">
        <v>0.8571</v>
      </c>
      <c r="F23" s="67" t="n">
        <v>1</v>
      </c>
      <c r="G23" s="67" t="n">
        <v>0.8571</v>
      </c>
      <c r="H23" s="67" t="n">
        <v>0.8571</v>
      </c>
      <c r="I23" s="67" t="n">
        <v>0.8571</v>
      </c>
      <c r="J23" s="67" t="n">
        <v>0.8571</v>
      </c>
      <c r="K23" s="67" t="n">
        <v>1</v>
      </c>
      <c r="L23" s="67" t="n">
        <v>0.7143</v>
      </c>
      <c r="M23" s="67" t="n">
        <v>1</v>
      </c>
      <c r="N23" s="67" t="n">
        <v>1</v>
      </c>
      <c r="O23" s="67" t="n">
        <v>1</v>
      </c>
      <c r="P23" s="67" t="n">
        <v>1</v>
      </c>
      <c r="Q23" s="67" t="n">
        <v>1</v>
      </c>
      <c r="R23" s="67" t="n">
        <v>1</v>
      </c>
      <c r="S23" s="67" t="n">
        <v>1</v>
      </c>
      <c r="T23" s="67" t="n">
        <v>1</v>
      </c>
      <c r="U23" s="67" t="n">
        <v>1</v>
      </c>
      <c r="V23" s="67" t="n">
        <v>1</v>
      </c>
      <c r="W23" s="67" t="n">
        <v>1</v>
      </c>
      <c r="X23" s="67" t="n">
        <v>1</v>
      </c>
      <c r="Y23" s="67" t="n">
        <v>1</v>
      </c>
      <c r="Z23" s="67" t="n">
        <v>1</v>
      </c>
      <c r="AA23" s="67" t="n">
        <v>1</v>
      </c>
      <c r="AB23" s="67" t="n">
        <v>1</v>
      </c>
      <c r="AC23" s="67" t="n">
        <v>1</v>
      </c>
      <c r="AD23" s="67" t="n">
        <v>1</v>
      </c>
      <c r="AE23" s="67" t="n">
        <v>1</v>
      </c>
      <c r="AF23" s="67" t="n">
        <v>1</v>
      </c>
      <c r="AG23" s="67" t="n">
        <v>1</v>
      </c>
      <c r="AH23" s="67" t="n">
        <v>1</v>
      </c>
      <c r="AI23" s="67" t="n">
        <v>1</v>
      </c>
      <c r="AJ23" s="67" t="n">
        <v>1</v>
      </c>
      <c r="AK23" s="67" t="n">
        <v>0.8571</v>
      </c>
      <c r="AL23" s="67" t="n">
        <v>1</v>
      </c>
      <c r="AM23" s="67" t="n">
        <v>0.8571</v>
      </c>
      <c r="AN23" s="67" t="n">
        <v>0.8571</v>
      </c>
      <c r="AO23" s="67" t="n">
        <v>0.8571</v>
      </c>
      <c r="AP23" s="67" t="n">
        <v>1</v>
      </c>
      <c r="AQ23" s="67" t="n">
        <v>1</v>
      </c>
      <c r="AR23" s="67" t="n">
        <v>1</v>
      </c>
    </row>
  </sheetData>
  <mergeCells count="1">
    <mergeCell ref="A1:AR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xSplit="4" ySplit="2" topLeftCell="E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CRONOGRAMA RESUMIDO — PRODUÇÃO MENSAL POR EAP</t>
        </is>
      </c>
    </row>
    <row r="2">
      <c r="A2" s="2" t="inlineStr">
        <is>
          <t>Item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Total Qtd</t>
        </is>
      </c>
      <c r="E2" s="2" t="inlineStr">
        <is>
          <t>Mar/25</t>
        </is>
      </c>
      <c r="F2" s="2" t="inlineStr">
        <is>
          <t>Abr/25</t>
        </is>
      </c>
      <c r="G2" s="2" t="inlineStr">
        <is>
          <t>Mai/25</t>
        </is>
      </c>
      <c r="H2" s="2" t="inlineStr">
        <is>
          <t>Jun/25</t>
        </is>
      </c>
      <c r="I2" s="2" t="inlineStr">
        <is>
          <t>Jul/25</t>
        </is>
      </c>
      <c r="J2" s="2" t="inlineStr">
        <is>
          <t>Ago/25</t>
        </is>
      </c>
      <c r="K2" s="2" t="inlineStr">
        <is>
          <t>Set/25</t>
        </is>
      </c>
      <c r="L2" s="2" t="inlineStr">
        <is>
          <t>Out/25</t>
        </is>
      </c>
      <c r="M2" s="2" t="inlineStr">
        <is>
          <t>Nov/25</t>
        </is>
      </c>
      <c r="N2" s="2" t="inlineStr">
        <is>
          <t>Dez/25</t>
        </is>
      </c>
    </row>
    <row r="3">
      <c r="A3" s="11" t="inlineStr">
        <is>
          <t>eap-1_3</t>
        </is>
      </c>
      <c r="B3" s="68" t="inlineStr">
        <is>
          <t>Aterro compactado / 98% e 100% P.N nas útimas 5 camadas</t>
        </is>
      </c>
      <c r="C3" s="18" t="inlineStr">
        <is>
          <t>m3</t>
        </is>
      </c>
      <c r="D3" s="32" t="n">
        <v>1000000</v>
      </c>
      <c r="E3" s="32" t="n">
        <v>33348.73</v>
      </c>
      <c r="F3" s="32" t="n">
        <v>138954.99</v>
      </c>
      <c r="G3" s="32" t="n">
        <v>138958.89</v>
      </c>
      <c r="H3" s="32" t="n">
        <v>194544</v>
      </c>
      <c r="I3" s="32" t="n">
        <v>155635.2</v>
      </c>
      <c r="J3" s="32" t="n">
        <v>155635.2</v>
      </c>
      <c r="K3" s="32" t="n">
        <v>182922.98</v>
      </c>
      <c r="L3" s="12" t="n"/>
      <c r="M3" s="12" t="n"/>
      <c r="N3" s="12" t="n"/>
    </row>
    <row r="4">
      <c r="A4" s="13" t="inlineStr">
        <is>
          <t>eap-1_2</t>
        </is>
      </c>
      <c r="B4" s="69" t="inlineStr">
        <is>
          <t>Corte e transporte interno</t>
        </is>
      </c>
      <c r="C4" s="27" t="inlineStr">
        <is>
          <t>m3</t>
        </is>
      </c>
      <c r="D4" s="35" t="n">
        <v>1250000</v>
      </c>
      <c r="E4" s="35" t="n">
        <v>39403.84</v>
      </c>
      <c r="F4" s="35" t="n">
        <v>164184.96</v>
      </c>
      <c r="G4" s="35" t="n">
        <v>164189.55</v>
      </c>
      <c r="H4" s="35" t="n">
        <v>229867.2</v>
      </c>
      <c r="I4" s="35" t="n">
        <v>183893.76</v>
      </c>
      <c r="J4" s="35" t="n">
        <v>183893.76</v>
      </c>
      <c r="K4" s="35" t="n">
        <v>229867.2</v>
      </c>
      <c r="L4" s="35" t="n">
        <v>54699.75</v>
      </c>
      <c r="M4" s="14" t="n"/>
      <c r="N4" s="14" t="n"/>
    </row>
    <row r="5">
      <c r="A5" s="11" t="inlineStr">
        <is>
          <t>eap-1_5</t>
        </is>
      </c>
      <c r="B5" s="68" t="inlineStr">
        <is>
          <t>Opcional - Transporte de solo já cortado, para outro terreno em Guarulhos com DMT de 8km.</t>
        </is>
      </c>
      <c r="C5" s="18" t="inlineStr">
        <is>
          <t>m3</t>
        </is>
      </c>
      <c r="D5" s="32" t="n">
        <v>200000</v>
      </c>
      <c r="E5" s="32" t="n">
        <v>9834.299999999999</v>
      </c>
      <c r="F5" s="32" t="n">
        <v>40976.82</v>
      </c>
      <c r="G5" s="32" t="n">
        <v>40977.96</v>
      </c>
      <c r="H5" s="32" t="n">
        <v>57369.6</v>
      </c>
      <c r="I5" s="32" t="n">
        <v>45895.68</v>
      </c>
      <c r="J5" s="32" t="n">
        <v>4945.65</v>
      </c>
      <c r="K5" s="12" t="n"/>
      <c r="L5" s="12" t="n"/>
      <c r="M5" s="12" t="n"/>
      <c r="N5" s="12" t="n"/>
    </row>
    <row r="6">
      <c r="A6" s="13" t="inlineStr">
        <is>
          <t>eap-1_1</t>
        </is>
      </c>
      <c r="B6" s="69" t="inlineStr">
        <is>
          <t>Remoção Superficial (20cm - Top Soil) - Excluso supressão vegetal</t>
        </is>
      </c>
      <c r="C6" s="27" t="inlineStr">
        <is>
          <t>m2</t>
        </is>
      </c>
      <c r="D6" s="35" t="n">
        <v>245000</v>
      </c>
      <c r="E6" s="35" t="n">
        <v>30855.6</v>
      </c>
      <c r="F6" s="35" t="n">
        <v>128566.8</v>
      </c>
      <c r="G6" s="35" t="n">
        <v>85577.60000000001</v>
      </c>
      <c r="H6" s="14" t="n"/>
      <c r="I6" s="14" t="n"/>
      <c r="J6" s="14" t="n"/>
      <c r="K6" s="14" t="n"/>
      <c r="L6" s="14" t="n"/>
      <c r="M6" s="14" t="n"/>
      <c r="N6" s="14" t="n"/>
    </row>
  </sheetData>
  <mergeCells count="1"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8" customWidth="1" min="4" max="4"/>
    <col width="6" customWidth="1" min="5" max="5"/>
    <col width="18" customWidth="1" min="6" max="6"/>
    <col width="10" customWidth="1" min="7" max="7"/>
    <col width="8" customWidth="1" min="8" max="8"/>
    <col width="18" customWidth="1" min="9" max="9"/>
  </cols>
  <sheetData>
    <row r="1">
      <c r="A1" s="1" t="inlineStr">
        <is>
          <t>EQUIPE — COMPOSIÇÃO DE RECURSOS DIRETOS POR ATIVIDADE</t>
        </is>
      </c>
    </row>
    <row r="2">
      <c r="A2" s="2" t="inlineStr">
        <is>
          <t>Item ID</t>
        </is>
      </c>
      <c r="B2" s="2" t="inlineStr">
        <is>
          <t>CPU ID</t>
        </is>
      </c>
      <c r="C2" s="2" t="inlineStr">
        <is>
          <t>Nome / Tipo</t>
        </is>
      </c>
      <c r="D2" s="2" t="inlineStr">
        <is>
          <t>Papel</t>
        </is>
      </c>
      <c r="E2" s="2" t="inlineStr">
        <is>
          <t>Qtd</t>
        </is>
      </c>
      <c r="F2" s="2" t="inlineStr">
        <is>
          <t>Custo Mensal (R$)</t>
        </is>
      </c>
      <c r="G2" s="2" t="inlineStr">
        <is>
          <t>Perm. (m)</t>
        </is>
      </c>
      <c r="H2" s="2" t="inlineStr">
        <is>
          <t>Nº Eq.</t>
        </is>
      </c>
      <c r="I2" s="2" t="inlineStr">
        <is>
          <t>Custo Total (R$)</t>
        </is>
      </c>
    </row>
    <row r="3">
      <c r="A3" s="9" t="inlineStr">
        <is>
          <t>eap-1_3 — Aterro compactado / 98% e 100% P.N nas útimas 5 camadas</t>
        </is>
      </c>
    </row>
    <row r="4">
      <c r="A4" s="11" t="inlineStr">
        <is>
          <t>eap-1_3</t>
        </is>
      </c>
      <c r="B4" s="11" t="inlineStr">
        <is>
          <t>CPU-TERRA-ATI-017</t>
        </is>
      </c>
      <c r="C4" s="11" t="inlineStr">
        <is>
          <t>Operador de Motoniveladora</t>
        </is>
      </c>
      <c r="D4" s="15" t="inlineStr">
        <is>
          <t>DIRETO</t>
        </is>
      </c>
      <c r="E4" s="16" t="n">
        <v>1</v>
      </c>
      <c r="F4" s="17" t="n">
        <v>17356.25</v>
      </c>
      <c r="G4" s="16" t="n">
        <v>9.199999999999999</v>
      </c>
      <c r="H4" s="16" t="n">
        <v>1</v>
      </c>
      <c r="I4" s="17" t="n">
        <v>159677.5</v>
      </c>
    </row>
    <row r="5">
      <c r="A5" s="11" t="inlineStr">
        <is>
          <t>eap-1_3</t>
        </is>
      </c>
      <c r="B5" s="11" t="inlineStr">
        <is>
          <t>CPU-TERRA-ATI-017</t>
        </is>
      </c>
      <c r="C5" s="11" t="inlineStr">
        <is>
          <t>Operador de Rolo Compactador</t>
        </is>
      </c>
      <c r="D5" s="15" t="inlineStr">
        <is>
          <t>DIRETO</t>
        </is>
      </c>
      <c r="E5" s="16" t="n">
        <v>1</v>
      </c>
      <c r="F5" s="17" t="n">
        <v>10685.34</v>
      </c>
      <c r="G5" s="16" t="n">
        <v>9.199999999999999</v>
      </c>
      <c r="H5" s="16" t="n">
        <v>1</v>
      </c>
      <c r="I5" s="17" t="n">
        <v>98305.13</v>
      </c>
    </row>
    <row r="6">
      <c r="A6" s="11" t="inlineStr">
        <is>
          <t>eap-1_3</t>
        </is>
      </c>
      <c r="B6" s="11" t="inlineStr">
        <is>
          <t>CPU-TERRA-ATI-017</t>
        </is>
      </c>
      <c r="C6" s="11" t="inlineStr">
        <is>
          <t>Motorista de Caminhão Pipa</t>
        </is>
      </c>
      <c r="D6" s="15" t="inlineStr">
        <is>
          <t>DIRETO</t>
        </is>
      </c>
      <c r="E6" s="16" t="n">
        <v>1</v>
      </c>
      <c r="F6" s="17" t="n">
        <v>10685.34</v>
      </c>
      <c r="G6" s="16" t="n">
        <v>9.199999999999999</v>
      </c>
      <c r="H6" s="16" t="n">
        <v>1</v>
      </c>
      <c r="I6" s="17" t="n">
        <v>98305.13</v>
      </c>
    </row>
    <row r="7">
      <c r="A7" s="11" t="inlineStr">
        <is>
          <t>eap-1_3</t>
        </is>
      </c>
      <c r="B7" s="11" t="inlineStr">
        <is>
          <t>CPU-TERRA-ATI-017</t>
        </is>
      </c>
      <c r="C7" s="11" t="inlineStr">
        <is>
          <t>Operador de Rolo Compactador</t>
        </is>
      </c>
      <c r="D7" s="15" t="inlineStr">
        <is>
          <t>DIRETO</t>
        </is>
      </c>
      <c r="E7" s="16" t="n">
        <v>1</v>
      </c>
      <c r="F7" s="17" t="n">
        <v>10685.34</v>
      </c>
      <c r="G7" s="16" t="n">
        <v>9.199999999999999</v>
      </c>
      <c r="H7" s="16" t="n">
        <v>1</v>
      </c>
      <c r="I7" s="17" t="n">
        <v>98305.13</v>
      </c>
    </row>
    <row r="8">
      <c r="A8" s="11" t="inlineStr">
        <is>
          <t>eap-1_3</t>
        </is>
      </c>
      <c r="B8" s="11" t="inlineStr">
        <is>
          <t>CPU-TERRA-ATI-017</t>
        </is>
      </c>
      <c r="C8" s="11" t="inlineStr">
        <is>
          <t>Encarregado de Terraplenagem</t>
        </is>
      </c>
      <c r="D8" s="15" t="inlineStr">
        <is>
          <t>DIRETO</t>
        </is>
      </c>
      <c r="E8" s="16" t="n">
        <v>1</v>
      </c>
      <c r="F8" s="17" t="n">
        <v>11549.8</v>
      </c>
      <c r="G8" s="16" t="n">
        <v>9.199999999999999</v>
      </c>
      <c r="H8" s="16" t="n">
        <v>1</v>
      </c>
      <c r="I8" s="17" t="n">
        <v>106258.16</v>
      </c>
    </row>
    <row r="9">
      <c r="A9" s="11" t="inlineStr">
        <is>
          <t>eap-1_3</t>
        </is>
      </c>
      <c r="B9" s="11" t="inlineStr">
        <is>
          <t>EQ-E0029</t>
        </is>
      </c>
      <c r="C9" s="11" t="inlineStr">
        <is>
          <t>Motoniveladora 140HP [EQ]</t>
        </is>
      </c>
      <c r="D9" s="70" t="inlineStr">
        <is>
          <t>EQ</t>
        </is>
      </c>
      <c r="E9" s="16" t="n">
        <v>1</v>
      </c>
      <c r="F9" s="17" t="n">
        <v>43326.98</v>
      </c>
      <c r="G9" s="16" t="n">
        <v>9.199999999999999</v>
      </c>
      <c r="H9" s="16" t="n">
        <v>1</v>
      </c>
      <c r="I9" s="17" t="n">
        <v>398608.22</v>
      </c>
    </row>
    <row r="10">
      <c r="A10" s="11" t="inlineStr">
        <is>
          <t>eap-1_3</t>
        </is>
      </c>
      <c r="B10" s="11" t="inlineStr">
        <is>
          <t>EQ-E0029</t>
        </is>
      </c>
      <c r="C10" s="19" t="inlineStr">
        <is>
          <t>Diesel — Motoniveladora 140HP</t>
        </is>
      </c>
      <c r="D10" s="71" t="inlineStr">
        <is>
          <t>COMB</t>
        </is>
      </c>
      <c r="E10" s="16" t="n">
        <v>1</v>
      </c>
      <c r="F10" s="17" t="n">
        <v>14029.71</v>
      </c>
      <c r="G10" s="16" t="n">
        <v>9.199999999999999</v>
      </c>
      <c r="H10" s="16" t="n">
        <v>1</v>
      </c>
      <c r="I10" s="17" t="n">
        <v>129073.33</v>
      </c>
    </row>
    <row r="11">
      <c r="A11" s="11" t="inlineStr">
        <is>
          <t>eap-1_3</t>
        </is>
      </c>
      <c r="B11" s="11" t="inlineStr">
        <is>
          <t>EQ-E0035</t>
        </is>
      </c>
      <c r="C11" s="11" t="inlineStr">
        <is>
          <t>Trator de esteiras 20T [EQ]</t>
        </is>
      </c>
      <c r="D11" s="70" t="inlineStr">
        <is>
          <t>EQ</t>
        </is>
      </c>
      <c r="E11" s="16" t="n">
        <v>1</v>
      </c>
      <c r="F11" s="17" t="n">
        <v>21683.2</v>
      </c>
      <c r="G11" s="16" t="n">
        <v>9.199999999999999</v>
      </c>
      <c r="H11" s="16" t="n">
        <v>1</v>
      </c>
      <c r="I11" s="17" t="n">
        <v>199485.44</v>
      </c>
    </row>
    <row r="12">
      <c r="A12" s="11" t="inlineStr">
        <is>
          <t>eap-1_3</t>
        </is>
      </c>
      <c r="B12" s="11" t="inlineStr">
        <is>
          <t>EQ-E0035</t>
        </is>
      </c>
      <c r="C12" s="19" t="inlineStr">
        <is>
          <t>Diesel — Trator de esteiras 20T</t>
        </is>
      </c>
      <c r="D12" s="71" t="inlineStr">
        <is>
          <t>COMB</t>
        </is>
      </c>
      <c r="E12" s="16" t="n">
        <v>1</v>
      </c>
      <c r="F12" s="17" t="n">
        <v>22957.71</v>
      </c>
      <c r="G12" s="16" t="n">
        <v>9.199999999999999</v>
      </c>
      <c r="H12" s="16" t="n">
        <v>1</v>
      </c>
      <c r="I12" s="17" t="n">
        <v>211210.93</v>
      </c>
    </row>
    <row r="13">
      <c r="A13" s="11" t="inlineStr">
        <is>
          <t>eap-1_3</t>
        </is>
      </c>
      <c r="B13" s="11" t="inlineStr">
        <is>
          <t>EQ-E0010</t>
        </is>
      </c>
      <c r="C13" s="11" t="inlineStr">
        <is>
          <t>Caminhão Pipa 10.000L [EQ]</t>
        </is>
      </c>
      <c r="D13" s="70" t="inlineStr">
        <is>
          <t>EQ</t>
        </is>
      </c>
      <c r="E13" s="16" t="n">
        <v>1</v>
      </c>
      <c r="F13" s="17" t="n">
        <v>19360</v>
      </c>
      <c r="G13" s="16" t="n">
        <v>9.199999999999999</v>
      </c>
      <c r="H13" s="16" t="n">
        <v>1</v>
      </c>
      <c r="I13" s="17" t="n">
        <v>178112</v>
      </c>
    </row>
    <row r="14">
      <c r="A14" s="11" t="inlineStr">
        <is>
          <t>eap-1_3</t>
        </is>
      </c>
      <c r="B14" s="11" t="inlineStr">
        <is>
          <t>EQ-E0010</t>
        </is>
      </c>
      <c r="C14" s="19" t="inlineStr">
        <is>
          <t>Diesel — Caminhão Pipa 10.000L</t>
        </is>
      </c>
      <c r="D14" s="71" t="inlineStr">
        <is>
          <t>COMB</t>
        </is>
      </c>
      <c r="E14" s="16" t="n">
        <v>1</v>
      </c>
      <c r="F14" s="17" t="n">
        <v>2550.86</v>
      </c>
      <c r="G14" s="16" t="n">
        <v>9.199999999999999</v>
      </c>
      <c r="H14" s="16" t="n">
        <v>1</v>
      </c>
      <c r="I14" s="17" t="n">
        <v>23467.91</v>
      </c>
    </row>
    <row r="15">
      <c r="A15" s="20" t="inlineStr">
        <is>
          <t>Subtotal eap-1_3</t>
        </is>
      </c>
      <c r="B15" s="21" t="n"/>
      <c r="C15" s="21" t="n"/>
      <c r="D15" s="21" t="n"/>
      <c r="E15" s="21" t="n"/>
      <c r="F15" s="21" t="n"/>
      <c r="G15" s="21" t="n"/>
      <c r="H15" s="21" t="n"/>
      <c r="I15" s="22" t="n">
        <v>8432238.880000001</v>
      </c>
    </row>
    <row r="16">
      <c r="A16" s="9" t="inlineStr">
        <is>
          <t>eap-1_2 — Corte e transporte interno</t>
        </is>
      </c>
    </row>
    <row r="17">
      <c r="A17" s="13" t="inlineStr">
        <is>
          <t>eap-1_2</t>
        </is>
      </c>
      <c r="B17" s="13" t="inlineStr">
        <is>
          <t>CPU-TERRA-ATI-011</t>
        </is>
      </c>
      <c r="C17" s="13" t="inlineStr">
        <is>
          <t>Operador de Escavadeira</t>
        </is>
      </c>
      <c r="D17" s="24" t="inlineStr">
        <is>
          <t>DIRETO</t>
        </is>
      </c>
      <c r="E17" s="25" t="n">
        <v>1</v>
      </c>
      <c r="F17" s="26" t="n">
        <v>12875</v>
      </c>
      <c r="G17" s="25" t="n">
        <v>9.199999999999999</v>
      </c>
      <c r="H17" s="25" t="n">
        <v>1</v>
      </c>
      <c r="I17" s="26" t="n">
        <v>118450</v>
      </c>
    </row>
    <row r="18">
      <c r="A18" s="13" t="inlineStr">
        <is>
          <t>eap-1_2</t>
        </is>
      </c>
      <c r="B18" s="13" t="inlineStr">
        <is>
          <t>CPU-TERRA-ATI-011</t>
        </is>
      </c>
      <c r="C18" s="13" t="inlineStr">
        <is>
          <t>Motorista de Caminhão Basculante</t>
        </is>
      </c>
      <c r="D18" s="24" t="inlineStr">
        <is>
          <t>DIRETO</t>
        </is>
      </c>
      <c r="E18" s="25" t="n">
        <v>3</v>
      </c>
      <c r="F18" s="26" t="n">
        <v>32056.02</v>
      </c>
      <c r="G18" s="25" t="n">
        <v>9.199999999999999</v>
      </c>
      <c r="H18" s="25" t="n">
        <v>1</v>
      </c>
      <c r="I18" s="26" t="n">
        <v>294915.38</v>
      </c>
    </row>
    <row r="19">
      <c r="A19" s="13" t="inlineStr">
        <is>
          <t>eap-1_2</t>
        </is>
      </c>
      <c r="B19" s="13" t="inlineStr">
        <is>
          <t>CPU-TERRA-ATI-011</t>
        </is>
      </c>
      <c r="C19" s="13" t="inlineStr">
        <is>
          <t>Motorista de Caminhão Basculante</t>
        </is>
      </c>
      <c r="D19" s="24" t="inlineStr">
        <is>
          <t>DIRETO</t>
        </is>
      </c>
      <c r="E19" s="25" t="n">
        <v>1</v>
      </c>
      <c r="F19" s="26" t="n">
        <v>10685.34</v>
      </c>
      <c r="G19" s="25" t="n">
        <v>9.199999999999999</v>
      </c>
      <c r="H19" s="25" t="n">
        <v>1</v>
      </c>
      <c r="I19" s="26" t="n">
        <v>98305.13</v>
      </c>
    </row>
    <row r="20">
      <c r="A20" s="13" t="inlineStr">
        <is>
          <t>eap-1_2</t>
        </is>
      </c>
      <c r="B20" s="13" t="inlineStr">
        <is>
          <t>CPU-TERRA-ATI-011</t>
        </is>
      </c>
      <c r="C20" s="13" t="inlineStr">
        <is>
          <t>Encarregado de Terraplenagem</t>
        </is>
      </c>
      <c r="D20" s="24" t="inlineStr">
        <is>
          <t>DIRETO</t>
        </is>
      </c>
      <c r="E20" s="25" t="n">
        <v>1</v>
      </c>
      <c r="F20" s="26" t="n">
        <v>11549.8</v>
      </c>
      <c r="G20" s="25" t="n">
        <v>9.199999999999999</v>
      </c>
      <c r="H20" s="25" t="n">
        <v>1</v>
      </c>
      <c r="I20" s="26" t="n">
        <v>106258.16</v>
      </c>
    </row>
    <row r="21">
      <c r="A21" s="13" t="inlineStr">
        <is>
          <t>eap-1_2</t>
        </is>
      </c>
      <c r="B21" s="13" t="inlineStr">
        <is>
          <t>EQ-E0016</t>
        </is>
      </c>
      <c r="C21" s="13" t="inlineStr">
        <is>
          <t>Escavadeira Hidráulica 22t [EQ]</t>
        </is>
      </c>
      <c r="D21" s="72" t="inlineStr">
        <is>
          <t>EQ</t>
        </is>
      </c>
      <c r="E21" s="25" t="n">
        <v>1</v>
      </c>
      <c r="F21" s="26" t="n">
        <v>35639.3</v>
      </c>
      <c r="G21" s="25" t="n">
        <v>9.199999999999999</v>
      </c>
      <c r="H21" s="25" t="n">
        <v>1</v>
      </c>
      <c r="I21" s="26" t="n">
        <v>327881.56</v>
      </c>
    </row>
    <row r="22">
      <c r="A22" s="13" t="inlineStr">
        <is>
          <t>eap-1_2</t>
        </is>
      </c>
      <c r="B22" s="13" t="inlineStr">
        <is>
          <t>EQ-E0007</t>
        </is>
      </c>
      <c r="C22" s="13" t="inlineStr">
        <is>
          <t>Caminhão Basculante 14m³ [EQ]</t>
        </is>
      </c>
      <c r="D22" s="72" t="inlineStr">
        <is>
          <t>EQ</t>
        </is>
      </c>
      <c r="E22" s="25" t="n">
        <v>3</v>
      </c>
      <c r="F22" s="26" t="n">
        <v>25132.8</v>
      </c>
      <c r="G22" s="25" t="n">
        <v>9.199999999999999</v>
      </c>
      <c r="H22" s="25" t="n">
        <v>1</v>
      </c>
      <c r="I22" s="26" t="n">
        <v>231221.76</v>
      </c>
    </row>
    <row r="23">
      <c r="A23" s="13" t="inlineStr">
        <is>
          <t>eap-1_2</t>
        </is>
      </c>
      <c r="B23" s="13" t="inlineStr">
        <is>
          <t>EQ-E0007</t>
        </is>
      </c>
      <c r="C23" s="28" t="inlineStr">
        <is>
          <t>Diesel — Caminhão Basculante 14m³</t>
        </is>
      </c>
      <c r="D23" s="73" t="inlineStr">
        <is>
          <t>COMB</t>
        </is>
      </c>
      <c r="E23" s="25" t="n">
        <v>3</v>
      </c>
      <c r="F23" s="26" t="n">
        <v>9259.610000000001</v>
      </c>
      <c r="G23" s="25" t="n">
        <v>9.199999999999999</v>
      </c>
      <c r="H23" s="25" t="n">
        <v>1</v>
      </c>
      <c r="I23" s="26" t="n">
        <v>85188.41</v>
      </c>
    </row>
    <row r="24">
      <c r="A24" s="20" t="inlineStr">
        <is>
          <t>Subtotal eap-1_2</t>
        </is>
      </c>
      <c r="B24" s="21" t="n"/>
      <c r="C24" s="21" t="n"/>
      <c r="D24" s="21" t="n"/>
      <c r="E24" s="21" t="n"/>
      <c r="F24" s="21" t="n"/>
      <c r="G24" s="21" t="n"/>
      <c r="H24" s="21" t="n"/>
      <c r="I24" s="22" t="n">
        <v>11309537.49</v>
      </c>
    </row>
    <row r="25">
      <c r="A25" s="9" t="inlineStr">
        <is>
          <t>eap-1_5 — Opcional - Transporte de solo já cortado, para outro terreno em Guarulhos com DMT de 8km.</t>
        </is>
      </c>
    </row>
    <row r="26">
      <c r="A26" s="11" t="inlineStr">
        <is>
          <t>eap-1_5</t>
        </is>
      </c>
      <c r="B26" s="11" t="inlineStr">
        <is>
          <t>CPU-TERRA-ESCO-CARGA-1CAT-DMT2000</t>
        </is>
      </c>
      <c r="C26" s="11" t="inlineStr">
        <is>
          <t>Operador de Escavadeira</t>
        </is>
      </c>
      <c r="D26" s="15" t="inlineStr">
        <is>
          <t>DIRETO</t>
        </is>
      </c>
      <c r="E26" s="16" t="n">
        <v>1</v>
      </c>
      <c r="F26" s="17" t="n">
        <v>10300</v>
      </c>
      <c r="G26" s="16" t="n">
        <v>9.199999999999999</v>
      </c>
      <c r="H26" s="16" t="n">
        <v>1</v>
      </c>
      <c r="I26" s="17" t="n">
        <v>94760</v>
      </c>
    </row>
    <row r="27">
      <c r="A27" s="11" t="inlineStr">
        <is>
          <t>eap-1_5</t>
        </is>
      </c>
      <c r="B27" s="11" t="inlineStr">
        <is>
          <t>CPU-TERRA-ESCO-CARGA-1CAT-DMT2000</t>
        </is>
      </c>
      <c r="C27" s="11" t="inlineStr">
        <is>
          <t>Ajudante</t>
        </is>
      </c>
      <c r="D27" s="15" t="inlineStr">
        <is>
          <t>DIRETO</t>
        </is>
      </c>
      <c r="E27" s="16" t="n">
        <v>1</v>
      </c>
      <c r="F27" s="17" t="n">
        <v>4209.32</v>
      </c>
      <c r="G27" s="16" t="n">
        <v>9.199999999999999</v>
      </c>
      <c r="H27" s="16" t="n">
        <v>1</v>
      </c>
      <c r="I27" s="17" t="n">
        <v>38725.74</v>
      </c>
    </row>
    <row r="28">
      <c r="A28" s="11" t="inlineStr">
        <is>
          <t>eap-1_5</t>
        </is>
      </c>
      <c r="B28" s="11" t="inlineStr">
        <is>
          <t>CPU-TERRA-ESCO-CARGA-1CAT-DMT2000</t>
        </is>
      </c>
      <c r="C28" s="11" t="inlineStr">
        <is>
          <t>Encarregado de Frente</t>
        </is>
      </c>
      <c r="D28" s="15" t="inlineStr">
        <is>
          <t>DIRETO</t>
        </is>
      </c>
      <c r="E28" s="16" t="n">
        <v>1</v>
      </c>
      <c r="F28" s="17" t="n">
        <v>7500</v>
      </c>
      <c r="G28" s="16" t="n">
        <v>9.199999999999999</v>
      </c>
      <c r="H28" s="16" t="n">
        <v>1</v>
      </c>
      <c r="I28" s="17" t="n">
        <v>69000</v>
      </c>
    </row>
    <row r="29">
      <c r="A29" s="11" t="inlineStr">
        <is>
          <t>eap-1_5</t>
        </is>
      </c>
      <c r="B29" s="11" t="inlineStr">
        <is>
          <t>CPU-TERRA-ESCO-CARGA-1CAT-DMT2000</t>
        </is>
      </c>
      <c r="C29" s="11" t="inlineStr">
        <is>
          <t>Motorista de Caminhão Basculante</t>
        </is>
      </c>
      <c r="D29" s="15" t="inlineStr">
        <is>
          <t>DIRETO</t>
        </is>
      </c>
      <c r="E29" s="16" t="n">
        <v>7</v>
      </c>
      <c r="F29" s="17" t="n">
        <v>44388.19</v>
      </c>
      <c r="G29" s="16" t="n">
        <v>9.199999999999999</v>
      </c>
      <c r="H29" s="16" t="n">
        <v>1</v>
      </c>
      <c r="I29" s="17" t="n">
        <v>408371.35</v>
      </c>
    </row>
    <row r="30">
      <c r="A30" s="11" t="inlineStr">
        <is>
          <t>eap-1_5</t>
        </is>
      </c>
      <c r="B30" s="11" t="inlineStr">
        <is>
          <t>EQ-E0015</t>
        </is>
      </c>
      <c r="C30" s="11" t="inlineStr">
        <is>
          <t>Distribuidor de Brita [EQ]</t>
        </is>
      </c>
      <c r="D30" s="70" t="inlineStr">
        <is>
          <t>EQ</t>
        </is>
      </c>
      <c r="E30" s="16" t="n">
        <v>1</v>
      </c>
      <c r="F30" s="17" t="n">
        <v>3449.6</v>
      </c>
      <c r="G30" s="16" t="n">
        <v>9.199999999999999</v>
      </c>
      <c r="H30" s="16" t="n">
        <v>1</v>
      </c>
      <c r="I30" s="17" t="n">
        <v>31736.32</v>
      </c>
    </row>
    <row r="31">
      <c r="A31" s="11" t="inlineStr">
        <is>
          <t>eap-1_5</t>
        </is>
      </c>
      <c r="B31" s="11" t="inlineStr">
        <is>
          <t>EQ-E0015</t>
        </is>
      </c>
      <c r="C31" s="19" t="inlineStr">
        <is>
          <t>Diesel — Distribuidor de Brita</t>
        </is>
      </c>
      <c r="D31" s="71" t="inlineStr">
        <is>
          <t>COMB</t>
        </is>
      </c>
      <c r="E31" s="16" t="n">
        <v>1</v>
      </c>
      <c r="F31" s="17" t="n">
        <v>1913.14</v>
      </c>
      <c r="G31" s="16" t="n">
        <v>9.199999999999999</v>
      </c>
      <c r="H31" s="16" t="n">
        <v>1</v>
      </c>
      <c r="I31" s="17" t="n">
        <v>17600.89</v>
      </c>
    </row>
    <row r="32">
      <c r="A32" s="11" t="inlineStr">
        <is>
          <t>eap-1_5</t>
        </is>
      </c>
      <c r="B32" s="11" t="inlineStr">
        <is>
          <t>EQ-E0002</t>
        </is>
      </c>
      <c r="C32" s="11" t="inlineStr">
        <is>
          <t>Betoneira 400L [EQ]</t>
        </is>
      </c>
      <c r="D32" s="70" t="inlineStr">
        <is>
          <t>EQ</t>
        </is>
      </c>
      <c r="E32" s="16" t="n">
        <v>7</v>
      </c>
      <c r="F32" s="17" t="n">
        <v>607.2</v>
      </c>
      <c r="G32" s="16" t="n">
        <v>9.199999999999999</v>
      </c>
      <c r="H32" s="16" t="n">
        <v>1</v>
      </c>
      <c r="I32" s="17" t="n">
        <v>5586.24</v>
      </c>
    </row>
    <row r="33">
      <c r="A33" s="11" t="inlineStr">
        <is>
          <t>eap-1_5</t>
        </is>
      </c>
      <c r="B33" s="11" t="inlineStr">
        <is>
          <t>EQ-E0002</t>
        </is>
      </c>
      <c r="C33" s="19" t="inlineStr">
        <is>
          <t>Diesel — Betoneira 400L</t>
        </is>
      </c>
      <c r="D33" s="71" t="inlineStr">
        <is>
          <t>COMB</t>
        </is>
      </c>
      <c r="E33" s="16" t="n">
        <v>7</v>
      </c>
      <c r="F33" s="17" t="n">
        <v>1913.14</v>
      </c>
      <c r="G33" s="16" t="n">
        <v>9.199999999999999</v>
      </c>
      <c r="H33" s="16" t="n">
        <v>1</v>
      </c>
      <c r="I33" s="17" t="n">
        <v>17600.89</v>
      </c>
    </row>
    <row r="34">
      <c r="A34" s="20" t="inlineStr">
        <is>
          <t>Subtotal eap-1_5</t>
        </is>
      </c>
      <c r="B34" s="21" t="n"/>
      <c r="C34" s="21" t="n"/>
      <c r="D34" s="21" t="n"/>
      <c r="E34" s="21" t="n"/>
      <c r="F34" s="21" t="n"/>
      <c r="G34" s="21" t="n"/>
      <c r="H34" s="21" t="n"/>
      <c r="I34" s="22" t="n">
        <v>816938.5</v>
      </c>
    </row>
    <row r="35">
      <c r="A35" s="9" t="inlineStr">
        <is>
          <t>eap-1_1 — Remoção Superficial (20cm - Top Soil) - Excluso supressão vegetal</t>
        </is>
      </c>
    </row>
    <row r="36">
      <c r="A36" s="13" t="inlineStr">
        <is>
          <t>eap-1_1</t>
        </is>
      </c>
      <c r="B36" s="13" t="inlineStr">
        <is>
          <t>CPU-TERRA-ATI-003</t>
        </is>
      </c>
      <c r="C36" s="13" t="inlineStr">
        <is>
          <t>Operador de Escavadeira</t>
        </is>
      </c>
      <c r="D36" s="24" t="inlineStr">
        <is>
          <t>DIRETO</t>
        </is>
      </c>
      <c r="E36" s="25" t="n">
        <v>1</v>
      </c>
      <c r="F36" s="26" t="n">
        <v>12875</v>
      </c>
      <c r="G36" s="25" t="n">
        <v>9.199999999999999</v>
      </c>
      <c r="H36" s="25" t="n">
        <v>1</v>
      </c>
      <c r="I36" s="26" t="n">
        <v>118450</v>
      </c>
    </row>
    <row r="37">
      <c r="A37" s="13" t="inlineStr">
        <is>
          <t>eap-1_1</t>
        </is>
      </c>
      <c r="B37" s="13" t="inlineStr">
        <is>
          <t>CPU-TERRA-ATI-003</t>
        </is>
      </c>
      <c r="C37" s="13" t="inlineStr">
        <is>
          <t>Operador de Trator de Esteiras</t>
        </is>
      </c>
      <c r="D37" s="24" t="inlineStr">
        <is>
          <t>DIRETO</t>
        </is>
      </c>
      <c r="E37" s="25" t="n">
        <v>1</v>
      </c>
      <c r="F37" s="26" t="n">
        <v>12875</v>
      </c>
      <c r="G37" s="25" t="n">
        <v>9.199999999999999</v>
      </c>
      <c r="H37" s="25" t="n">
        <v>1</v>
      </c>
      <c r="I37" s="26" t="n">
        <v>118450</v>
      </c>
    </row>
    <row r="38">
      <c r="A38" s="13" t="inlineStr">
        <is>
          <t>eap-1_1</t>
        </is>
      </c>
      <c r="B38" s="13" t="inlineStr">
        <is>
          <t>CPU-TERRA-ATI-003</t>
        </is>
      </c>
      <c r="C38" s="13" t="inlineStr">
        <is>
          <t>Ajudante</t>
        </is>
      </c>
      <c r="D38" s="24" t="inlineStr">
        <is>
          <t>DIRETO</t>
        </is>
      </c>
      <c r="E38" s="25" t="n">
        <v>3</v>
      </c>
      <c r="F38" s="26" t="n">
        <v>15784.95</v>
      </c>
      <c r="G38" s="25" t="n">
        <v>9.199999999999999</v>
      </c>
      <c r="H38" s="25" t="n">
        <v>1</v>
      </c>
      <c r="I38" s="26" t="n">
        <v>145221.54</v>
      </c>
    </row>
    <row r="39">
      <c r="A39" s="13" t="inlineStr">
        <is>
          <t>eap-1_1</t>
        </is>
      </c>
      <c r="B39" s="13" t="inlineStr">
        <is>
          <t>EQ-E0016</t>
        </is>
      </c>
      <c r="C39" s="13" t="inlineStr">
        <is>
          <t>Escavadeira Hidráulica 22t [EQ]</t>
        </is>
      </c>
      <c r="D39" s="72" t="inlineStr">
        <is>
          <t>EQ</t>
        </is>
      </c>
      <c r="E39" s="25" t="n">
        <v>1</v>
      </c>
      <c r="F39" s="26" t="n">
        <v>35639.3</v>
      </c>
      <c r="G39" s="25" t="n">
        <v>9.199999999999999</v>
      </c>
      <c r="H39" s="25" t="n">
        <v>1</v>
      </c>
      <c r="I39" s="26" t="n">
        <v>327881.56</v>
      </c>
    </row>
    <row r="40">
      <c r="A40" s="13" t="inlineStr">
        <is>
          <t>eap-1_1</t>
        </is>
      </c>
      <c r="B40" s="13" t="inlineStr">
        <is>
          <t>EQ-E0024</t>
        </is>
      </c>
      <c r="C40" s="13" t="inlineStr">
        <is>
          <t>Trator de Esteiras 20t (300HP) [EQ]</t>
        </is>
      </c>
      <c r="D40" s="72" t="inlineStr">
        <is>
          <t>EQ</t>
        </is>
      </c>
      <c r="E40" s="25" t="n">
        <v>1</v>
      </c>
      <c r="F40" s="26" t="n">
        <v>49477.12</v>
      </c>
      <c r="G40" s="25" t="n">
        <v>9.199999999999999</v>
      </c>
      <c r="H40" s="25" t="n">
        <v>1</v>
      </c>
      <c r="I40" s="26" t="n">
        <v>455189.5</v>
      </c>
    </row>
    <row r="41">
      <c r="A41" s="13" t="inlineStr">
        <is>
          <t>eap-1_1</t>
        </is>
      </c>
      <c r="B41" s="13" t="inlineStr">
        <is>
          <t>EQ-E0024</t>
        </is>
      </c>
      <c r="C41" s="28" t="inlineStr">
        <is>
          <t>Diesel — Trator de Esteiras 20t (300HP)</t>
        </is>
      </c>
      <c r="D41" s="73" t="inlineStr">
        <is>
          <t>COMB</t>
        </is>
      </c>
      <c r="E41" s="25" t="n">
        <v>1</v>
      </c>
      <c r="F41" s="26" t="n">
        <v>22957.71</v>
      </c>
      <c r="G41" s="25" t="n">
        <v>9.199999999999999</v>
      </c>
      <c r="H41" s="25" t="n">
        <v>1</v>
      </c>
      <c r="I41" s="26" t="n">
        <v>211210.93</v>
      </c>
    </row>
    <row r="42">
      <c r="A42" s="20" t="inlineStr">
        <is>
          <t>Subtotal eap-1_1</t>
        </is>
      </c>
      <c r="B42" s="21" t="n"/>
      <c r="C42" s="21" t="n"/>
      <c r="D42" s="21" t="n"/>
      <c r="E42" s="21" t="n"/>
      <c r="F42" s="21" t="n"/>
      <c r="G42" s="21" t="n"/>
      <c r="H42" s="21" t="n"/>
      <c r="I42" s="22" t="n">
        <v>1368049.28</v>
      </c>
    </row>
    <row r="44">
      <c r="A44" s="29" t="inlineStr">
        <is>
          <t>TOTAL EQUIPES DIRETAS</t>
        </is>
      </c>
      <c r="I44" s="30">
        <f>I15+I24+I34+I42</f>
        <v/>
      </c>
    </row>
  </sheetData>
  <mergeCells count="6">
    <mergeCell ref="A25:I25"/>
    <mergeCell ref="A1:I1"/>
    <mergeCell ref="A3:I3"/>
    <mergeCell ref="A44:H44"/>
    <mergeCell ref="A35:I35"/>
    <mergeCell ref="A16:I1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8" customWidth="1" min="4" max="4"/>
    <col width="16" customWidth="1" min="5" max="5"/>
    <col width="12" customWidth="1" min="6" max="6"/>
  </cols>
  <sheetData>
    <row r="1">
      <c r="A1" s="1" t="inlineStr">
        <is>
          <t>PONTO DE EQUILÍBRIO — CUSTO FIXO vs PREÇO DE VENDA (CPU)</t>
        </is>
      </c>
    </row>
    <row r="2">
      <c r="A2" s="2" t="inlineStr">
        <is>
          <t>Item ID</t>
        </is>
      </c>
      <c r="B2" s="2" t="inlineStr">
        <is>
          <t>CPU ID</t>
        </is>
      </c>
      <c r="C2" s="2" t="inlineStr">
        <is>
          <t>Custo Fixo Equipe (R$)</t>
        </is>
      </c>
      <c r="D2" s="2" t="inlineStr">
        <is>
          <t>Preço Venda CPU (R$)</t>
        </is>
      </c>
      <c r="E2" s="2" t="inlineStr">
        <is>
          <t>Delta (R$)</t>
        </is>
      </c>
      <c r="F2" s="2" t="inlineStr">
        <is>
          <t>Status</t>
        </is>
      </c>
    </row>
    <row r="3">
      <c r="A3" s="11" t="inlineStr">
        <is>
          <t>eap-1_3</t>
        </is>
      </c>
      <c r="B3" s="11" t="inlineStr">
        <is>
          <t>CPU-TERRA-ATI-017</t>
        </is>
      </c>
      <c r="C3" s="17" t="n">
        <v>1686515.2</v>
      </c>
      <c r="D3" s="17" t="n">
        <v>2268287.06</v>
      </c>
      <c r="E3" s="74" t="n">
        <v>581771.86</v>
      </c>
      <c r="F3" s="15" t="inlineStr">
        <is>
          <t>OK</t>
        </is>
      </c>
    </row>
    <row r="4">
      <c r="A4" s="13" t="inlineStr">
        <is>
          <t>eap-1_2</t>
        </is>
      </c>
      <c r="B4" s="13" t="inlineStr">
        <is>
          <t>CPU-TERRA-ATI-011</t>
        </is>
      </c>
      <c r="C4" s="26" t="n">
        <v>1884998.3</v>
      </c>
      <c r="D4" s="26" t="n">
        <v>3827251.14</v>
      </c>
      <c r="E4" s="75" t="n">
        <v>1942252.84</v>
      </c>
      <c r="F4" s="24" t="inlineStr">
        <is>
          <t>OK</t>
        </is>
      </c>
    </row>
    <row r="5">
      <c r="A5" s="11" t="inlineStr">
        <is>
          <t>eap-1_5</t>
        </is>
      </c>
      <c r="B5" s="11" t="inlineStr">
        <is>
          <t>CPU-TERRA-ESCO-CARGA-1CAT-DMT2000</t>
        </is>
      </c>
      <c r="C5" s="17" t="n">
        <v>816971.22</v>
      </c>
      <c r="D5" s="17" t="n">
        <v>2060014.58</v>
      </c>
      <c r="E5" s="74" t="n">
        <v>1243043.36</v>
      </c>
      <c r="F5" s="15" t="inlineStr">
        <is>
          <t>OK</t>
        </is>
      </c>
    </row>
    <row r="6">
      <c r="A6" s="76" t="inlineStr">
        <is>
          <t>eap-1_1</t>
        </is>
      </c>
      <c r="B6" s="76" t="inlineStr">
        <is>
          <t>CPU-TERRA-ATI-003</t>
        </is>
      </c>
      <c r="C6" s="77" t="n">
        <v>1368104.03</v>
      </c>
      <c r="D6" s="77" t="n">
        <v>287872.63</v>
      </c>
      <c r="E6" s="78" t="n">
        <v>-1080231.4</v>
      </c>
      <c r="F6" s="79" t="inlineStr">
        <is>
          <t>ERRO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0" customWidth="1" min="3" max="3"/>
  </cols>
  <sheetData>
    <row r="1">
      <c r="A1" s="1" t="inlineStr">
        <is>
          <t>RESULTADO FINANCEIRO — MENDESLOBO CONSTRUTORA</t>
        </is>
      </c>
    </row>
    <row r="3">
      <c r="A3" s="9" t="inlineStr">
        <is>
          <t>PROJETO</t>
        </is>
      </c>
    </row>
    <row r="4">
      <c r="A4" s="11" t="inlineStr">
        <is>
          <t>Nome</t>
        </is>
      </c>
      <c r="B4" s="11" t="inlineStr">
        <is>
          <t>MATEC_HINES</t>
        </is>
      </c>
      <c r="C4" s="12" t="n"/>
    </row>
    <row r="5">
      <c r="A5" s="13" t="inlineStr">
        <is>
          <t>Tipo de obra</t>
        </is>
      </c>
      <c r="B5" s="13" t="inlineStr">
        <is>
          <t>terraplenagem</t>
        </is>
      </c>
      <c r="C5" s="14" t="n"/>
    </row>
    <row r="6">
      <c r="A6" s="11" t="inlineStr">
        <is>
          <t>Localização</t>
        </is>
      </c>
      <c r="B6" s="11" t="inlineStr">
        <is>
          <t>Brasil</t>
        </is>
      </c>
      <c r="C6" s="12" t="n"/>
    </row>
    <row r="7">
      <c r="A7" s="13" t="inlineStr">
        <is>
          <t>Período</t>
        </is>
      </c>
      <c r="B7" s="13" t="inlineStr">
        <is>
          <t>2025-03-31 -&gt; 2026-01-04</t>
        </is>
      </c>
      <c r="C7" s="14" t="n"/>
    </row>
    <row r="8">
      <c r="A8" s="11" t="inlineStr">
        <is>
          <t>Regime</t>
        </is>
      </c>
      <c r="B8" s="11" t="inlineStr">
        <is>
          <t>6 dias/sem · 8 h/dia</t>
        </is>
      </c>
      <c r="C8" s="12" t="n"/>
    </row>
    <row r="10">
      <c r="A10" s="9" t="inlineStr">
        <is>
          <t>RECEITA CONTRATUAL (COM BDI)</t>
        </is>
      </c>
    </row>
    <row r="11">
      <c r="A11" s="13" t="inlineStr">
        <is>
          <t>Preço de venda s/ BDI</t>
        </is>
      </c>
      <c r="B11" s="26">
        <f>PLANEJAMENTO!$I$8</f>
        <v/>
      </c>
      <c r="C11" s="14" t="n"/>
    </row>
    <row r="12">
      <c r="A12" s="80" t="inlineStr">
        <is>
          <t>Preço de venda c/ BDI</t>
        </is>
      </c>
      <c r="B12" s="81">
        <f>PLANEJAMENTO!$N$8</f>
        <v/>
      </c>
      <c r="C12" s="12" t="n"/>
    </row>
    <row r="14">
      <c r="A14" s="9" t="inlineStr">
        <is>
          <t>CUSTOS</t>
        </is>
      </c>
    </row>
    <row r="15">
      <c r="A15" s="13" t="inlineStr">
        <is>
          <t>Custo direto (equipes)</t>
        </is>
      </c>
      <c r="B15" s="26">
        <f>'DIRETOS.DET'!$I$44</f>
        <v/>
      </c>
      <c r="C15" s="14" t="n"/>
    </row>
    <row r="16">
      <c r="A16" s="11" t="inlineStr">
        <is>
          <t xml:space="preserve">  ADM</t>
        </is>
      </c>
      <c r="B16" s="17">
        <f>'INDIRETOS.DET'!$H$5</f>
        <v/>
      </c>
      <c r="C16" s="12" t="n"/>
    </row>
    <row r="17">
      <c r="A17" s="13" t="inlineStr">
        <is>
          <t xml:space="preserve">  TOP</t>
        </is>
      </c>
      <c r="B17" s="26">
        <f>'INDIRETOS.DET'!$H$8</f>
        <v/>
      </c>
      <c r="C17" s="14" t="n"/>
    </row>
    <row r="18">
      <c r="A18" s="11" t="inlineStr">
        <is>
          <t xml:space="preserve">  LAB</t>
        </is>
      </c>
      <c r="B18" s="17">
        <f>'INDIRETOS.DET'!$H$11</f>
        <v/>
      </c>
      <c r="C18" s="12" t="n"/>
    </row>
    <row r="19">
      <c r="A19" s="13" t="inlineStr">
        <is>
          <t xml:space="preserve">  QSMS</t>
        </is>
      </c>
      <c r="B19" s="26">
        <f>'INDIRETOS.DET'!$H$14</f>
        <v/>
      </c>
      <c r="C19" s="14" t="n"/>
    </row>
    <row r="20">
      <c r="A20" s="11" t="inlineStr">
        <is>
          <t xml:space="preserve">  MOB</t>
        </is>
      </c>
      <c r="B20" s="17">
        <f>'INDIRETOS.DET'!$H$17</f>
        <v/>
      </c>
      <c r="C20" s="12" t="n"/>
    </row>
    <row r="21">
      <c r="A21" s="13" t="inlineStr">
        <is>
          <t>Custo indireto (subtotal)</t>
        </is>
      </c>
      <c r="B21" s="26">
        <f>'INDIRETOS.DET'!$H$19</f>
        <v/>
      </c>
      <c r="C21" s="14" t="n"/>
    </row>
    <row r="22">
      <c r="A22" s="80" t="inlineStr">
        <is>
          <t>CUSTO TOTAL</t>
        </is>
      </c>
      <c r="B22" s="81">
        <f>B15+B21</f>
        <v/>
      </c>
      <c r="C22" s="12" t="n"/>
    </row>
    <row r="24">
      <c r="A24" s="9" t="inlineStr">
        <is>
          <t>RESULTADO</t>
        </is>
      </c>
    </row>
    <row r="25">
      <c r="A25" s="82" t="inlineStr">
        <is>
          <t>Resultado bruto (R$)</t>
        </is>
      </c>
      <c r="B25" s="75">
        <f>B12-B22</f>
        <v/>
      </c>
      <c r="C25" s="14" t="n"/>
    </row>
    <row r="26">
      <c r="A26" s="80" t="inlineStr">
        <is>
          <t>Margem bruta (%)</t>
        </is>
      </c>
      <c r="B26" s="83">
        <f>IF(B12&gt;0, B25/B12, 0)</f>
        <v/>
      </c>
      <c r="C26" s="12" t="n"/>
    </row>
    <row r="28">
      <c r="A28" s="84" t="inlineStr">
        <is>
          <t>STATUS: VERMELHO</t>
        </is>
      </c>
    </row>
    <row r="30">
      <c r="A30" s="9" t="inlineStr">
        <is>
          <t>COMPOSIÇÃO DE CUSTO</t>
        </is>
      </c>
    </row>
    <row r="31">
      <c r="A31" s="13" t="inlineStr">
        <is>
          <t>Total Direto (catálogo s/BDI)</t>
        </is>
      </c>
      <c r="B31" s="26">
        <f>PLANEJAMENTO!$I$8</f>
        <v/>
      </c>
      <c r="C31" s="14" t="n"/>
    </row>
    <row r="32">
      <c r="A32" s="11" t="inlineStr">
        <is>
          <t>Total Direto (c/BDI)</t>
        </is>
      </c>
      <c r="B32" s="17">
        <f>PLANEJAMENTO!$N$8</f>
        <v/>
      </c>
      <c r="C32" s="12" t="n"/>
    </row>
    <row r="33">
      <c r="A33" s="13" t="inlineStr">
        <is>
          <t>RAZÃO CI / CD (%)</t>
        </is>
      </c>
      <c r="B33" s="85" t="n">
        <v>-181.41</v>
      </c>
      <c r="C33" s="14" t="n"/>
    </row>
    <row r="34">
      <c r="A34" s="11" t="inlineStr">
        <is>
          <t>CI / PVT (%)</t>
        </is>
      </c>
      <c r="B34" s="86" t="n">
        <v>-79.58</v>
      </c>
      <c r="C34" s="12" t="n"/>
    </row>
    <row r="36">
      <c r="A36" s="9" t="inlineStr">
        <is>
          <t>CAPITAL DE GIRO</t>
        </is>
      </c>
    </row>
    <row r="37">
      <c r="A37" s="13" t="inlineStr">
        <is>
          <t>Exposição máxima</t>
        </is>
      </c>
      <c r="B37" s="87" t="n">
        <v>13818739.84969199</v>
      </c>
      <c r="C37" s="14" t="n"/>
    </row>
    <row r="38">
      <c r="A38" s="11" t="inlineStr">
        <is>
          <t>Parcela mensal (meses 2 a n)</t>
        </is>
      </c>
      <c r="B38" s="17" t="n">
        <v>1457482</v>
      </c>
      <c r="C38" s="12" t="n"/>
    </row>
    <row r="39">
      <c r="A39" s="13" t="inlineStr">
        <is>
          <t>Resíduo (mês n+1)</t>
        </is>
      </c>
      <c r="B39" s="26" t="n">
        <v>1457487.41</v>
      </c>
      <c r="C39" s="14" t="n"/>
    </row>
    <row r="40">
      <c r="A40" s="11" t="inlineStr">
        <is>
          <t>Duração da execução (meses)</t>
        </is>
      </c>
      <c r="B40" s="11" t="n">
        <v>10</v>
      </c>
      <c r="C40" s="12" t="n"/>
    </row>
  </sheetData>
  <mergeCells count="8">
    <mergeCell ref="A10:C10"/>
    <mergeCell ref="A28:C28"/>
    <mergeCell ref="A36:C36"/>
    <mergeCell ref="A1:C1"/>
    <mergeCell ref="A14:C14"/>
    <mergeCell ref="A3:C3"/>
    <mergeCell ref="A30:C30"/>
    <mergeCell ref="A24:C2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FLUXO DE CAIXA — ACOMPANHAMENTO MENSAL</t>
        </is>
      </c>
    </row>
    <row r="2">
      <c r="A2" s="2" t="inlineStr">
        <is>
          <t>Mês</t>
        </is>
      </c>
      <c r="B2" s="2" t="inlineStr">
        <is>
          <t>Despesa (R$)</t>
        </is>
      </c>
      <c r="C2" s="2" t="inlineStr">
        <is>
          <t>Receita (R$)</t>
        </is>
      </c>
      <c r="D2" s="2" t="inlineStr">
        <is>
          <t>Rec. Acumulada (R$)</t>
        </is>
      </c>
      <c r="E2" s="2" t="inlineStr">
        <is>
          <t>Saldo do Mês (R$)</t>
        </is>
      </c>
      <c r="F2" s="2" t="inlineStr">
        <is>
          <t>Saldo Atual (R$)</t>
        </is>
      </c>
      <c r="G2" s="2" t="inlineStr">
        <is>
          <t>Exposição Acum. (R$)</t>
        </is>
      </c>
    </row>
    <row r="3">
      <c r="A3" s="18" t="inlineStr">
        <is>
          <t>Mar/25</t>
        </is>
      </c>
      <c r="B3" s="17" t="n">
        <v>1104852.58</v>
      </c>
      <c r="C3" s="17" t="n">
        <v>0</v>
      </c>
      <c r="D3" s="17" t="n">
        <v>0</v>
      </c>
      <c r="E3" s="88" t="n">
        <v>-1104852.58</v>
      </c>
      <c r="F3" s="88" t="n">
        <v>-1104852.58</v>
      </c>
      <c r="G3" s="88" t="n">
        <v>1104852.58</v>
      </c>
    </row>
    <row r="4">
      <c r="A4" s="27" t="inlineStr">
        <is>
          <t>Abr/25</t>
        </is>
      </c>
      <c r="B4" s="26" t="n">
        <v>2749278.83</v>
      </c>
      <c r="C4" s="26" t="n">
        <v>1457482</v>
      </c>
      <c r="D4" s="26" t="n">
        <v>1457482</v>
      </c>
      <c r="E4" s="88" t="n">
        <v>-1291796.83</v>
      </c>
      <c r="F4" s="88" t="n">
        <v>-2396649.41</v>
      </c>
      <c r="G4" s="88" t="n">
        <v>2396649.41</v>
      </c>
    </row>
    <row r="5">
      <c r="A5" s="18" t="inlineStr">
        <is>
          <t>Mai/25</t>
        </is>
      </c>
      <c r="B5" s="17" t="n">
        <v>2749278.83</v>
      </c>
      <c r="C5" s="17" t="n">
        <v>1457482</v>
      </c>
      <c r="D5" s="17" t="n">
        <v>2914964</v>
      </c>
      <c r="E5" s="88" t="n">
        <v>-1291796.83</v>
      </c>
      <c r="F5" s="88" t="n">
        <v>-3688446.24</v>
      </c>
      <c r="G5" s="88" t="n">
        <v>3688446.24</v>
      </c>
    </row>
    <row r="6">
      <c r="A6" s="27" t="inlineStr">
        <is>
          <t>Jun/25</t>
        </is>
      </c>
      <c r="B6" s="26" t="n">
        <v>3297420.92</v>
      </c>
      <c r="C6" s="26" t="n">
        <v>1457482</v>
      </c>
      <c r="D6" s="26" t="n">
        <v>4372446</v>
      </c>
      <c r="E6" s="88" t="n">
        <v>-1839938.92</v>
      </c>
      <c r="F6" s="88" t="n">
        <v>-5528385.16</v>
      </c>
      <c r="G6" s="88" t="n">
        <v>5528385.16</v>
      </c>
    </row>
    <row r="7">
      <c r="A7" s="18" t="inlineStr">
        <is>
          <t>Jul/25</t>
        </is>
      </c>
      <c r="B7" s="17" t="n">
        <v>2749278.83</v>
      </c>
      <c r="C7" s="17" t="n">
        <v>1457482</v>
      </c>
      <c r="D7" s="17" t="n">
        <v>5829928</v>
      </c>
      <c r="E7" s="88" t="n">
        <v>-1291796.83</v>
      </c>
      <c r="F7" s="88" t="n">
        <v>-6820182</v>
      </c>
      <c r="G7" s="88" t="n">
        <v>6820182</v>
      </c>
    </row>
    <row r="8">
      <c r="A8" s="27" t="inlineStr">
        <is>
          <t>Ago/25</t>
        </is>
      </c>
      <c r="B8" s="26" t="n">
        <v>2749278.83</v>
      </c>
      <c r="C8" s="26" t="n">
        <v>1457482</v>
      </c>
      <c r="D8" s="26" t="n">
        <v>7287410</v>
      </c>
      <c r="E8" s="88" t="n">
        <v>-1291796.83</v>
      </c>
      <c r="F8" s="88" t="n">
        <v>-8111978.83</v>
      </c>
      <c r="G8" s="88" t="n">
        <v>8111978.83</v>
      </c>
    </row>
    <row r="9">
      <c r="A9" s="18" t="inlineStr">
        <is>
          <t>Set/25</t>
        </is>
      </c>
      <c r="B9" s="17" t="n">
        <v>3297420.92</v>
      </c>
      <c r="C9" s="17" t="n">
        <v>1457482</v>
      </c>
      <c r="D9" s="17" t="n">
        <v>8744892</v>
      </c>
      <c r="E9" s="88" t="n">
        <v>-1839938.92</v>
      </c>
      <c r="F9" s="88" t="n">
        <v>-9951917.75</v>
      </c>
      <c r="G9" s="88" t="n">
        <v>9951917.75</v>
      </c>
    </row>
    <row r="10">
      <c r="A10" s="27" t="inlineStr">
        <is>
          <t>Out/25</t>
        </is>
      </c>
      <c r="B10" s="26" t="n">
        <v>2749278.83</v>
      </c>
      <c r="C10" s="26" t="n">
        <v>1457482</v>
      </c>
      <c r="D10" s="26" t="n">
        <v>10202374</v>
      </c>
      <c r="E10" s="88" t="n">
        <v>-1291796.83</v>
      </c>
      <c r="F10" s="88" t="n">
        <v>-11243714.58</v>
      </c>
      <c r="G10" s="88" t="n">
        <v>11243714.58</v>
      </c>
    </row>
    <row r="11">
      <c r="A11" s="18" t="inlineStr">
        <is>
          <t>Nov/25</t>
        </is>
      </c>
      <c r="B11" s="17" t="n">
        <v>2749278.83</v>
      </c>
      <c r="C11" s="17" t="n">
        <v>1457482</v>
      </c>
      <c r="D11" s="17" t="n">
        <v>11659856</v>
      </c>
      <c r="E11" s="88" t="n">
        <v>-1291796.83</v>
      </c>
      <c r="F11" s="88" t="n">
        <v>-12535511.42</v>
      </c>
      <c r="G11" s="88" t="n">
        <v>12535511.42</v>
      </c>
    </row>
    <row r="12">
      <c r="A12" s="27" t="inlineStr">
        <is>
          <t>Dez/25</t>
        </is>
      </c>
      <c r="B12" s="26" t="n">
        <v>2740710.43</v>
      </c>
      <c r="C12" s="26" t="n">
        <v>1457482</v>
      </c>
      <c r="D12" s="26" t="n">
        <v>13117338</v>
      </c>
      <c r="E12" s="88" t="n">
        <v>-1283228.43</v>
      </c>
      <c r="F12" s="88" t="n">
        <v>-13818739.85</v>
      </c>
      <c r="G12" s="88" t="n">
        <v>13818739.85</v>
      </c>
    </row>
    <row r="13">
      <c r="A13" s="18" t="inlineStr">
        <is>
          <t>Jan/26</t>
        </is>
      </c>
      <c r="B13" s="17" t="n">
        <v>0</v>
      </c>
      <c r="C13" s="17" t="n">
        <v>1457487.41</v>
      </c>
      <c r="D13" s="17" t="n">
        <v>14574825.41</v>
      </c>
      <c r="E13" s="89" t="n">
        <v>1457487.41</v>
      </c>
      <c r="F13" s="88" t="n">
        <v>-12361252.44</v>
      </c>
      <c r="G13" s="88" t="n">
        <v>12361252.44</v>
      </c>
    </row>
    <row r="15">
      <c r="A15" s="90" t="inlineStr">
        <is>
          <t>TOTAL</t>
        </is>
      </c>
      <c r="B15" s="30" t="n">
        <v>26936077.85</v>
      </c>
      <c r="C15" s="30" t="n">
        <v>14574825.41</v>
      </c>
      <c r="D15" s="30" t="n">
        <v>14574825.41</v>
      </c>
      <c r="E15" s="91" t="n">
        <v>-12361252.44</v>
      </c>
      <c r="F15" s="91" t="n">
        <v>-12361252.44</v>
      </c>
      <c r="G15" s="37" t="n"/>
    </row>
    <row r="18">
      <c r="A18" s="9" t="inlineStr">
        <is>
          <t>MÉTRICAS DO FLUXO DE CAIXA</t>
        </is>
      </c>
    </row>
    <row r="19">
      <c r="A19" s="38" t="inlineStr">
        <is>
          <t>Duração da execução (meses)</t>
        </is>
      </c>
      <c r="B19" s="39" t="n"/>
      <c r="C19" s="92" t="n">
        <v>10</v>
      </c>
      <c r="D19" s="41" t="n"/>
      <c r="E19" s="41" t="n"/>
      <c r="F19" s="41" t="n"/>
      <c r="G19" s="39" t="n"/>
    </row>
    <row r="20">
      <c r="A20" s="38" t="inlineStr">
        <is>
          <t>Parcela mensal (meses 2 a n)</t>
        </is>
      </c>
      <c r="B20" s="39" t="n"/>
      <c r="C20" s="92" t="n">
        <v>1457482</v>
      </c>
      <c r="D20" s="41" t="n"/>
      <c r="E20" s="41" t="n"/>
      <c r="F20" s="41" t="n"/>
      <c r="G20" s="39" t="n"/>
    </row>
    <row r="21">
      <c r="A21" s="38" t="inlineStr">
        <is>
          <t>Resíduo (mês n+1)</t>
        </is>
      </c>
      <c r="B21" s="39" t="n"/>
      <c r="C21" s="93" t="n">
        <v>1457487.41</v>
      </c>
      <c r="D21" s="41" t="n"/>
      <c r="E21" s="41" t="n"/>
      <c r="F21" s="41" t="n"/>
      <c r="G21" s="39" t="n"/>
    </row>
    <row r="22">
      <c r="A22" s="38" t="inlineStr">
        <is>
          <t>Exposição máxima</t>
        </is>
      </c>
      <c r="B22" s="39" t="n"/>
      <c r="C22" s="78" t="n">
        <v>13818739.84969199</v>
      </c>
      <c r="D22" s="41" t="n"/>
      <c r="E22" s="41" t="n"/>
      <c r="F22" s="41" t="n"/>
      <c r="G22" s="39" t="n"/>
    </row>
    <row r="23">
      <c r="A23" s="38" t="inlineStr">
        <is>
          <t>Mês da exposição máxima</t>
        </is>
      </c>
      <c r="B23" s="39" t="n"/>
      <c r="C23" s="92" t="inlineStr">
        <is>
          <t>Dez/25</t>
        </is>
      </c>
      <c r="D23" s="41" t="n"/>
      <c r="E23" s="41" t="n"/>
      <c r="F23" s="41" t="n"/>
      <c r="G23" s="39" t="n"/>
    </row>
    <row r="24">
      <c r="A24" s="38" t="inlineStr">
        <is>
          <t>Saldo final do projeto</t>
        </is>
      </c>
      <c r="B24" s="39" t="n"/>
      <c r="C24" s="78" t="n">
        <v>-12361252.43969199</v>
      </c>
      <c r="D24" s="41" t="n"/>
      <c r="E24" s="41" t="n"/>
      <c r="F24" s="41" t="n"/>
      <c r="G24" s="39" t="n"/>
    </row>
    <row r="26" ht="36" customHeight="1">
      <c r="A26" s="94" t="inlineStr">
        <is>
          <t>Mês 1: receita = 0.  Meses 2..n: ⌊M/n⌋ cada.  Mês n+1: resíduo M − ⌊M/n⌋×(n−1).  Saldo Atual = Rec. Acumulada − Desp. Acumulada.  Exposição Acum. = −Saldo Atual (positivo = empresa precisa de capital de giro).</t>
        </is>
      </c>
    </row>
  </sheetData>
  <mergeCells count="15">
    <mergeCell ref="A20:B20"/>
    <mergeCell ref="A21:B21"/>
    <mergeCell ref="C21:G21"/>
    <mergeCell ref="A1:G1"/>
    <mergeCell ref="C20:G20"/>
    <mergeCell ref="A18:G18"/>
    <mergeCell ref="A24:B24"/>
    <mergeCell ref="C24:G24"/>
    <mergeCell ref="A19:B19"/>
    <mergeCell ref="A26:G26"/>
    <mergeCell ref="C19:G19"/>
    <mergeCell ref="C23:G23"/>
    <mergeCell ref="A23:B23"/>
    <mergeCell ref="C22:G22"/>
    <mergeCell ref="A22:B2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12"/>
  <sheetViews>
    <sheetView workbookViewId="0">
      <pane xSplit="3" ySplit="2" topLeftCell="D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2" customWidth="1" min="2" max="2"/>
    <col width="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</cols>
  <sheetData>
    <row r="1">
      <c r="A1" s="1" t="inlineStr">
        <is>
          <t>HISTOGRAMA DE EQUIPAMENTOS — DEMANDA SEMANAL (UN.)</t>
        </is>
      </c>
    </row>
    <row r="2">
      <c r="A2" s="2" t="inlineStr">
        <is>
          <t>Equip.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31/Mar</t>
        </is>
      </c>
      <c r="E2" s="2" t="inlineStr">
        <is>
          <t>07/Abr</t>
        </is>
      </c>
      <c r="F2" s="2" t="inlineStr">
        <is>
          <t>14/Abr</t>
        </is>
      </c>
      <c r="G2" s="2" t="inlineStr">
        <is>
          <t>21/Abr</t>
        </is>
      </c>
      <c r="H2" s="2" t="inlineStr">
        <is>
          <t>28/Abr</t>
        </is>
      </c>
      <c r="I2" s="2" t="inlineStr">
        <is>
          <t>05/Mai</t>
        </is>
      </c>
      <c r="J2" s="2" t="inlineStr">
        <is>
          <t>12/Mai</t>
        </is>
      </c>
      <c r="K2" s="2" t="inlineStr">
        <is>
          <t>19/Mai</t>
        </is>
      </c>
      <c r="L2" s="2" t="inlineStr">
        <is>
          <t>26/Mai</t>
        </is>
      </c>
      <c r="M2" s="2" t="inlineStr">
        <is>
          <t>02/Jun</t>
        </is>
      </c>
      <c r="N2" s="2" t="inlineStr">
        <is>
          <t>09/Jun</t>
        </is>
      </c>
      <c r="O2" s="2" t="inlineStr">
        <is>
          <t>16/Jun</t>
        </is>
      </c>
      <c r="P2" s="2" t="inlineStr">
        <is>
          <t>23/Jun</t>
        </is>
      </c>
      <c r="Q2" s="2" t="inlineStr">
        <is>
          <t>30/Jun</t>
        </is>
      </c>
      <c r="R2" s="2" t="inlineStr">
        <is>
          <t>07/Jul</t>
        </is>
      </c>
      <c r="S2" s="2" t="inlineStr">
        <is>
          <t>14/Jul</t>
        </is>
      </c>
      <c r="T2" s="2" t="inlineStr">
        <is>
          <t>21/Jul</t>
        </is>
      </c>
      <c r="U2" s="2" t="inlineStr">
        <is>
          <t>28/Jul</t>
        </is>
      </c>
      <c r="V2" s="2" t="inlineStr">
        <is>
          <t>04/Ago</t>
        </is>
      </c>
      <c r="W2" s="2" t="inlineStr">
        <is>
          <t>11/Ago</t>
        </is>
      </c>
      <c r="X2" s="2" t="inlineStr">
        <is>
          <t>18/Ago</t>
        </is>
      </c>
      <c r="Y2" s="2" t="inlineStr">
        <is>
          <t>25/Ago</t>
        </is>
      </c>
      <c r="Z2" s="2" t="inlineStr">
        <is>
          <t>01/Set</t>
        </is>
      </c>
      <c r="AA2" s="2" t="inlineStr">
        <is>
          <t>08/Set</t>
        </is>
      </c>
      <c r="AB2" s="2" t="inlineStr">
        <is>
          <t>15/Set</t>
        </is>
      </c>
      <c r="AC2" s="2" t="inlineStr">
        <is>
          <t>22/Set</t>
        </is>
      </c>
      <c r="AD2" s="2" t="inlineStr">
        <is>
          <t>29/Set</t>
        </is>
      </c>
      <c r="AE2" s="2" t="inlineStr">
        <is>
          <t>06/Out</t>
        </is>
      </c>
      <c r="AF2" s="2" t="inlineStr">
        <is>
          <t>13/Out</t>
        </is>
      </c>
      <c r="AG2" s="2" t="inlineStr">
        <is>
          <t>20/Out</t>
        </is>
      </c>
      <c r="AH2" s="2" t="inlineStr">
        <is>
          <t>27/Out</t>
        </is>
      </c>
      <c r="AI2" s="2" t="inlineStr">
        <is>
          <t>03/Nov</t>
        </is>
      </c>
      <c r="AJ2" s="2" t="inlineStr">
        <is>
          <t>10/Nov</t>
        </is>
      </c>
      <c r="AK2" s="2" t="inlineStr">
        <is>
          <t>17/Nov</t>
        </is>
      </c>
      <c r="AL2" s="2" t="inlineStr">
        <is>
          <t>24/Nov</t>
        </is>
      </c>
      <c r="AM2" s="2" t="inlineStr">
        <is>
          <t>01/Dez</t>
        </is>
      </c>
      <c r="AN2" s="2" t="inlineStr">
        <is>
          <t>08/Dez</t>
        </is>
      </c>
      <c r="AO2" s="2" t="inlineStr">
        <is>
          <t>15/Dez</t>
        </is>
      </c>
      <c r="AP2" s="2" t="inlineStr">
        <is>
          <t>22/Dez</t>
        </is>
      </c>
      <c r="AQ2" s="2" t="inlineStr">
        <is>
          <t>29/Dez</t>
        </is>
      </c>
    </row>
    <row r="3">
      <c r="A3" s="11" t="inlineStr">
        <is>
          <t>EQ-E0002</t>
        </is>
      </c>
      <c r="B3" s="11" t="inlineStr">
        <is>
          <t>Betoneira 400L</t>
        </is>
      </c>
      <c r="C3" s="18" t="inlineStr">
        <is>
          <t>un</t>
        </is>
      </c>
      <c r="D3" s="57" t="n">
        <v>7</v>
      </c>
      <c r="E3" s="57" t="n">
        <v>7</v>
      </c>
      <c r="F3" s="57" t="n">
        <v>7</v>
      </c>
      <c r="G3" s="57" t="n">
        <v>7</v>
      </c>
      <c r="H3" s="57" t="n">
        <v>7</v>
      </c>
      <c r="I3" s="57" t="n">
        <v>7</v>
      </c>
      <c r="J3" s="57" t="n">
        <v>7</v>
      </c>
      <c r="K3" s="57" t="n">
        <v>7</v>
      </c>
      <c r="L3" s="57" t="n">
        <v>7</v>
      </c>
      <c r="M3" s="57" t="n">
        <v>7</v>
      </c>
      <c r="N3" s="57" t="n">
        <v>7</v>
      </c>
      <c r="O3" s="57" t="n">
        <v>7</v>
      </c>
      <c r="P3" s="57" t="n">
        <v>7</v>
      </c>
      <c r="Q3" s="57" t="n">
        <v>7</v>
      </c>
      <c r="R3" s="57" t="n">
        <v>7</v>
      </c>
      <c r="S3" s="57" t="n">
        <v>7</v>
      </c>
      <c r="T3" s="57" t="n">
        <v>7</v>
      </c>
      <c r="U3" s="57" t="n">
        <v>7</v>
      </c>
      <c r="V3" s="57" t="n">
        <v>7</v>
      </c>
      <c r="W3" s="57" t="n">
        <v>7</v>
      </c>
      <c r="X3" s="57" t="n">
        <v>7</v>
      </c>
      <c r="Y3" s="57" t="n">
        <v>7</v>
      </c>
      <c r="Z3" s="57" t="n">
        <v>7</v>
      </c>
      <c r="AA3" s="57" t="n">
        <v>7</v>
      </c>
      <c r="AB3" s="57" t="n">
        <v>7</v>
      </c>
      <c r="AC3" s="57" t="n">
        <v>7</v>
      </c>
      <c r="AD3" s="57" t="n">
        <v>7</v>
      </c>
      <c r="AE3" s="57" t="n">
        <v>7</v>
      </c>
      <c r="AF3" s="57" t="n">
        <v>7</v>
      </c>
      <c r="AG3" s="57" t="n">
        <v>7</v>
      </c>
      <c r="AH3" s="57" t="n">
        <v>7</v>
      </c>
      <c r="AI3" s="57" t="n">
        <v>7</v>
      </c>
      <c r="AJ3" s="57" t="n">
        <v>7</v>
      </c>
      <c r="AK3" s="57" t="n">
        <v>7</v>
      </c>
      <c r="AL3" s="57" t="n">
        <v>7</v>
      </c>
      <c r="AM3" s="57" t="n">
        <v>7</v>
      </c>
      <c r="AN3" s="57" t="n">
        <v>7</v>
      </c>
      <c r="AO3" s="57" t="n">
        <v>7</v>
      </c>
      <c r="AP3" s="57" t="n">
        <v>7</v>
      </c>
      <c r="AQ3" s="57" t="n">
        <v>7</v>
      </c>
    </row>
    <row r="4">
      <c r="A4" s="13" t="inlineStr">
        <is>
          <t>EQ-E0007</t>
        </is>
      </c>
      <c r="B4" s="13" t="inlineStr">
        <is>
          <t>Caminhão Basculante 14m³</t>
        </is>
      </c>
      <c r="C4" s="27" t="inlineStr">
        <is>
          <t>un</t>
        </is>
      </c>
      <c r="D4" s="65" t="n">
        <v>18</v>
      </c>
      <c r="E4" s="65" t="n">
        <v>18</v>
      </c>
      <c r="F4" s="65" t="n">
        <v>18</v>
      </c>
      <c r="G4" s="65" t="n">
        <v>18</v>
      </c>
      <c r="H4" s="65" t="n">
        <v>18</v>
      </c>
      <c r="I4" s="65" t="n">
        <v>18</v>
      </c>
      <c r="J4" s="65" t="n">
        <v>18</v>
      </c>
      <c r="K4" s="65" t="n">
        <v>18</v>
      </c>
      <c r="L4" s="65" t="n">
        <v>18</v>
      </c>
      <c r="M4" s="65" t="n">
        <v>18</v>
      </c>
      <c r="N4" s="65" t="n">
        <v>18</v>
      </c>
      <c r="O4" s="65" t="n">
        <v>18</v>
      </c>
      <c r="P4" s="65" t="n">
        <v>18</v>
      </c>
      <c r="Q4" s="65" t="n">
        <v>18</v>
      </c>
      <c r="R4" s="65" t="n">
        <v>18</v>
      </c>
      <c r="S4" s="65" t="n">
        <v>18</v>
      </c>
      <c r="T4" s="65" t="n">
        <v>18</v>
      </c>
      <c r="U4" s="65" t="n">
        <v>18</v>
      </c>
      <c r="V4" s="65" t="n">
        <v>18</v>
      </c>
      <c r="W4" s="65" t="n">
        <v>18</v>
      </c>
      <c r="X4" s="65" t="n">
        <v>18</v>
      </c>
      <c r="Y4" s="65" t="n">
        <v>18</v>
      </c>
      <c r="Z4" s="65" t="n">
        <v>18</v>
      </c>
      <c r="AA4" s="65" t="n">
        <v>18</v>
      </c>
      <c r="AB4" s="65" t="n">
        <v>18</v>
      </c>
      <c r="AC4" s="65" t="n">
        <v>18</v>
      </c>
      <c r="AD4" s="65" t="n">
        <v>18</v>
      </c>
      <c r="AE4" s="65" t="n">
        <v>18</v>
      </c>
      <c r="AF4" s="65" t="n">
        <v>18</v>
      </c>
      <c r="AG4" s="65" t="n">
        <v>18</v>
      </c>
      <c r="AH4" s="65" t="n">
        <v>18</v>
      </c>
      <c r="AI4" s="65" t="n">
        <v>18</v>
      </c>
      <c r="AJ4" s="65" t="n">
        <v>18</v>
      </c>
      <c r="AK4" s="65" t="n">
        <v>18</v>
      </c>
      <c r="AL4" s="65" t="n">
        <v>18</v>
      </c>
      <c r="AM4" s="65" t="n">
        <v>18</v>
      </c>
      <c r="AN4" s="65" t="n">
        <v>18</v>
      </c>
      <c r="AO4" s="65" t="n">
        <v>18</v>
      </c>
      <c r="AP4" s="65" t="n">
        <v>18</v>
      </c>
      <c r="AQ4" s="65" t="n">
        <v>18</v>
      </c>
    </row>
    <row r="5">
      <c r="A5" s="11" t="inlineStr">
        <is>
          <t>EQ-E0010</t>
        </is>
      </c>
      <c r="B5" s="11" t="inlineStr">
        <is>
          <t>Caminhão Pipa 10.000L</t>
        </is>
      </c>
      <c r="C5" s="18" t="inlineStr">
        <is>
          <t>un</t>
        </is>
      </c>
      <c r="D5" s="57" t="n">
        <v>5</v>
      </c>
      <c r="E5" s="57" t="n">
        <v>5</v>
      </c>
      <c r="F5" s="57" t="n">
        <v>5</v>
      </c>
      <c r="G5" s="57" t="n">
        <v>5</v>
      </c>
      <c r="H5" s="57" t="n">
        <v>5</v>
      </c>
      <c r="I5" s="57" t="n">
        <v>5</v>
      </c>
      <c r="J5" s="57" t="n">
        <v>5</v>
      </c>
      <c r="K5" s="57" t="n">
        <v>5</v>
      </c>
      <c r="L5" s="57" t="n">
        <v>5</v>
      </c>
      <c r="M5" s="57" t="n">
        <v>5</v>
      </c>
      <c r="N5" s="57" t="n">
        <v>5</v>
      </c>
      <c r="O5" s="57" t="n">
        <v>5</v>
      </c>
      <c r="P5" s="57" t="n">
        <v>5</v>
      </c>
      <c r="Q5" s="57" t="n">
        <v>5</v>
      </c>
      <c r="R5" s="57" t="n">
        <v>5</v>
      </c>
      <c r="S5" s="57" t="n">
        <v>5</v>
      </c>
      <c r="T5" s="57" t="n">
        <v>5</v>
      </c>
      <c r="U5" s="57" t="n">
        <v>5</v>
      </c>
      <c r="V5" s="57" t="n">
        <v>5</v>
      </c>
      <c r="W5" s="57" t="n">
        <v>5</v>
      </c>
      <c r="X5" s="57" t="n">
        <v>5</v>
      </c>
      <c r="Y5" s="57" t="n">
        <v>5</v>
      </c>
      <c r="Z5" s="57" t="n">
        <v>5</v>
      </c>
      <c r="AA5" s="57" t="n">
        <v>5</v>
      </c>
      <c r="AB5" s="57" t="n">
        <v>5</v>
      </c>
      <c r="AC5" s="57" t="n">
        <v>5</v>
      </c>
      <c r="AD5" s="57" t="n">
        <v>5</v>
      </c>
      <c r="AE5" s="57" t="n">
        <v>5</v>
      </c>
      <c r="AF5" s="57" t="n">
        <v>5</v>
      </c>
      <c r="AG5" s="57" t="n">
        <v>5</v>
      </c>
      <c r="AH5" s="57" t="n">
        <v>5</v>
      </c>
      <c r="AI5" s="57" t="n">
        <v>5</v>
      </c>
      <c r="AJ5" s="57" t="n">
        <v>5</v>
      </c>
      <c r="AK5" s="57" t="n">
        <v>5</v>
      </c>
      <c r="AL5" s="57" t="n">
        <v>5</v>
      </c>
      <c r="AM5" s="57" t="n">
        <v>5</v>
      </c>
      <c r="AN5" s="57" t="n">
        <v>5</v>
      </c>
      <c r="AO5" s="57" t="n">
        <v>5</v>
      </c>
      <c r="AP5" s="57" t="n">
        <v>5</v>
      </c>
      <c r="AQ5" s="57" t="n">
        <v>5</v>
      </c>
    </row>
    <row r="6">
      <c r="A6" s="13" t="inlineStr">
        <is>
          <t>EQ-E0015</t>
        </is>
      </c>
      <c r="B6" s="13" t="inlineStr">
        <is>
          <t>Distribuidor de Brita</t>
        </is>
      </c>
      <c r="C6" s="27" t="inlineStr">
        <is>
          <t>un</t>
        </is>
      </c>
      <c r="D6" s="65" t="n">
        <v>1</v>
      </c>
      <c r="E6" s="65" t="n">
        <v>1</v>
      </c>
      <c r="F6" s="65" t="n">
        <v>1</v>
      </c>
      <c r="G6" s="65" t="n">
        <v>1</v>
      </c>
      <c r="H6" s="65" t="n">
        <v>1</v>
      </c>
      <c r="I6" s="65" t="n">
        <v>1</v>
      </c>
      <c r="J6" s="65" t="n">
        <v>1</v>
      </c>
      <c r="K6" s="65" t="n">
        <v>1</v>
      </c>
      <c r="L6" s="65" t="n">
        <v>1</v>
      </c>
      <c r="M6" s="65" t="n">
        <v>1</v>
      </c>
      <c r="N6" s="65" t="n">
        <v>1</v>
      </c>
      <c r="O6" s="65" t="n">
        <v>1</v>
      </c>
      <c r="P6" s="65" t="n">
        <v>1</v>
      </c>
      <c r="Q6" s="65" t="n">
        <v>1</v>
      </c>
      <c r="R6" s="65" t="n">
        <v>1</v>
      </c>
      <c r="S6" s="65" t="n">
        <v>1</v>
      </c>
      <c r="T6" s="65" t="n">
        <v>1</v>
      </c>
      <c r="U6" s="65" t="n">
        <v>1</v>
      </c>
      <c r="V6" s="65" t="n">
        <v>1</v>
      </c>
      <c r="W6" s="65" t="n">
        <v>1</v>
      </c>
      <c r="X6" s="65" t="n">
        <v>1</v>
      </c>
      <c r="Y6" s="65" t="n">
        <v>1</v>
      </c>
      <c r="Z6" s="65" t="n">
        <v>1</v>
      </c>
      <c r="AA6" s="65" t="n">
        <v>1</v>
      </c>
      <c r="AB6" s="65" t="n">
        <v>1</v>
      </c>
      <c r="AC6" s="65" t="n">
        <v>1</v>
      </c>
      <c r="AD6" s="65" t="n">
        <v>1</v>
      </c>
      <c r="AE6" s="65" t="n">
        <v>1</v>
      </c>
      <c r="AF6" s="65" t="n">
        <v>1</v>
      </c>
      <c r="AG6" s="65" t="n">
        <v>1</v>
      </c>
      <c r="AH6" s="65" t="n">
        <v>1</v>
      </c>
      <c r="AI6" s="65" t="n">
        <v>1</v>
      </c>
      <c r="AJ6" s="65" t="n">
        <v>1</v>
      </c>
      <c r="AK6" s="65" t="n">
        <v>1</v>
      </c>
      <c r="AL6" s="65" t="n">
        <v>1</v>
      </c>
      <c r="AM6" s="65" t="n">
        <v>1</v>
      </c>
      <c r="AN6" s="65" t="n">
        <v>1</v>
      </c>
      <c r="AO6" s="65" t="n">
        <v>1</v>
      </c>
      <c r="AP6" s="65" t="n">
        <v>1</v>
      </c>
      <c r="AQ6" s="65" t="n">
        <v>1</v>
      </c>
    </row>
    <row r="7">
      <c r="A7" s="11" t="inlineStr">
        <is>
          <t>EQ-E0016</t>
        </is>
      </c>
      <c r="B7" s="11" t="inlineStr">
        <is>
          <t>Escavadeira Hidráulica 22t</t>
        </is>
      </c>
      <c r="C7" s="18" t="inlineStr">
        <is>
          <t>un</t>
        </is>
      </c>
      <c r="D7" s="57" t="n">
        <v>7</v>
      </c>
      <c r="E7" s="57" t="n">
        <v>7</v>
      </c>
      <c r="F7" s="57" t="n">
        <v>7</v>
      </c>
      <c r="G7" s="57" t="n">
        <v>7</v>
      </c>
      <c r="H7" s="57" t="n">
        <v>7</v>
      </c>
      <c r="I7" s="57" t="n">
        <v>7</v>
      </c>
      <c r="J7" s="57" t="n">
        <v>7</v>
      </c>
      <c r="K7" s="57" t="n">
        <v>7</v>
      </c>
      <c r="L7" s="57" t="n">
        <v>7</v>
      </c>
      <c r="M7" s="57" t="n">
        <v>7</v>
      </c>
      <c r="N7" s="57" t="n">
        <v>7</v>
      </c>
      <c r="O7" s="57" t="n">
        <v>7</v>
      </c>
      <c r="P7" s="57" t="n">
        <v>7</v>
      </c>
      <c r="Q7" s="57" t="n">
        <v>7</v>
      </c>
      <c r="R7" s="57" t="n">
        <v>7</v>
      </c>
      <c r="S7" s="57" t="n">
        <v>7</v>
      </c>
      <c r="T7" s="57" t="n">
        <v>7</v>
      </c>
      <c r="U7" s="57" t="n">
        <v>7</v>
      </c>
      <c r="V7" s="57" t="n">
        <v>7</v>
      </c>
      <c r="W7" s="57" t="n">
        <v>7</v>
      </c>
      <c r="X7" s="57" t="n">
        <v>7</v>
      </c>
      <c r="Y7" s="57" t="n">
        <v>7</v>
      </c>
      <c r="Z7" s="57" t="n">
        <v>7</v>
      </c>
      <c r="AA7" s="57" t="n">
        <v>7</v>
      </c>
      <c r="AB7" s="57" t="n">
        <v>7</v>
      </c>
      <c r="AC7" s="57" t="n">
        <v>7</v>
      </c>
      <c r="AD7" s="57" t="n">
        <v>7</v>
      </c>
      <c r="AE7" s="57" t="n">
        <v>7</v>
      </c>
      <c r="AF7" s="57" t="n">
        <v>7</v>
      </c>
      <c r="AG7" s="57" t="n">
        <v>7</v>
      </c>
      <c r="AH7" s="57" t="n">
        <v>7</v>
      </c>
      <c r="AI7" s="57" t="n">
        <v>7</v>
      </c>
      <c r="AJ7" s="57" t="n">
        <v>7</v>
      </c>
      <c r="AK7" s="57" t="n">
        <v>7</v>
      </c>
      <c r="AL7" s="57" t="n">
        <v>7</v>
      </c>
      <c r="AM7" s="57" t="n">
        <v>7</v>
      </c>
      <c r="AN7" s="57" t="n">
        <v>7</v>
      </c>
      <c r="AO7" s="57" t="n">
        <v>7</v>
      </c>
      <c r="AP7" s="57" t="n">
        <v>7</v>
      </c>
      <c r="AQ7" s="57" t="n">
        <v>7</v>
      </c>
    </row>
    <row r="8">
      <c r="A8" s="13" t="inlineStr">
        <is>
          <t>EQ-E0024</t>
        </is>
      </c>
      <c r="B8" s="13" t="inlineStr">
        <is>
          <t>Trator de Esteiras 20t (300HP)</t>
        </is>
      </c>
      <c r="C8" s="27" t="inlineStr">
        <is>
          <t>un</t>
        </is>
      </c>
      <c r="D8" s="65" t="n">
        <v>1</v>
      </c>
      <c r="E8" s="65" t="n">
        <v>1</v>
      </c>
      <c r="F8" s="65" t="n">
        <v>1</v>
      </c>
      <c r="G8" s="65" t="n">
        <v>1</v>
      </c>
      <c r="H8" s="65" t="n">
        <v>1</v>
      </c>
      <c r="I8" s="65" t="n">
        <v>1</v>
      </c>
      <c r="J8" s="65" t="n">
        <v>1</v>
      </c>
      <c r="K8" s="65" t="n">
        <v>1</v>
      </c>
      <c r="L8" s="65" t="n">
        <v>1</v>
      </c>
      <c r="M8" s="65" t="n">
        <v>1</v>
      </c>
      <c r="N8" s="65" t="n">
        <v>1</v>
      </c>
      <c r="O8" s="65" t="n">
        <v>1</v>
      </c>
      <c r="P8" s="65" t="n">
        <v>1</v>
      </c>
      <c r="Q8" s="65" t="n">
        <v>1</v>
      </c>
      <c r="R8" s="65" t="n">
        <v>1</v>
      </c>
      <c r="S8" s="65" t="n">
        <v>1</v>
      </c>
      <c r="T8" s="65" t="n">
        <v>1</v>
      </c>
      <c r="U8" s="65" t="n">
        <v>1</v>
      </c>
      <c r="V8" s="65" t="n">
        <v>1</v>
      </c>
      <c r="W8" s="65" t="n">
        <v>1</v>
      </c>
      <c r="X8" s="65" t="n">
        <v>1</v>
      </c>
      <c r="Y8" s="65" t="n">
        <v>1</v>
      </c>
      <c r="Z8" s="65" t="n">
        <v>1</v>
      </c>
      <c r="AA8" s="65" t="n">
        <v>1</v>
      </c>
      <c r="AB8" s="65" t="n">
        <v>1</v>
      </c>
      <c r="AC8" s="65" t="n">
        <v>1</v>
      </c>
      <c r="AD8" s="65" t="n">
        <v>1</v>
      </c>
      <c r="AE8" s="65" t="n">
        <v>1</v>
      </c>
      <c r="AF8" s="65" t="n">
        <v>1</v>
      </c>
      <c r="AG8" s="65" t="n">
        <v>1</v>
      </c>
      <c r="AH8" s="65" t="n">
        <v>1</v>
      </c>
      <c r="AI8" s="65" t="n">
        <v>1</v>
      </c>
      <c r="AJ8" s="65" t="n">
        <v>1</v>
      </c>
      <c r="AK8" s="65" t="n">
        <v>1</v>
      </c>
      <c r="AL8" s="65" t="n">
        <v>1</v>
      </c>
      <c r="AM8" s="65" t="n">
        <v>1</v>
      </c>
      <c r="AN8" s="65" t="n">
        <v>1</v>
      </c>
      <c r="AO8" s="65" t="n">
        <v>1</v>
      </c>
      <c r="AP8" s="65" t="n">
        <v>1</v>
      </c>
      <c r="AQ8" s="65" t="n">
        <v>1</v>
      </c>
    </row>
    <row r="9">
      <c r="A9" s="11" t="inlineStr">
        <is>
          <t>EQ-E0029</t>
        </is>
      </c>
      <c r="B9" s="11" t="inlineStr">
        <is>
          <t>Motoniveladora 140HP</t>
        </is>
      </c>
      <c r="C9" s="18" t="inlineStr">
        <is>
          <t>un</t>
        </is>
      </c>
      <c r="D9" s="57" t="n">
        <v>5</v>
      </c>
      <c r="E9" s="57" t="n">
        <v>5</v>
      </c>
      <c r="F9" s="57" t="n">
        <v>5</v>
      </c>
      <c r="G9" s="57" t="n">
        <v>5</v>
      </c>
      <c r="H9" s="57" t="n">
        <v>5</v>
      </c>
      <c r="I9" s="57" t="n">
        <v>5</v>
      </c>
      <c r="J9" s="57" t="n">
        <v>5</v>
      </c>
      <c r="K9" s="57" t="n">
        <v>5</v>
      </c>
      <c r="L9" s="57" t="n">
        <v>5</v>
      </c>
      <c r="M9" s="57" t="n">
        <v>5</v>
      </c>
      <c r="N9" s="57" t="n">
        <v>5</v>
      </c>
      <c r="O9" s="57" t="n">
        <v>5</v>
      </c>
      <c r="P9" s="57" t="n">
        <v>5</v>
      </c>
      <c r="Q9" s="57" t="n">
        <v>5</v>
      </c>
      <c r="R9" s="57" t="n">
        <v>5</v>
      </c>
      <c r="S9" s="57" t="n">
        <v>5</v>
      </c>
      <c r="T9" s="57" t="n">
        <v>5</v>
      </c>
      <c r="U9" s="57" t="n">
        <v>5</v>
      </c>
      <c r="V9" s="57" t="n">
        <v>5</v>
      </c>
      <c r="W9" s="57" t="n">
        <v>5</v>
      </c>
      <c r="X9" s="57" t="n">
        <v>5</v>
      </c>
      <c r="Y9" s="57" t="n">
        <v>5</v>
      </c>
      <c r="Z9" s="57" t="n">
        <v>5</v>
      </c>
      <c r="AA9" s="57" t="n">
        <v>5</v>
      </c>
      <c r="AB9" s="57" t="n">
        <v>5</v>
      </c>
      <c r="AC9" s="57" t="n">
        <v>5</v>
      </c>
      <c r="AD9" s="57" t="n">
        <v>5</v>
      </c>
      <c r="AE9" s="57" t="n">
        <v>5</v>
      </c>
      <c r="AF9" s="57" t="n">
        <v>5</v>
      </c>
      <c r="AG9" s="57" t="n">
        <v>5</v>
      </c>
      <c r="AH9" s="57" t="n">
        <v>5</v>
      </c>
      <c r="AI9" s="57" t="n">
        <v>5</v>
      </c>
      <c r="AJ9" s="57" t="n">
        <v>5</v>
      </c>
      <c r="AK9" s="57" t="n">
        <v>5</v>
      </c>
      <c r="AL9" s="57" t="n">
        <v>5</v>
      </c>
      <c r="AM9" s="57" t="n">
        <v>5</v>
      </c>
      <c r="AN9" s="57" t="n">
        <v>5</v>
      </c>
      <c r="AO9" s="57" t="n">
        <v>5</v>
      </c>
      <c r="AP9" s="57" t="n">
        <v>5</v>
      </c>
      <c r="AQ9" s="57" t="n">
        <v>5</v>
      </c>
    </row>
    <row r="10">
      <c r="A10" s="13" t="inlineStr">
        <is>
          <t>EQ-E0035</t>
        </is>
      </c>
      <c r="B10" s="13" t="inlineStr">
        <is>
          <t>Trator de esteiras 20T</t>
        </is>
      </c>
      <c r="C10" s="27" t="inlineStr">
        <is>
          <t>un</t>
        </is>
      </c>
      <c r="D10" s="65" t="n">
        <v>5</v>
      </c>
      <c r="E10" s="65" t="n">
        <v>5</v>
      </c>
      <c r="F10" s="65" t="n">
        <v>5</v>
      </c>
      <c r="G10" s="65" t="n">
        <v>5</v>
      </c>
      <c r="H10" s="65" t="n">
        <v>5</v>
      </c>
      <c r="I10" s="65" t="n">
        <v>5</v>
      </c>
      <c r="J10" s="65" t="n">
        <v>5</v>
      </c>
      <c r="K10" s="65" t="n">
        <v>5</v>
      </c>
      <c r="L10" s="65" t="n">
        <v>5</v>
      </c>
      <c r="M10" s="65" t="n">
        <v>5</v>
      </c>
      <c r="N10" s="65" t="n">
        <v>5</v>
      </c>
      <c r="O10" s="65" t="n">
        <v>5</v>
      </c>
      <c r="P10" s="65" t="n">
        <v>5</v>
      </c>
      <c r="Q10" s="65" t="n">
        <v>5</v>
      </c>
      <c r="R10" s="65" t="n">
        <v>5</v>
      </c>
      <c r="S10" s="65" t="n">
        <v>5</v>
      </c>
      <c r="T10" s="65" t="n">
        <v>5</v>
      </c>
      <c r="U10" s="65" t="n">
        <v>5</v>
      </c>
      <c r="V10" s="65" t="n">
        <v>5</v>
      </c>
      <c r="W10" s="65" t="n">
        <v>5</v>
      </c>
      <c r="X10" s="65" t="n">
        <v>5</v>
      </c>
      <c r="Y10" s="65" t="n">
        <v>5</v>
      </c>
      <c r="Z10" s="65" t="n">
        <v>5</v>
      </c>
      <c r="AA10" s="65" t="n">
        <v>5</v>
      </c>
      <c r="AB10" s="65" t="n">
        <v>5</v>
      </c>
      <c r="AC10" s="65" t="n">
        <v>5</v>
      </c>
      <c r="AD10" s="65" t="n">
        <v>5</v>
      </c>
      <c r="AE10" s="65" t="n">
        <v>5</v>
      </c>
      <c r="AF10" s="65" t="n">
        <v>5</v>
      </c>
      <c r="AG10" s="65" t="n">
        <v>5</v>
      </c>
      <c r="AH10" s="65" t="n">
        <v>5</v>
      </c>
      <c r="AI10" s="65" t="n">
        <v>5</v>
      </c>
      <c r="AJ10" s="65" t="n">
        <v>5</v>
      </c>
      <c r="AK10" s="65" t="n">
        <v>5</v>
      </c>
      <c r="AL10" s="65" t="n">
        <v>5</v>
      </c>
      <c r="AM10" s="65" t="n">
        <v>5</v>
      </c>
      <c r="AN10" s="65" t="n">
        <v>5</v>
      </c>
      <c r="AO10" s="65" t="n">
        <v>5</v>
      </c>
      <c r="AP10" s="65" t="n">
        <v>5</v>
      </c>
      <c r="AQ10" s="65" t="n">
        <v>5</v>
      </c>
    </row>
    <row r="12">
      <c r="A12" s="95" t="inlineStr">
        <is>
          <t>TOTAL SEMANAL</t>
        </is>
      </c>
      <c r="D12" s="96" t="n">
        <v>49</v>
      </c>
      <c r="E12" s="96" t="n">
        <v>49</v>
      </c>
      <c r="F12" s="96" t="n">
        <v>49</v>
      </c>
      <c r="G12" s="96" t="n">
        <v>49</v>
      </c>
      <c r="H12" s="96" t="n">
        <v>49</v>
      </c>
      <c r="I12" s="96" t="n">
        <v>49</v>
      </c>
      <c r="J12" s="96" t="n">
        <v>49</v>
      </c>
      <c r="K12" s="96" t="n">
        <v>49</v>
      </c>
      <c r="L12" s="96" t="n">
        <v>49</v>
      </c>
      <c r="M12" s="96" t="n">
        <v>49</v>
      </c>
      <c r="N12" s="96" t="n">
        <v>49</v>
      </c>
      <c r="O12" s="96" t="n">
        <v>49</v>
      </c>
      <c r="P12" s="96" t="n">
        <v>49</v>
      </c>
      <c r="Q12" s="96" t="n">
        <v>49</v>
      </c>
      <c r="R12" s="96" t="n">
        <v>49</v>
      </c>
      <c r="S12" s="96" t="n">
        <v>49</v>
      </c>
      <c r="T12" s="96" t="n">
        <v>49</v>
      </c>
      <c r="U12" s="96" t="n">
        <v>49</v>
      </c>
      <c r="V12" s="96" t="n">
        <v>49</v>
      </c>
      <c r="W12" s="96" t="n">
        <v>49</v>
      </c>
      <c r="X12" s="96" t="n">
        <v>49</v>
      </c>
      <c r="Y12" s="96" t="n">
        <v>49</v>
      </c>
      <c r="Z12" s="96" t="n">
        <v>49</v>
      </c>
      <c r="AA12" s="96" t="n">
        <v>49</v>
      </c>
      <c r="AB12" s="96" t="n">
        <v>49</v>
      </c>
      <c r="AC12" s="96" t="n">
        <v>49</v>
      </c>
      <c r="AD12" s="96" t="n">
        <v>49</v>
      </c>
      <c r="AE12" s="96" t="n">
        <v>49</v>
      </c>
      <c r="AF12" s="96" t="n">
        <v>49</v>
      </c>
      <c r="AG12" s="96" t="n">
        <v>49</v>
      </c>
      <c r="AH12" s="96" t="n">
        <v>49</v>
      </c>
      <c r="AI12" s="96" t="n">
        <v>49</v>
      </c>
      <c r="AJ12" s="96" t="n">
        <v>49</v>
      </c>
      <c r="AK12" s="96" t="n">
        <v>49</v>
      </c>
      <c r="AL12" s="96" t="n">
        <v>49</v>
      </c>
      <c r="AM12" s="96" t="n">
        <v>49</v>
      </c>
      <c r="AN12" s="96" t="n">
        <v>49</v>
      </c>
      <c r="AO12" s="96" t="n">
        <v>49</v>
      </c>
      <c r="AP12" s="96" t="n">
        <v>49</v>
      </c>
      <c r="AQ12" s="96" t="n">
        <v>49</v>
      </c>
    </row>
  </sheetData>
  <mergeCells count="2">
    <mergeCell ref="A12:C12"/>
    <mergeCell ref="A1:AQ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Q16"/>
  <sheetViews>
    <sheetView workbookViewId="0">
      <pane xSplit="3" ySplit="2" topLeftCell="D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2" customWidth="1" min="2" max="2"/>
    <col width="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</cols>
  <sheetData>
    <row r="1">
      <c r="A1" s="1" t="inlineStr">
        <is>
          <t>HISTOGRAMA DE MÃO DE OBRA — DEMANDA SEMANAL (PESSOAS)</t>
        </is>
      </c>
    </row>
    <row r="2">
      <c r="A2" s="2" t="inlineStr">
        <is>
          <t>Função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31/Mar</t>
        </is>
      </c>
      <c r="E2" s="2" t="inlineStr">
        <is>
          <t>07/Abr</t>
        </is>
      </c>
      <c r="F2" s="2" t="inlineStr">
        <is>
          <t>14/Abr</t>
        </is>
      </c>
      <c r="G2" s="2" t="inlineStr">
        <is>
          <t>21/Abr</t>
        </is>
      </c>
      <c r="H2" s="2" t="inlineStr">
        <is>
          <t>28/Abr</t>
        </is>
      </c>
      <c r="I2" s="2" t="inlineStr">
        <is>
          <t>05/Mai</t>
        </is>
      </c>
      <c r="J2" s="2" t="inlineStr">
        <is>
          <t>12/Mai</t>
        </is>
      </c>
      <c r="K2" s="2" t="inlineStr">
        <is>
          <t>19/Mai</t>
        </is>
      </c>
      <c r="L2" s="2" t="inlineStr">
        <is>
          <t>26/Mai</t>
        </is>
      </c>
      <c r="M2" s="2" t="inlineStr">
        <is>
          <t>02/Jun</t>
        </is>
      </c>
      <c r="N2" s="2" t="inlineStr">
        <is>
          <t>09/Jun</t>
        </is>
      </c>
      <c r="O2" s="2" t="inlineStr">
        <is>
          <t>16/Jun</t>
        </is>
      </c>
      <c r="P2" s="2" t="inlineStr">
        <is>
          <t>23/Jun</t>
        </is>
      </c>
      <c r="Q2" s="2" t="inlineStr">
        <is>
          <t>30/Jun</t>
        </is>
      </c>
      <c r="R2" s="2" t="inlineStr">
        <is>
          <t>07/Jul</t>
        </is>
      </c>
      <c r="S2" s="2" t="inlineStr">
        <is>
          <t>14/Jul</t>
        </is>
      </c>
      <c r="T2" s="2" t="inlineStr">
        <is>
          <t>21/Jul</t>
        </is>
      </c>
      <c r="U2" s="2" t="inlineStr">
        <is>
          <t>28/Jul</t>
        </is>
      </c>
      <c r="V2" s="2" t="inlineStr">
        <is>
          <t>04/Ago</t>
        </is>
      </c>
      <c r="W2" s="2" t="inlineStr">
        <is>
          <t>11/Ago</t>
        </is>
      </c>
      <c r="X2" s="2" t="inlineStr">
        <is>
          <t>18/Ago</t>
        </is>
      </c>
      <c r="Y2" s="2" t="inlineStr">
        <is>
          <t>25/Ago</t>
        </is>
      </c>
      <c r="Z2" s="2" t="inlineStr">
        <is>
          <t>01/Set</t>
        </is>
      </c>
      <c r="AA2" s="2" t="inlineStr">
        <is>
          <t>08/Set</t>
        </is>
      </c>
      <c r="AB2" s="2" t="inlineStr">
        <is>
          <t>15/Set</t>
        </is>
      </c>
      <c r="AC2" s="2" t="inlineStr">
        <is>
          <t>22/Set</t>
        </is>
      </c>
      <c r="AD2" s="2" t="inlineStr">
        <is>
          <t>29/Set</t>
        </is>
      </c>
      <c r="AE2" s="2" t="inlineStr">
        <is>
          <t>06/Out</t>
        </is>
      </c>
      <c r="AF2" s="2" t="inlineStr">
        <is>
          <t>13/Out</t>
        </is>
      </c>
      <c r="AG2" s="2" t="inlineStr">
        <is>
          <t>20/Out</t>
        </is>
      </c>
      <c r="AH2" s="2" t="inlineStr">
        <is>
          <t>27/Out</t>
        </is>
      </c>
      <c r="AI2" s="2" t="inlineStr">
        <is>
          <t>03/Nov</t>
        </is>
      </c>
      <c r="AJ2" s="2" t="inlineStr">
        <is>
          <t>10/Nov</t>
        </is>
      </c>
      <c r="AK2" s="2" t="inlineStr">
        <is>
          <t>17/Nov</t>
        </is>
      </c>
      <c r="AL2" s="2" t="inlineStr">
        <is>
          <t>24/Nov</t>
        </is>
      </c>
      <c r="AM2" s="2" t="inlineStr">
        <is>
          <t>01/Dez</t>
        </is>
      </c>
      <c r="AN2" s="2" t="inlineStr">
        <is>
          <t>08/Dez</t>
        </is>
      </c>
      <c r="AO2" s="2" t="inlineStr">
        <is>
          <t>15/Dez</t>
        </is>
      </c>
      <c r="AP2" s="2" t="inlineStr">
        <is>
          <t>22/Dez</t>
        </is>
      </c>
      <c r="AQ2" s="2" t="inlineStr">
        <is>
          <t>29/Dez</t>
        </is>
      </c>
    </row>
    <row r="3">
      <c r="A3" s="11" t="inlineStr">
        <is>
          <t>MO-AJUDANTE</t>
        </is>
      </c>
      <c r="B3" s="11" t="inlineStr">
        <is>
          <t>Ajudante</t>
        </is>
      </c>
      <c r="C3" s="18" t="inlineStr">
        <is>
          <t>pax</t>
        </is>
      </c>
      <c r="D3" s="57" t="n">
        <v>3</v>
      </c>
      <c r="E3" s="57" t="n">
        <v>3</v>
      </c>
      <c r="F3" s="57" t="n">
        <v>3</v>
      </c>
      <c r="G3" s="57" t="n">
        <v>3</v>
      </c>
      <c r="H3" s="57" t="n">
        <v>3</v>
      </c>
      <c r="I3" s="57" t="n">
        <v>3</v>
      </c>
      <c r="J3" s="57" t="n">
        <v>3</v>
      </c>
      <c r="K3" s="57" t="n">
        <v>3</v>
      </c>
      <c r="L3" s="57" t="n">
        <v>3</v>
      </c>
      <c r="M3" s="57" t="n">
        <v>3</v>
      </c>
      <c r="N3" s="57" t="n">
        <v>3</v>
      </c>
      <c r="O3" s="57" t="n">
        <v>3</v>
      </c>
      <c r="P3" s="57" t="n">
        <v>3</v>
      </c>
      <c r="Q3" s="57" t="n">
        <v>3</v>
      </c>
      <c r="R3" s="57" t="n">
        <v>3</v>
      </c>
      <c r="S3" s="57" t="n">
        <v>3</v>
      </c>
      <c r="T3" s="57" t="n">
        <v>3</v>
      </c>
      <c r="U3" s="57" t="n">
        <v>3</v>
      </c>
      <c r="V3" s="57" t="n">
        <v>3</v>
      </c>
      <c r="W3" s="57" t="n">
        <v>3</v>
      </c>
      <c r="X3" s="57" t="n">
        <v>3</v>
      </c>
      <c r="Y3" s="57" t="n">
        <v>3</v>
      </c>
      <c r="Z3" s="57" t="n">
        <v>3</v>
      </c>
      <c r="AA3" s="57" t="n">
        <v>3</v>
      </c>
      <c r="AB3" s="57" t="n">
        <v>3</v>
      </c>
      <c r="AC3" s="57" t="n">
        <v>3</v>
      </c>
      <c r="AD3" s="57" t="n">
        <v>3</v>
      </c>
      <c r="AE3" s="57" t="n">
        <v>3</v>
      </c>
      <c r="AF3" s="57" t="n">
        <v>3</v>
      </c>
      <c r="AG3" s="57" t="n">
        <v>3</v>
      </c>
      <c r="AH3" s="57" t="n">
        <v>3</v>
      </c>
      <c r="AI3" s="57" t="n">
        <v>3</v>
      </c>
      <c r="AJ3" s="57" t="n">
        <v>3</v>
      </c>
      <c r="AK3" s="57" t="n">
        <v>3</v>
      </c>
      <c r="AL3" s="57" t="n">
        <v>3</v>
      </c>
      <c r="AM3" s="57" t="n">
        <v>3</v>
      </c>
      <c r="AN3" s="57" t="n">
        <v>3</v>
      </c>
      <c r="AO3" s="57" t="n">
        <v>3</v>
      </c>
      <c r="AP3" s="57" t="n">
        <v>3</v>
      </c>
      <c r="AQ3" s="57" t="n">
        <v>3</v>
      </c>
    </row>
    <row r="4">
      <c r="A4" s="13" t="inlineStr">
        <is>
          <t>MO-ENCARREG-TERRA</t>
        </is>
      </c>
      <c r="B4" s="13" t="inlineStr">
        <is>
          <t>Encarregado de Terraplenagem</t>
        </is>
      </c>
      <c r="C4" s="27" t="inlineStr">
        <is>
          <t>pax</t>
        </is>
      </c>
      <c r="D4" s="65" t="n">
        <v>11</v>
      </c>
      <c r="E4" s="65" t="n">
        <v>11</v>
      </c>
      <c r="F4" s="65" t="n">
        <v>11</v>
      </c>
      <c r="G4" s="65" t="n">
        <v>11</v>
      </c>
      <c r="H4" s="65" t="n">
        <v>11</v>
      </c>
      <c r="I4" s="65" t="n">
        <v>11</v>
      </c>
      <c r="J4" s="65" t="n">
        <v>11</v>
      </c>
      <c r="K4" s="65" t="n">
        <v>11</v>
      </c>
      <c r="L4" s="65" t="n">
        <v>11</v>
      </c>
      <c r="M4" s="65" t="n">
        <v>11</v>
      </c>
      <c r="N4" s="65" t="n">
        <v>11</v>
      </c>
      <c r="O4" s="65" t="n">
        <v>11</v>
      </c>
      <c r="P4" s="65" t="n">
        <v>11</v>
      </c>
      <c r="Q4" s="65" t="n">
        <v>11</v>
      </c>
      <c r="R4" s="65" t="n">
        <v>11</v>
      </c>
      <c r="S4" s="65" t="n">
        <v>11</v>
      </c>
      <c r="T4" s="65" t="n">
        <v>11</v>
      </c>
      <c r="U4" s="65" t="n">
        <v>11</v>
      </c>
      <c r="V4" s="65" t="n">
        <v>11</v>
      </c>
      <c r="W4" s="65" t="n">
        <v>11</v>
      </c>
      <c r="X4" s="65" t="n">
        <v>11</v>
      </c>
      <c r="Y4" s="65" t="n">
        <v>11</v>
      </c>
      <c r="Z4" s="65" t="n">
        <v>11</v>
      </c>
      <c r="AA4" s="65" t="n">
        <v>11</v>
      </c>
      <c r="AB4" s="65" t="n">
        <v>11</v>
      </c>
      <c r="AC4" s="65" t="n">
        <v>11</v>
      </c>
      <c r="AD4" s="65" t="n">
        <v>11</v>
      </c>
      <c r="AE4" s="65" t="n">
        <v>11</v>
      </c>
      <c r="AF4" s="65" t="n">
        <v>11</v>
      </c>
      <c r="AG4" s="65" t="n">
        <v>11</v>
      </c>
      <c r="AH4" s="65" t="n">
        <v>11</v>
      </c>
      <c r="AI4" s="65" t="n">
        <v>11</v>
      </c>
      <c r="AJ4" s="65" t="n">
        <v>11</v>
      </c>
      <c r="AK4" s="65" t="n">
        <v>11</v>
      </c>
      <c r="AL4" s="65" t="n">
        <v>11</v>
      </c>
      <c r="AM4" s="65" t="n">
        <v>11</v>
      </c>
      <c r="AN4" s="65" t="n">
        <v>11</v>
      </c>
      <c r="AO4" s="65" t="n">
        <v>11</v>
      </c>
      <c r="AP4" s="65" t="n">
        <v>11</v>
      </c>
      <c r="AQ4" s="65" t="n">
        <v>11</v>
      </c>
    </row>
    <row r="5">
      <c r="A5" s="11" t="inlineStr">
        <is>
          <t>MO-MOTOR-CAM-BASC</t>
        </is>
      </c>
      <c r="B5" s="11" t="inlineStr">
        <is>
          <t>Motorista de Caminhão Basculante</t>
        </is>
      </c>
      <c r="C5" s="18" t="inlineStr">
        <is>
          <t>pax</t>
        </is>
      </c>
      <c r="D5" s="57" t="n">
        <v>24</v>
      </c>
      <c r="E5" s="57" t="n">
        <v>24</v>
      </c>
      <c r="F5" s="57" t="n">
        <v>24</v>
      </c>
      <c r="G5" s="57" t="n">
        <v>24</v>
      </c>
      <c r="H5" s="57" t="n">
        <v>24</v>
      </c>
      <c r="I5" s="57" t="n">
        <v>24</v>
      </c>
      <c r="J5" s="57" t="n">
        <v>24</v>
      </c>
      <c r="K5" s="57" t="n">
        <v>24</v>
      </c>
      <c r="L5" s="57" t="n">
        <v>24</v>
      </c>
      <c r="M5" s="57" t="n">
        <v>24</v>
      </c>
      <c r="N5" s="57" t="n">
        <v>24</v>
      </c>
      <c r="O5" s="57" t="n">
        <v>24</v>
      </c>
      <c r="P5" s="57" t="n">
        <v>24</v>
      </c>
      <c r="Q5" s="57" t="n">
        <v>24</v>
      </c>
      <c r="R5" s="57" t="n">
        <v>24</v>
      </c>
      <c r="S5" s="57" t="n">
        <v>24</v>
      </c>
      <c r="T5" s="57" t="n">
        <v>24</v>
      </c>
      <c r="U5" s="57" t="n">
        <v>24</v>
      </c>
      <c r="V5" s="57" t="n">
        <v>24</v>
      </c>
      <c r="W5" s="57" t="n">
        <v>24</v>
      </c>
      <c r="X5" s="57" t="n">
        <v>24</v>
      </c>
      <c r="Y5" s="57" t="n">
        <v>24</v>
      </c>
      <c r="Z5" s="57" t="n">
        <v>24</v>
      </c>
      <c r="AA5" s="57" t="n">
        <v>24</v>
      </c>
      <c r="AB5" s="57" t="n">
        <v>24</v>
      </c>
      <c r="AC5" s="57" t="n">
        <v>24</v>
      </c>
      <c r="AD5" s="57" t="n">
        <v>24</v>
      </c>
      <c r="AE5" s="57" t="n">
        <v>24</v>
      </c>
      <c r="AF5" s="57" t="n">
        <v>24</v>
      </c>
      <c r="AG5" s="57" t="n">
        <v>24</v>
      </c>
      <c r="AH5" s="57" t="n">
        <v>24</v>
      </c>
      <c r="AI5" s="57" t="n">
        <v>24</v>
      </c>
      <c r="AJ5" s="57" t="n">
        <v>24</v>
      </c>
      <c r="AK5" s="57" t="n">
        <v>24</v>
      </c>
      <c r="AL5" s="57" t="n">
        <v>24</v>
      </c>
      <c r="AM5" s="57" t="n">
        <v>24</v>
      </c>
      <c r="AN5" s="57" t="n">
        <v>24</v>
      </c>
      <c r="AO5" s="57" t="n">
        <v>24</v>
      </c>
      <c r="AP5" s="57" t="n">
        <v>24</v>
      </c>
      <c r="AQ5" s="57" t="n">
        <v>24</v>
      </c>
    </row>
    <row r="6">
      <c r="A6" s="13" t="inlineStr">
        <is>
          <t>MO-MOTOR-CAM-PIPA</t>
        </is>
      </c>
      <c r="B6" s="13" t="inlineStr">
        <is>
          <t>Motorista de Caminhão Pipa</t>
        </is>
      </c>
      <c r="C6" s="27" t="inlineStr">
        <is>
          <t>pax</t>
        </is>
      </c>
      <c r="D6" s="65" t="n">
        <v>5</v>
      </c>
      <c r="E6" s="65" t="n">
        <v>5</v>
      </c>
      <c r="F6" s="65" t="n">
        <v>5</v>
      </c>
      <c r="G6" s="65" t="n">
        <v>5</v>
      </c>
      <c r="H6" s="65" t="n">
        <v>5</v>
      </c>
      <c r="I6" s="65" t="n">
        <v>5</v>
      </c>
      <c r="J6" s="65" t="n">
        <v>5</v>
      </c>
      <c r="K6" s="65" t="n">
        <v>5</v>
      </c>
      <c r="L6" s="65" t="n">
        <v>5</v>
      </c>
      <c r="M6" s="65" t="n">
        <v>5</v>
      </c>
      <c r="N6" s="65" t="n">
        <v>5</v>
      </c>
      <c r="O6" s="65" t="n">
        <v>5</v>
      </c>
      <c r="P6" s="65" t="n">
        <v>5</v>
      </c>
      <c r="Q6" s="65" t="n">
        <v>5</v>
      </c>
      <c r="R6" s="65" t="n">
        <v>5</v>
      </c>
      <c r="S6" s="65" t="n">
        <v>5</v>
      </c>
      <c r="T6" s="65" t="n">
        <v>5</v>
      </c>
      <c r="U6" s="65" t="n">
        <v>5</v>
      </c>
      <c r="V6" s="65" t="n">
        <v>5</v>
      </c>
      <c r="W6" s="65" t="n">
        <v>5</v>
      </c>
      <c r="X6" s="65" t="n">
        <v>5</v>
      </c>
      <c r="Y6" s="65" t="n">
        <v>5</v>
      </c>
      <c r="Z6" s="65" t="n">
        <v>5</v>
      </c>
      <c r="AA6" s="65" t="n">
        <v>5</v>
      </c>
      <c r="AB6" s="65" t="n">
        <v>5</v>
      </c>
      <c r="AC6" s="65" t="n">
        <v>5</v>
      </c>
      <c r="AD6" s="65" t="n">
        <v>5</v>
      </c>
      <c r="AE6" s="65" t="n">
        <v>5</v>
      </c>
      <c r="AF6" s="65" t="n">
        <v>5</v>
      </c>
      <c r="AG6" s="65" t="n">
        <v>5</v>
      </c>
      <c r="AH6" s="65" t="n">
        <v>5</v>
      </c>
      <c r="AI6" s="65" t="n">
        <v>5</v>
      </c>
      <c r="AJ6" s="65" t="n">
        <v>5</v>
      </c>
      <c r="AK6" s="65" t="n">
        <v>5</v>
      </c>
      <c r="AL6" s="65" t="n">
        <v>5</v>
      </c>
      <c r="AM6" s="65" t="n">
        <v>5</v>
      </c>
      <c r="AN6" s="65" t="n">
        <v>5</v>
      </c>
      <c r="AO6" s="65" t="n">
        <v>5</v>
      </c>
      <c r="AP6" s="65" t="n">
        <v>5</v>
      </c>
      <c r="AQ6" s="65" t="n">
        <v>5</v>
      </c>
    </row>
    <row r="7">
      <c r="A7" s="11" t="inlineStr">
        <is>
          <t>MO-OPER-ESCAV</t>
        </is>
      </c>
      <c r="B7" s="11" t="inlineStr">
        <is>
          <t>Operador de Escavadeira</t>
        </is>
      </c>
      <c r="C7" s="18" t="inlineStr">
        <is>
          <t>pax</t>
        </is>
      </c>
      <c r="D7" s="57" t="n">
        <v>7</v>
      </c>
      <c r="E7" s="57" t="n">
        <v>7</v>
      </c>
      <c r="F7" s="57" t="n">
        <v>7</v>
      </c>
      <c r="G7" s="57" t="n">
        <v>7</v>
      </c>
      <c r="H7" s="57" t="n">
        <v>7</v>
      </c>
      <c r="I7" s="57" t="n">
        <v>7</v>
      </c>
      <c r="J7" s="57" t="n">
        <v>7</v>
      </c>
      <c r="K7" s="57" t="n">
        <v>7</v>
      </c>
      <c r="L7" s="57" t="n">
        <v>7</v>
      </c>
      <c r="M7" s="57" t="n">
        <v>7</v>
      </c>
      <c r="N7" s="57" t="n">
        <v>7</v>
      </c>
      <c r="O7" s="57" t="n">
        <v>7</v>
      </c>
      <c r="P7" s="57" t="n">
        <v>7</v>
      </c>
      <c r="Q7" s="57" t="n">
        <v>7</v>
      </c>
      <c r="R7" s="57" t="n">
        <v>7</v>
      </c>
      <c r="S7" s="57" t="n">
        <v>7</v>
      </c>
      <c r="T7" s="57" t="n">
        <v>7</v>
      </c>
      <c r="U7" s="57" t="n">
        <v>7</v>
      </c>
      <c r="V7" s="57" t="n">
        <v>7</v>
      </c>
      <c r="W7" s="57" t="n">
        <v>7</v>
      </c>
      <c r="X7" s="57" t="n">
        <v>7</v>
      </c>
      <c r="Y7" s="57" t="n">
        <v>7</v>
      </c>
      <c r="Z7" s="57" t="n">
        <v>7</v>
      </c>
      <c r="AA7" s="57" t="n">
        <v>7</v>
      </c>
      <c r="AB7" s="57" t="n">
        <v>7</v>
      </c>
      <c r="AC7" s="57" t="n">
        <v>7</v>
      </c>
      <c r="AD7" s="57" t="n">
        <v>7</v>
      </c>
      <c r="AE7" s="57" t="n">
        <v>7</v>
      </c>
      <c r="AF7" s="57" t="n">
        <v>7</v>
      </c>
      <c r="AG7" s="57" t="n">
        <v>7</v>
      </c>
      <c r="AH7" s="57" t="n">
        <v>7</v>
      </c>
      <c r="AI7" s="57" t="n">
        <v>7</v>
      </c>
      <c r="AJ7" s="57" t="n">
        <v>7</v>
      </c>
      <c r="AK7" s="57" t="n">
        <v>7</v>
      </c>
      <c r="AL7" s="57" t="n">
        <v>7</v>
      </c>
      <c r="AM7" s="57" t="n">
        <v>7</v>
      </c>
      <c r="AN7" s="57" t="n">
        <v>7</v>
      </c>
      <c r="AO7" s="57" t="n">
        <v>7</v>
      </c>
      <c r="AP7" s="57" t="n">
        <v>7</v>
      </c>
      <c r="AQ7" s="57" t="n">
        <v>7</v>
      </c>
    </row>
    <row r="8">
      <c r="A8" s="13" t="inlineStr">
        <is>
          <t>MO-OPER-MOTO</t>
        </is>
      </c>
      <c r="B8" s="13" t="inlineStr">
        <is>
          <t>Operador de Motoniveladora</t>
        </is>
      </c>
      <c r="C8" s="27" t="inlineStr">
        <is>
          <t>pax</t>
        </is>
      </c>
      <c r="D8" s="65" t="n">
        <v>5</v>
      </c>
      <c r="E8" s="65" t="n">
        <v>5</v>
      </c>
      <c r="F8" s="65" t="n">
        <v>5</v>
      </c>
      <c r="G8" s="65" t="n">
        <v>5</v>
      </c>
      <c r="H8" s="65" t="n">
        <v>5</v>
      </c>
      <c r="I8" s="65" t="n">
        <v>5</v>
      </c>
      <c r="J8" s="65" t="n">
        <v>5</v>
      </c>
      <c r="K8" s="65" t="n">
        <v>5</v>
      </c>
      <c r="L8" s="65" t="n">
        <v>5</v>
      </c>
      <c r="M8" s="65" t="n">
        <v>5</v>
      </c>
      <c r="N8" s="65" t="n">
        <v>5</v>
      </c>
      <c r="O8" s="65" t="n">
        <v>5</v>
      </c>
      <c r="P8" s="65" t="n">
        <v>5</v>
      </c>
      <c r="Q8" s="65" t="n">
        <v>5</v>
      </c>
      <c r="R8" s="65" t="n">
        <v>5</v>
      </c>
      <c r="S8" s="65" t="n">
        <v>5</v>
      </c>
      <c r="T8" s="65" t="n">
        <v>5</v>
      </c>
      <c r="U8" s="65" t="n">
        <v>5</v>
      </c>
      <c r="V8" s="65" t="n">
        <v>5</v>
      </c>
      <c r="W8" s="65" t="n">
        <v>5</v>
      </c>
      <c r="X8" s="65" t="n">
        <v>5</v>
      </c>
      <c r="Y8" s="65" t="n">
        <v>5</v>
      </c>
      <c r="Z8" s="65" t="n">
        <v>5</v>
      </c>
      <c r="AA8" s="65" t="n">
        <v>5</v>
      </c>
      <c r="AB8" s="65" t="n">
        <v>5</v>
      </c>
      <c r="AC8" s="65" t="n">
        <v>5</v>
      </c>
      <c r="AD8" s="65" t="n">
        <v>5</v>
      </c>
      <c r="AE8" s="65" t="n">
        <v>5</v>
      </c>
      <c r="AF8" s="65" t="n">
        <v>5</v>
      </c>
      <c r="AG8" s="65" t="n">
        <v>5</v>
      </c>
      <c r="AH8" s="65" t="n">
        <v>5</v>
      </c>
      <c r="AI8" s="65" t="n">
        <v>5</v>
      </c>
      <c r="AJ8" s="65" t="n">
        <v>5</v>
      </c>
      <c r="AK8" s="65" t="n">
        <v>5</v>
      </c>
      <c r="AL8" s="65" t="n">
        <v>5</v>
      </c>
      <c r="AM8" s="65" t="n">
        <v>5</v>
      </c>
      <c r="AN8" s="65" t="n">
        <v>5</v>
      </c>
      <c r="AO8" s="65" t="n">
        <v>5</v>
      </c>
      <c r="AP8" s="65" t="n">
        <v>5</v>
      </c>
      <c r="AQ8" s="65" t="n">
        <v>5</v>
      </c>
    </row>
    <row r="9">
      <c r="A9" s="11" t="inlineStr">
        <is>
          <t>MO-OPER-ROLO-COMP</t>
        </is>
      </c>
      <c r="B9" s="11" t="inlineStr">
        <is>
          <t>Operador de Rolo Compactador</t>
        </is>
      </c>
      <c r="C9" s="18" t="inlineStr">
        <is>
          <t>pax</t>
        </is>
      </c>
      <c r="D9" s="57" t="n">
        <v>10</v>
      </c>
      <c r="E9" s="57" t="n">
        <v>10</v>
      </c>
      <c r="F9" s="57" t="n">
        <v>10</v>
      </c>
      <c r="G9" s="57" t="n">
        <v>10</v>
      </c>
      <c r="H9" s="57" t="n">
        <v>10</v>
      </c>
      <c r="I9" s="57" t="n">
        <v>10</v>
      </c>
      <c r="J9" s="57" t="n">
        <v>10</v>
      </c>
      <c r="K9" s="57" t="n">
        <v>10</v>
      </c>
      <c r="L9" s="57" t="n">
        <v>10</v>
      </c>
      <c r="M9" s="57" t="n">
        <v>10</v>
      </c>
      <c r="N9" s="57" t="n">
        <v>10</v>
      </c>
      <c r="O9" s="57" t="n">
        <v>10</v>
      </c>
      <c r="P9" s="57" t="n">
        <v>10</v>
      </c>
      <c r="Q9" s="57" t="n">
        <v>10</v>
      </c>
      <c r="R9" s="57" t="n">
        <v>10</v>
      </c>
      <c r="S9" s="57" t="n">
        <v>10</v>
      </c>
      <c r="T9" s="57" t="n">
        <v>10</v>
      </c>
      <c r="U9" s="57" t="n">
        <v>10</v>
      </c>
      <c r="V9" s="57" t="n">
        <v>10</v>
      </c>
      <c r="W9" s="57" t="n">
        <v>10</v>
      </c>
      <c r="X9" s="57" t="n">
        <v>10</v>
      </c>
      <c r="Y9" s="57" t="n">
        <v>10</v>
      </c>
      <c r="Z9" s="57" t="n">
        <v>10</v>
      </c>
      <c r="AA9" s="57" t="n">
        <v>10</v>
      </c>
      <c r="AB9" s="57" t="n">
        <v>10</v>
      </c>
      <c r="AC9" s="57" t="n">
        <v>10</v>
      </c>
      <c r="AD9" s="57" t="n">
        <v>10</v>
      </c>
      <c r="AE9" s="57" t="n">
        <v>10</v>
      </c>
      <c r="AF9" s="57" t="n">
        <v>10</v>
      </c>
      <c r="AG9" s="57" t="n">
        <v>10</v>
      </c>
      <c r="AH9" s="57" t="n">
        <v>10</v>
      </c>
      <c r="AI9" s="57" t="n">
        <v>10</v>
      </c>
      <c r="AJ9" s="57" t="n">
        <v>10</v>
      </c>
      <c r="AK9" s="57" t="n">
        <v>10</v>
      </c>
      <c r="AL9" s="57" t="n">
        <v>10</v>
      </c>
      <c r="AM9" s="57" t="n">
        <v>10</v>
      </c>
      <c r="AN9" s="57" t="n">
        <v>10</v>
      </c>
      <c r="AO9" s="57" t="n">
        <v>10</v>
      </c>
      <c r="AP9" s="57" t="n">
        <v>10</v>
      </c>
      <c r="AQ9" s="57" t="n">
        <v>10</v>
      </c>
    </row>
    <row r="10">
      <c r="A10" s="13" t="inlineStr">
        <is>
          <t>MO-OPER-TRATOR-EST</t>
        </is>
      </c>
      <c r="B10" s="13" t="inlineStr">
        <is>
          <t>Operador de Trator de Esteiras</t>
        </is>
      </c>
      <c r="C10" s="27" t="inlineStr">
        <is>
          <t>pax</t>
        </is>
      </c>
      <c r="D10" s="65" t="n">
        <v>1</v>
      </c>
      <c r="E10" s="65" t="n">
        <v>1</v>
      </c>
      <c r="F10" s="65" t="n">
        <v>1</v>
      </c>
      <c r="G10" s="65" t="n">
        <v>1</v>
      </c>
      <c r="H10" s="65" t="n">
        <v>1</v>
      </c>
      <c r="I10" s="65" t="n">
        <v>1</v>
      </c>
      <c r="J10" s="65" t="n">
        <v>1</v>
      </c>
      <c r="K10" s="65" t="n">
        <v>1</v>
      </c>
      <c r="L10" s="65" t="n">
        <v>1</v>
      </c>
      <c r="M10" s="65" t="n">
        <v>1</v>
      </c>
      <c r="N10" s="65" t="n">
        <v>1</v>
      </c>
      <c r="O10" s="65" t="n">
        <v>1</v>
      </c>
      <c r="P10" s="65" t="n">
        <v>1</v>
      </c>
      <c r="Q10" s="65" t="n">
        <v>1</v>
      </c>
      <c r="R10" s="65" t="n">
        <v>1</v>
      </c>
      <c r="S10" s="65" t="n">
        <v>1</v>
      </c>
      <c r="T10" s="65" t="n">
        <v>1</v>
      </c>
      <c r="U10" s="65" t="n">
        <v>1</v>
      </c>
      <c r="V10" s="65" t="n">
        <v>1</v>
      </c>
      <c r="W10" s="65" t="n">
        <v>1</v>
      </c>
      <c r="X10" s="65" t="n">
        <v>1</v>
      </c>
      <c r="Y10" s="65" t="n">
        <v>1</v>
      </c>
      <c r="Z10" s="65" t="n">
        <v>1</v>
      </c>
      <c r="AA10" s="65" t="n">
        <v>1</v>
      </c>
      <c r="AB10" s="65" t="n">
        <v>1</v>
      </c>
      <c r="AC10" s="65" t="n">
        <v>1</v>
      </c>
      <c r="AD10" s="65" t="n">
        <v>1</v>
      </c>
      <c r="AE10" s="65" t="n">
        <v>1</v>
      </c>
      <c r="AF10" s="65" t="n">
        <v>1</v>
      </c>
      <c r="AG10" s="65" t="n">
        <v>1</v>
      </c>
      <c r="AH10" s="65" t="n">
        <v>1</v>
      </c>
      <c r="AI10" s="65" t="n">
        <v>1</v>
      </c>
      <c r="AJ10" s="65" t="n">
        <v>1</v>
      </c>
      <c r="AK10" s="65" t="n">
        <v>1</v>
      </c>
      <c r="AL10" s="65" t="n">
        <v>1</v>
      </c>
      <c r="AM10" s="65" t="n">
        <v>1</v>
      </c>
      <c r="AN10" s="65" t="n">
        <v>1</v>
      </c>
      <c r="AO10" s="65" t="n">
        <v>1</v>
      </c>
      <c r="AP10" s="65" t="n">
        <v>1</v>
      </c>
      <c r="AQ10" s="65" t="n">
        <v>1</v>
      </c>
    </row>
    <row r="11">
      <c r="A11" s="11" t="inlineStr">
        <is>
          <t>P0001</t>
        </is>
      </c>
      <c r="B11" s="11" t="inlineStr">
        <is>
          <t>Ajudante</t>
        </is>
      </c>
      <c r="C11" s="18" t="inlineStr">
        <is>
          <t>pax</t>
        </is>
      </c>
      <c r="D11" s="57" t="n">
        <v>1</v>
      </c>
      <c r="E11" s="57" t="n">
        <v>1</v>
      </c>
      <c r="F11" s="57" t="n">
        <v>1</v>
      </c>
      <c r="G11" s="57" t="n">
        <v>1</v>
      </c>
      <c r="H11" s="57" t="n">
        <v>1</v>
      </c>
      <c r="I11" s="57" t="n">
        <v>1</v>
      </c>
      <c r="J11" s="57" t="n">
        <v>1</v>
      </c>
      <c r="K11" s="57" t="n">
        <v>1</v>
      </c>
      <c r="L11" s="57" t="n">
        <v>1</v>
      </c>
      <c r="M11" s="57" t="n">
        <v>1</v>
      </c>
      <c r="N11" s="57" t="n">
        <v>1</v>
      </c>
      <c r="O11" s="57" t="n">
        <v>1</v>
      </c>
      <c r="P11" s="57" t="n">
        <v>1</v>
      </c>
      <c r="Q11" s="57" t="n">
        <v>1</v>
      </c>
      <c r="R11" s="57" t="n">
        <v>1</v>
      </c>
      <c r="S11" s="57" t="n">
        <v>1</v>
      </c>
      <c r="T11" s="57" t="n">
        <v>1</v>
      </c>
      <c r="U11" s="57" t="n">
        <v>1</v>
      </c>
      <c r="V11" s="57" t="n">
        <v>1</v>
      </c>
      <c r="W11" s="57" t="n">
        <v>1</v>
      </c>
      <c r="X11" s="57" t="n">
        <v>1</v>
      </c>
      <c r="Y11" s="57" t="n">
        <v>1</v>
      </c>
      <c r="Z11" s="57" t="n">
        <v>1</v>
      </c>
      <c r="AA11" s="57" t="n">
        <v>1</v>
      </c>
      <c r="AB11" s="57" t="n">
        <v>1</v>
      </c>
      <c r="AC11" s="57" t="n">
        <v>1</v>
      </c>
      <c r="AD11" s="57" t="n">
        <v>1</v>
      </c>
      <c r="AE11" s="57" t="n">
        <v>1</v>
      </c>
      <c r="AF11" s="57" t="n">
        <v>1</v>
      </c>
      <c r="AG11" s="57" t="n">
        <v>1</v>
      </c>
      <c r="AH11" s="57" t="n">
        <v>1</v>
      </c>
      <c r="AI11" s="57" t="n">
        <v>1</v>
      </c>
      <c r="AJ11" s="57" t="n">
        <v>1</v>
      </c>
      <c r="AK11" s="57" t="n">
        <v>1</v>
      </c>
      <c r="AL11" s="57" t="n">
        <v>1</v>
      </c>
      <c r="AM11" s="57" t="n">
        <v>1</v>
      </c>
      <c r="AN11" s="57" t="n">
        <v>1</v>
      </c>
      <c r="AO11" s="57" t="n">
        <v>1</v>
      </c>
      <c r="AP11" s="57" t="n">
        <v>1</v>
      </c>
      <c r="AQ11" s="57" t="n">
        <v>1</v>
      </c>
    </row>
    <row r="12">
      <c r="A12" s="13" t="inlineStr">
        <is>
          <t>P0032</t>
        </is>
      </c>
      <c r="B12" s="13" t="inlineStr">
        <is>
          <t>Motorista de Caminhão Basculante</t>
        </is>
      </c>
      <c r="C12" s="27" t="inlineStr">
        <is>
          <t>pax</t>
        </is>
      </c>
      <c r="D12" s="65" t="n">
        <v>7</v>
      </c>
      <c r="E12" s="65" t="n">
        <v>7</v>
      </c>
      <c r="F12" s="65" t="n">
        <v>7</v>
      </c>
      <c r="G12" s="65" t="n">
        <v>7</v>
      </c>
      <c r="H12" s="65" t="n">
        <v>7</v>
      </c>
      <c r="I12" s="65" t="n">
        <v>7</v>
      </c>
      <c r="J12" s="65" t="n">
        <v>7</v>
      </c>
      <c r="K12" s="65" t="n">
        <v>7</v>
      </c>
      <c r="L12" s="65" t="n">
        <v>7</v>
      </c>
      <c r="M12" s="65" t="n">
        <v>7</v>
      </c>
      <c r="N12" s="65" t="n">
        <v>7</v>
      </c>
      <c r="O12" s="65" t="n">
        <v>7</v>
      </c>
      <c r="P12" s="65" t="n">
        <v>7</v>
      </c>
      <c r="Q12" s="65" t="n">
        <v>7</v>
      </c>
      <c r="R12" s="65" t="n">
        <v>7</v>
      </c>
      <c r="S12" s="65" t="n">
        <v>7</v>
      </c>
      <c r="T12" s="65" t="n">
        <v>7</v>
      </c>
      <c r="U12" s="65" t="n">
        <v>7</v>
      </c>
      <c r="V12" s="65" t="n">
        <v>7</v>
      </c>
      <c r="W12" s="65" t="n">
        <v>7</v>
      </c>
      <c r="X12" s="65" t="n">
        <v>7</v>
      </c>
      <c r="Y12" s="65" t="n">
        <v>7</v>
      </c>
      <c r="Z12" s="65" t="n">
        <v>7</v>
      </c>
      <c r="AA12" s="65" t="n">
        <v>7</v>
      </c>
      <c r="AB12" s="65" t="n">
        <v>7</v>
      </c>
      <c r="AC12" s="65" t="n">
        <v>7</v>
      </c>
      <c r="AD12" s="65" t="n">
        <v>7</v>
      </c>
      <c r="AE12" s="65" t="n">
        <v>7</v>
      </c>
      <c r="AF12" s="65" t="n">
        <v>7</v>
      </c>
      <c r="AG12" s="65" t="n">
        <v>7</v>
      </c>
      <c r="AH12" s="65" t="n">
        <v>7</v>
      </c>
      <c r="AI12" s="65" t="n">
        <v>7</v>
      </c>
      <c r="AJ12" s="65" t="n">
        <v>7</v>
      </c>
      <c r="AK12" s="65" t="n">
        <v>7</v>
      </c>
      <c r="AL12" s="65" t="n">
        <v>7</v>
      </c>
      <c r="AM12" s="65" t="n">
        <v>7</v>
      </c>
      <c r="AN12" s="65" t="n">
        <v>7</v>
      </c>
      <c r="AO12" s="65" t="n">
        <v>7</v>
      </c>
      <c r="AP12" s="65" t="n">
        <v>7</v>
      </c>
      <c r="AQ12" s="65" t="n">
        <v>7</v>
      </c>
    </row>
    <row r="13">
      <c r="A13" s="11" t="inlineStr">
        <is>
          <t>P0040</t>
        </is>
      </c>
      <c r="B13" s="11" t="inlineStr">
        <is>
          <t>Operador de Escavadeira</t>
        </is>
      </c>
      <c r="C13" s="18" t="inlineStr">
        <is>
          <t>pax</t>
        </is>
      </c>
      <c r="D13" s="57" t="n">
        <v>1</v>
      </c>
      <c r="E13" s="57" t="n">
        <v>1</v>
      </c>
      <c r="F13" s="57" t="n">
        <v>1</v>
      </c>
      <c r="G13" s="57" t="n">
        <v>1</v>
      </c>
      <c r="H13" s="57" t="n">
        <v>1</v>
      </c>
      <c r="I13" s="57" t="n">
        <v>1</v>
      </c>
      <c r="J13" s="57" t="n">
        <v>1</v>
      </c>
      <c r="K13" s="57" t="n">
        <v>1</v>
      </c>
      <c r="L13" s="57" t="n">
        <v>1</v>
      </c>
      <c r="M13" s="57" t="n">
        <v>1</v>
      </c>
      <c r="N13" s="57" t="n">
        <v>1</v>
      </c>
      <c r="O13" s="57" t="n">
        <v>1</v>
      </c>
      <c r="P13" s="57" t="n">
        <v>1</v>
      </c>
      <c r="Q13" s="57" t="n">
        <v>1</v>
      </c>
      <c r="R13" s="57" t="n">
        <v>1</v>
      </c>
      <c r="S13" s="57" t="n">
        <v>1</v>
      </c>
      <c r="T13" s="57" t="n">
        <v>1</v>
      </c>
      <c r="U13" s="57" t="n">
        <v>1</v>
      </c>
      <c r="V13" s="57" t="n">
        <v>1</v>
      </c>
      <c r="W13" s="57" t="n">
        <v>1</v>
      </c>
      <c r="X13" s="57" t="n">
        <v>1</v>
      </c>
      <c r="Y13" s="57" t="n">
        <v>1</v>
      </c>
      <c r="Z13" s="57" t="n">
        <v>1</v>
      </c>
      <c r="AA13" s="57" t="n">
        <v>1</v>
      </c>
      <c r="AB13" s="57" t="n">
        <v>1</v>
      </c>
      <c r="AC13" s="57" t="n">
        <v>1</v>
      </c>
      <c r="AD13" s="57" t="n">
        <v>1</v>
      </c>
      <c r="AE13" s="57" t="n">
        <v>1</v>
      </c>
      <c r="AF13" s="57" t="n">
        <v>1</v>
      </c>
      <c r="AG13" s="57" t="n">
        <v>1</v>
      </c>
      <c r="AH13" s="57" t="n">
        <v>1</v>
      </c>
      <c r="AI13" s="57" t="n">
        <v>1</v>
      </c>
      <c r="AJ13" s="57" t="n">
        <v>1</v>
      </c>
      <c r="AK13" s="57" t="n">
        <v>1</v>
      </c>
      <c r="AL13" s="57" t="n">
        <v>1</v>
      </c>
      <c r="AM13" s="57" t="n">
        <v>1</v>
      </c>
      <c r="AN13" s="57" t="n">
        <v>1</v>
      </c>
      <c r="AO13" s="57" t="n">
        <v>1</v>
      </c>
      <c r="AP13" s="57" t="n">
        <v>1</v>
      </c>
      <c r="AQ13" s="57" t="n">
        <v>1</v>
      </c>
    </row>
    <row r="14">
      <c r="A14" s="13" t="inlineStr">
        <is>
          <t>P0065</t>
        </is>
      </c>
      <c r="B14" s="13" t="inlineStr">
        <is>
          <t>Encarregado de Frente</t>
        </is>
      </c>
      <c r="C14" s="27" t="inlineStr">
        <is>
          <t>pax</t>
        </is>
      </c>
      <c r="D14" s="65" t="n">
        <v>1</v>
      </c>
      <c r="E14" s="65" t="n">
        <v>1</v>
      </c>
      <c r="F14" s="65" t="n">
        <v>1</v>
      </c>
      <c r="G14" s="65" t="n">
        <v>1</v>
      </c>
      <c r="H14" s="65" t="n">
        <v>1</v>
      </c>
      <c r="I14" s="65" t="n">
        <v>1</v>
      </c>
      <c r="J14" s="65" t="n">
        <v>1</v>
      </c>
      <c r="K14" s="65" t="n">
        <v>1</v>
      </c>
      <c r="L14" s="65" t="n">
        <v>1</v>
      </c>
      <c r="M14" s="65" t="n">
        <v>1</v>
      </c>
      <c r="N14" s="65" t="n">
        <v>1</v>
      </c>
      <c r="O14" s="65" t="n">
        <v>1</v>
      </c>
      <c r="P14" s="65" t="n">
        <v>1</v>
      </c>
      <c r="Q14" s="65" t="n">
        <v>1</v>
      </c>
      <c r="R14" s="65" t="n">
        <v>1</v>
      </c>
      <c r="S14" s="65" t="n">
        <v>1</v>
      </c>
      <c r="T14" s="65" t="n">
        <v>1</v>
      </c>
      <c r="U14" s="65" t="n">
        <v>1</v>
      </c>
      <c r="V14" s="65" t="n">
        <v>1</v>
      </c>
      <c r="W14" s="65" t="n">
        <v>1</v>
      </c>
      <c r="X14" s="65" t="n">
        <v>1</v>
      </c>
      <c r="Y14" s="65" t="n">
        <v>1</v>
      </c>
      <c r="Z14" s="65" t="n">
        <v>1</v>
      </c>
      <c r="AA14" s="65" t="n">
        <v>1</v>
      </c>
      <c r="AB14" s="65" t="n">
        <v>1</v>
      </c>
      <c r="AC14" s="65" t="n">
        <v>1</v>
      </c>
      <c r="AD14" s="65" t="n">
        <v>1</v>
      </c>
      <c r="AE14" s="65" t="n">
        <v>1</v>
      </c>
      <c r="AF14" s="65" t="n">
        <v>1</v>
      </c>
      <c r="AG14" s="65" t="n">
        <v>1</v>
      </c>
      <c r="AH14" s="65" t="n">
        <v>1</v>
      </c>
      <c r="AI14" s="65" t="n">
        <v>1</v>
      </c>
      <c r="AJ14" s="65" t="n">
        <v>1</v>
      </c>
      <c r="AK14" s="65" t="n">
        <v>1</v>
      </c>
      <c r="AL14" s="65" t="n">
        <v>1</v>
      </c>
      <c r="AM14" s="65" t="n">
        <v>1</v>
      </c>
      <c r="AN14" s="65" t="n">
        <v>1</v>
      </c>
      <c r="AO14" s="65" t="n">
        <v>1</v>
      </c>
      <c r="AP14" s="65" t="n">
        <v>1</v>
      </c>
      <c r="AQ14" s="65" t="n">
        <v>1</v>
      </c>
    </row>
    <row r="16">
      <c r="A16" s="95" t="inlineStr">
        <is>
          <t>TOTAL SEMANAL</t>
        </is>
      </c>
      <c r="D16" s="96" t="n">
        <v>76</v>
      </c>
      <c r="E16" s="96" t="n">
        <v>76</v>
      </c>
      <c r="F16" s="96" t="n">
        <v>76</v>
      </c>
      <c r="G16" s="96" t="n">
        <v>76</v>
      </c>
      <c r="H16" s="96" t="n">
        <v>76</v>
      </c>
      <c r="I16" s="96" t="n">
        <v>76</v>
      </c>
      <c r="J16" s="96" t="n">
        <v>76</v>
      </c>
      <c r="K16" s="96" t="n">
        <v>76</v>
      </c>
      <c r="L16" s="96" t="n">
        <v>76</v>
      </c>
      <c r="M16" s="96" t="n">
        <v>76</v>
      </c>
      <c r="N16" s="96" t="n">
        <v>76</v>
      </c>
      <c r="O16" s="96" t="n">
        <v>76</v>
      </c>
      <c r="P16" s="96" t="n">
        <v>76</v>
      </c>
      <c r="Q16" s="96" t="n">
        <v>76</v>
      </c>
      <c r="R16" s="96" t="n">
        <v>76</v>
      </c>
      <c r="S16" s="96" t="n">
        <v>76</v>
      </c>
      <c r="T16" s="96" t="n">
        <v>76</v>
      </c>
      <c r="U16" s="96" t="n">
        <v>76</v>
      </c>
      <c r="V16" s="96" t="n">
        <v>76</v>
      </c>
      <c r="W16" s="96" t="n">
        <v>76</v>
      </c>
      <c r="X16" s="96" t="n">
        <v>76</v>
      </c>
      <c r="Y16" s="96" t="n">
        <v>76</v>
      </c>
      <c r="Z16" s="96" t="n">
        <v>76</v>
      </c>
      <c r="AA16" s="96" t="n">
        <v>76</v>
      </c>
      <c r="AB16" s="96" t="n">
        <v>76</v>
      </c>
      <c r="AC16" s="96" t="n">
        <v>76</v>
      </c>
      <c r="AD16" s="96" t="n">
        <v>76</v>
      </c>
      <c r="AE16" s="96" t="n">
        <v>76</v>
      </c>
      <c r="AF16" s="96" t="n">
        <v>76</v>
      </c>
      <c r="AG16" s="96" t="n">
        <v>76</v>
      </c>
      <c r="AH16" s="96" t="n">
        <v>76</v>
      </c>
      <c r="AI16" s="96" t="n">
        <v>76</v>
      </c>
      <c r="AJ16" s="96" t="n">
        <v>76</v>
      </c>
      <c r="AK16" s="96" t="n">
        <v>76</v>
      </c>
      <c r="AL16" s="96" t="n">
        <v>76</v>
      </c>
      <c r="AM16" s="96" t="n">
        <v>76</v>
      </c>
      <c r="AN16" s="96" t="n">
        <v>76</v>
      </c>
      <c r="AO16" s="96" t="n">
        <v>76</v>
      </c>
      <c r="AP16" s="96" t="n">
        <v>76</v>
      </c>
      <c r="AQ16" s="96" t="n">
        <v>76</v>
      </c>
    </row>
  </sheetData>
  <mergeCells count="2">
    <mergeCell ref="A1:AQ1"/>
    <mergeCell ref="A16:C1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2" ySplit="2" topLeftCell="C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6" customWidth="1" min="3" max="3"/>
    <col width="14" customWidth="1" min="4" max="4"/>
    <col width="20" customWidth="1" min="5" max="5"/>
    <col width="10" customWidth="1" min="6" max="6"/>
    <col width="13" customWidth="1" min="7" max="7"/>
    <col width="13" customWidth="1" min="8" max="8"/>
    <col width="14" customWidth="1" min="9" max="9"/>
  </cols>
  <sheetData>
    <row r="1">
      <c r="A1" s="1" t="inlineStr">
        <is>
          <t>CURVA ABC — ANÁLISE PARETO POR ITEM EAP (S/ BDI)</t>
        </is>
      </c>
    </row>
    <row r="2">
      <c r="A2" s="2" t="inlineStr">
        <is>
          <t>Item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Quantitativo</t>
        </is>
      </c>
      <c r="E2" s="2" t="inlineStr">
        <is>
          <t>Subtotal s/ BDI (R$)</t>
        </is>
      </c>
      <c r="F2" s="2" t="inlineStr">
        <is>
          <t>% do Total</t>
        </is>
      </c>
      <c r="G2" s="2" t="inlineStr">
        <is>
          <t>% Acumulado</t>
        </is>
      </c>
      <c r="H2" s="2" t="inlineStr">
        <is>
          <t>Criticidade</t>
        </is>
      </c>
      <c r="I2" s="2" t="inlineStr">
        <is>
          <t>Destaque</t>
        </is>
      </c>
    </row>
    <row r="3">
      <c r="A3" s="46" t="inlineStr">
        <is>
          <t>eap-1_2</t>
        </is>
      </c>
      <c r="B3" s="46" t="inlineStr">
        <is>
          <t>Corte e transporte interno</t>
        </is>
      </c>
      <c r="C3" s="46" t="inlineStr">
        <is>
          <t>m3</t>
        </is>
      </c>
      <c r="D3" s="47" t="n">
        <v>1250000</v>
      </c>
      <c r="E3" s="48" t="n">
        <v>2961676.01</v>
      </c>
      <c r="F3" s="97" t="n">
        <v>46.3204</v>
      </c>
      <c r="G3" s="97" t="n">
        <v>46.3204</v>
      </c>
      <c r="H3" s="46" t="inlineStr">
        <is>
          <t>A</t>
        </is>
      </c>
      <c r="I3" s="46" t="inlineStr"/>
    </row>
    <row r="4">
      <c r="A4" s="43" t="inlineStr">
        <is>
          <t>eap-1_3</t>
        </is>
      </c>
      <c r="B4" s="43" t="inlineStr">
        <is>
          <t>Aterro compactado / 98% e 100% P.N nas útimas 5 camadas</t>
        </is>
      </c>
      <c r="C4" s="43" t="inlineStr">
        <is>
          <t>m3</t>
        </is>
      </c>
      <c r="D4" s="44" t="n">
        <v>1000000</v>
      </c>
      <c r="E4" s="45" t="n">
        <v>1686515.2</v>
      </c>
      <c r="F4" s="98" t="n">
        <v>26.377</v>
      </c>
      <c r="G4" s="98" t="n">
        <v>72.6974</v>
      </c>
      <c r="H4" s="43" t="inlineStr">
        <is>
          <t>B</t>
        </is>
      </c>
      <c r="I4" s="43" t="inlineStr"/>
    </row>
    <row r="5">
      <c r="A5" s="31" t="inlineStr">
        <is>
          <t>eap-1_5</t>
        </is>
      </c>
      <c r="B5" s="31" t="inlineStr">
        <is>
          <t>Opcional - Transporte de solo já cortado, para outro terreno em Guarulhos com DMT de 8km.</t>
        </is>
      </c>
      <c r="C5" s="31" t="inlineStr">
        <is>
          <t>m3</t>
        </is>
      </c>
      <c r="D5" s="32" t="n">
        <v>200000</v>
      </c>
      <c r="E5" s="33" t="n">
        <v>1531660.6</v>
      </c>
      <c r="F5" s="4" t="n">
        <v>23.9551</v>
      </c>
      <c r="G5" s="4" t="n">
        <v>96.6524</v>
      </c>
      <c r="H5" s="31" t="inlineStr">
        <is>
          <t>C</t>
        </is>
      </c>
      <c r="I5" s="31" t="inlineStr"/>
    </row>
    <row r="6">
      <c r="A6" s="34" t="inlineStr">
        <is>
          <t>eap-1_1</t>
        </is>
      </c>
      <c r="B6" s="34" t="inlineStr">
        <is>
          <t>Remoção Superficial (20cm - Top Soil) - Excluso supressão vegetal</t>
        </is>
      </c>
      <c r="C6" s="34" t="inlineStr">
        <is>
          <t>m2</t>
        </is>
      </c>
      <c r="D6" s="35" t="n">
        <v>245000</v>
      </c>
      <c r="E6" s="36" t="n">
        <v>214038.86</v>
      </c>
      <c r="F6" s="7" t="n">
        <v>3.3476</v>
      </c>
      <c r="G6" s="7" t="n">
        <v>100</v>
      </c>
      <c r="H6" s="34" t="inlineStr">
        <is>
          <t>C</t>
        </is>
      </c>
      <c r="I6" s="34" t="inlineStr"/>
    </row>
    <row r="8">
      <c r="A8" s="29" t="inlineStr">
        <is>
          <t>TOTAL</t>
        </is>
      </c>
      <c r="E8" s="30">
        <f>SUM(E3:E7)</f>
        <v/>
      </c>
      <c r="F8" s="37" t="n"/>
      <c r="G8" s="37" t="n"/>
      <c r="H8" s="37" t="n"/>
      <c r="I8" s="37" t="n"/>
    </row>
  </sheetData>
  <mergeCells count="2">
    <mergeCell ref="A1:I1"/>
    <mergeCell ref="A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2026-05-12T18:12:45Z</dcterms:created>
  <dcterms:modified xsi:type="dcterms:W3CDTF">2026-05-12T18:12:50Z</dcterms:modified>
</cp:coreProperties>
</file>