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'DIRETOS.DET'!$I$353</definedName>
    <definedName name="DIRETOS_RES_SEM_BDI">'DIRETOS.RES'!$I$44</definedName>
    <definedName name="DIRETOS_RES_COM_BDI">'DIRETOS.RES'!$N$44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PLANEJAMENTO!$I$44</definedName>
    <definedName name="TOTAL_COM_BDI">PLANEJAMENTO!$N$44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A500"/>
        <bgColor rgb="00FFA500"/>
      </patternFill>
    </fill>
    <fill>
      <patternFill patternType="solid">
        <fgColor rgb="00FFFF33"/>
        <bgColor rgb="00FFFF33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165" fontId="5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eap-4_7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eap-4_8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eap-4_4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eap-7_1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>
      <c r="A17" s="11" t="inlineStr">
        <is>
          <t>eap-2_2</t>
        </is>
      </c>
      <c r="B17" s="4" t="n">
        <v>34.5</v>
      </c>
      <c r="C17" s="4" t="n">
        <v>34.5</v>
      </c>
      <c r="D17" s="4" t="n">
        <v>20</v>
      </c>
      <c r="E17" s="4" t="n">
        <v>34.5</v>
      </c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3" t="inlineStr">
        <is>
          <t>eap-4_3</t>
        </is>
      </c>
      <c r="B18" s="7" t="n">
        <v>34.5</v>
      </c>
      <c r="C18" s="7" t="n">
        <v>34.5</v>
      </c>
      <c r="D18" s="7" t="n">
        <v>20</v>
      </c>
      <c r="E18" s="7" t="n">
        <v>34.5</v>
      </c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s="11" t="inlineStr">
        <is>
          <t>eap-2_3</t>
        </is>
      </c>
      <c r="B19" s="4" t="n">
        <v>34.5</v>
      </c>
      <c r="C19" s="4" t="n">
        <v>34.5</v>
      </c>
      <c r="D19" s="4" t="n">
        <v>20</v>
      </c>
      <c r="E19" s="4" t="n">
        <v>34.5</v>
      </c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3" t="inlineStr">
        <is>
          <t>eap-3_1</t>
        </is>
      </c>
      <c r="B20" s="7" t="n">
        <v>34.5</v>
      </c>
      <c r="C20" s="7" t="n">
        <v>34.5</v>
      </c>
      <c r="D20" s="7" t="n">
        <v>20</v>
      </c>
      <c r="E20" s="7" t="n">
        <v>34.5</v>
      </c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>
      <c r="A21" s="11" t="inlineStr">
        <is>
          <t>eap-4_1</t>
        </is>
      </c>
      <c r="B21" s="4" t="n">
        <v>34.5</v>
      </c>
      <c r="C21" s="4" t="n">
        <v>34.5</v>
      </c>
      <c r="D21" s="4" t="n">
        <v>20</v>
      </c>
      <c r="E21" s="4" t="n">
        <v>34.5</v>
      </c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3" t="inlineStr">
        <is>
          <t>eap-4_5</t>
        </is>
      </c>
      <c r="B22" s="7" t="n">
        <v>34.5</v>
      </c>
      <c r="C22" s="7" t="n">
        <v>34.5</v>
      </c>
      <c r="D22" s="7" t="n">
        <v>20</v>
      </c>
      <c r="E22" s="7" t="n">
        <v>34.5</v>
      </c>
      <c r="F22" s="14" t="n"/>
      <c r="G22" s="14" t="n"/>
      <c r="H22" s="14" t="n"/>
      <c r="I22" s="14" t="n"/>
      <c r="J22" s="14" t="n"/>
      <c r="K22" s="14" t="n"/>
      <c r="L22" s="14" t="n"/>
      <c r="M22" s="14" t="n"/>
    </row>
    <row r="23">
      <c r="A23" s="11" t="inlineStr">
        <is>
          <t>eap-4_2</t>
        </is>
      </c>
      <c r="B23" s="4" t="n">
        <v>34.5</v>
      </c>
      <c r="C23" s="4" t="n">
        <v>34.5</v>
      </c>
      <c r="D23" s="4" t="n">
        <v>20</v>
      </c>
      <c r="E23" s="4" t="n">
        <v>34.5</v>
      </c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3" t="inlineStr">
        <is>
          <t>eap-4_6</t>
        </is>
      </c>
      <c r="B24" s="7" t="n">
        <v>34.5</v>
      </c>
      <c r="C24" s="7" t="n">
        <v>34.5</v>
      </c>
      <c r="D24" s="7" t="n">
        <v>20</v>
      </c>
      <c r="E24" s="7" t="n">
        <v>34.5</v>
      </c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>
      <c r="A25" s="11" t="inlineStr">
        <is>
          <t>eap-1_2</t>
        </is>
      </c>
      <c r="B25" s="4" t="n">
        <v>34.5</v>
      </c>
      <c r="C25" s="4" t="n">
        <v>34.5</v>
      </c>
      <c r="D25" s="4" t="n">
        <v>20</v>
      </c>
      <c r="E25" s="4" t="n">
        <v>34.5</v>
      </c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3" t="inlineStr">
        <is>
          <t>eap-1_3</t>
        </is>
      </c>
      <c r="B26" s="7" t="n">
        <v>34.5</v>
      </c>
      <c r="C26" s="7" t="n">
        <v>34.5</v>
      </c>
      <c r="D26" s="7" t="n">
        <v>20</v>
      </c>
      <c r="E26" s="7" t="n">
        <v>34.5</v>
      </c>
      <c r="F26" s="14" t="n"/>
      <c r="G26" s="14" t="n"/>
      <c r="H26" s="14" t="n"/>
      <c r="I26" s="14" t="n"/>
      <c r="J26" s="14" t="n"/>
      <c r="K26" s="14" t="n"/>
      <c r="L26" s="14" t="n"/>
      <c r="M26" s="14" t="n"/>
    </row>
    <row r="27">
      <c r="A27" s="11" t="inlineStr">
        <is>
          <t>eap-1_1</t>
        </is>
      </c>
      <c r="B27" s="4" t="n">
        <v>34.5</v>
      </c>
      <c r="C27" s="4" t="n">
        <v>34.5</v>
      </c>
      <c r="D27" s="4" t="n">
        <v>20</v>
      </c>
      <c r="E27" s="4" t="n">
        <v>34.5</v>
      </c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3" t="inlineStr">
        <is>
          <t>eap-5_6</t>
        </is>
      </c>
      <c r="B28" s="7" t="n">
        <v>34.5</v>
      </c>
      <c r="C28" s="7" t="n">
        <v>34.5</v>
      </c>
      <c r="D28" s="7" t="n">
        <v>20</v>
      </c>
      <c r="E28" s="7" t="n">
        <v>34.5</v>
      </c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>
      <c r="A29" s="11" t="inlineStr">
        <is>
          <t>eap-6_5</t>
        </is>
      </c>
      <c r="B29" s="4" t="n">
        <v>34.5</v>
      </c>
      <c r="C29" s="4" t="n">
        <v>34.5</v>
      </c>
      <c r="D29" s="4" t="n">
        <v>20</v>
      </c>
      <c r="E29" s="4" t="n">
        <v>34.5</v>
      </c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3" t="inlineStr">
        <is>
          <t>eap-6_11</t>
        </is>
      </c>
      <c r="B30" s="7" t="n">
        <v>34.5</v>
      </c>
      <c r="C30" s="7" t="n">
        <v>34.5</v>
      </c>
      <c r="D30" s="7" t="n">
        <v>20</v>
      </c>
      <c r="E30" s="7" t="n">
        <v>34.5</v>
      </c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>
      <c r="A31" s="11" t="inlineStr">
        <is>
          <t>eap-3_2</t>
        </is>
      </c>
      <c r="B31" s="4" t="n">
        <v>34.5</v>
      </c>
      <c r="C31" s="4" t="n">
        <v>34.5</v>
      </c>
      <c r="D31" s="4" t="n">
        <v>20</v>
      </c>
      <c r="E31" s="4" t="n">
        <v>34.5</v>
      </c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3" t="inlineStr">
        <is>
          <t>eap-6_4</t>
        </is>
      </c>
      <c r="B32" s="7" t="n">
        <v>34.5</v>
      </c>
      <c r="C32" s="7" t="n">
        <v>34.5</v>
      </c>
      <c r="D32" s="7" t="n">
        <v>20</v>
      </c>
      <c r="E32" s="7" t="n">
        <v>34.5</v>
      </c>
      <c r="F32" s="14" t="n"/>
      <c r="G32" s="14" t="n"/>
      <c r="H32" s="14" t="n"/>
      <c r="I32" s="14" t="n"/>
      <c r="J32" s="14" t="n"/>
      <c r="K32" s="14" t="n"/>
      <c r="L32" s="14" t="n"/>
      <c r="M32" s="14" t="n"/>
    </row>
    <row r="33">
      <c r="A33" s="11" t="inlineStr">
        <is>
          <t>eap-6_6</t>
        </is>
      </c>
      <c r="B33" s="4" t="n">
        <v>34.5</v>
      </c>
      <c r="C33" s="4" t="n">
        <v>34.5</v>
      </c>
      <c r="D33" s="4" t="n">
        <v>20</v>
      </c>
      <c r="E33" s="4" t="n">
        <v>34.5</v>
      </c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3" t="inlineStr">
        <is>
          <t>eap-5_8</t>
        </is>
      </c>
      <c r="B34" s="7" t="n">
        <v>34.5</v>
      </c>
      <c r="C34" s="7" t="n">
        <v>34.5</v>
      </c>
      <c r="D34" s="7" t="n">
        <v>20</v>
      </c>
      <c r="E34" s="7" t="n">
        <v>34.5</v>
      </c>
      <c r="F34" s="14" t="n"/>
      <c r="G34" s="14" t="n"/>
      <c r="H34" s="14" t="n"/>
      <c r="I34" s="14" t="n"/>
      <c r="J34" s="14" t="n"/>
      <c r="K34" s="14" t="n"/>
      <c r="L34" s="14" t="n"/>
      <c r="M34" s="14" t="n"/>
    </row>
    <row r="35">
      <c r="A35" s="11" t="inlineStr">
        <is>
          <t>eap-3_3</t>
        </is>
      </c>
      <c r="B35" s="4" t="n">
        <v>34.5</v>
      </c>
      <c r="C35" s="4" t="n">
        <v>34.5</v>
      </c>
      <c r="D35" s="4" t="n">
        <v>20</v>
      </c>
      <c r="E35" s="4" t="n">
        <v>34.5</v>
      </c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3" t="inlineStr">
        <is>
          <t>eap-6_3</t>
        </is>
      </c>
      <c r="B36" s="7" t="n">
        <v>34.5</v>
      </c>
      <c r="C36" s="7" t="n">
        <v>34.5</v>
      </c>
      <c r="D36" s="7" t="n">
        <v>20</v>
      </c>
      <c r="E36" s="7" t="n">
        <v>34.5</v>
      </c>
      <c r="F36" s="14" t="n"/>
      <c r="G36" s="14" t="n"/>
      <c r="H36" s="14" t="n"/>
      <c r="I36" s="14" t="n"/>
      <c r="J36" s="14" t="n"/>
      <c r="K36" s="14" t="n"/>
      <c r="L36" s="14" t="n"/>
      <c r="M36" s="14" t="n"/>
    </row>
    <row r="37">
      <c r="A37" s="11" t="inlineStr">
        <is>
          <t>eap-6_7</t>
        </is>
      </c>
      <c r="B37" s="4" t="n">
        <v>34.5</v>
      </c>
      <c r="C37" s="4" t="n">
        <v>34.5</v>
      </c>
      <c r="D37" s="4" t="n">
        <v>20</v>
      </c>
      <c r="E37" s="4" t="n">
        <v>34.5</v>
      </c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3" t="inlineStr">
        <is>
          <t>eap-5_16</t>
        </is>
      </c>
      <c r="B38" s="7" t="n">
        <v>34.5</v>
      </c>
      <c r="C38" s="7" t="n">
        <v>34.5</v>
      </c>
      <c r="D38" s="7" t="n">
        <v>20</v>
      </c>
      <c r="E38" s="7" t="n">
        <v>34.5</v>
      </c>
      <c r="F38" s="14" t="n"/>
      <c r="G38" s="14" t="n"/>
      <c r="H38" s="14" t="n"/>
      <c r="I38" s="14" t="n"/>
      <c r="J38" s="14" t="n"/>
      <c r="K38" s="14" t="n"/>
      <c r="L38" s="14" t="n"/>
      <c r="M38" s="14" t="n"/>
    </row>
    <row r="39">
      <c r="A39" s="11" t="inlineStr">
        <is>
          <t>eap-5_5</t>
        </is>
      </c>
      <c r="B39" s="4" t="n">
        <v>34.5</v>
      </c>
      <c r="C39" s="4" t="n">
        <v>34.5</v>
      </c>
      <c r="D39" s="4" t="n">
        <v>20</v>
      </c>
      <c r="E39" s="4" t="n">
        <v>34.5</v>
      </c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3" t="inlineStr">
        <is>
          <t>eap-2_1</t>
        </is>
      </c>
      <c r="B40" s="7" t="n">
        <v>34.5</v>
      </c>
      <c r="C40" s="7" t="n">
        <v>34.5</v>
      </c>
      <c r="D40" s="7" t="n">
        <v>20</v>
      </c>
      <c r="E40" s="7" t="n">
        <v>34.5</v>
      </c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>
      <c r="A41" s="11" t="inlineStr">
        <is>
          <t>eap-5_7</t>
        </is>
      </c>
      <c r="B41" s="4" t="n">
        <v>34.5</v>
      </c>
      <c r="C41" s="4" t="n">
        <v>34.5</v>
      </c>
      <c r="D41" s="4" t="n">
        <v>20</v>
      </c>
      <c r="E41" s="4" t="n">
        <v>34.5</v>
      </c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3" t="inlineStr">
        <is>
          <t>eap-4_9</t>
        </is>
      </c>
      <c r="B42" s="7" t="n">
        <v>34.5</v>
      </c>
      <c r="C42" s="7" t="n">
        <v>34.5</v>
      </c>
      <c r="D42" s="7" t="n">
        <v>20</v>
      </c>
      <c r="E42" s="7" t="n">
        <v>34.5</v>
      </c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>
      <c r="A43" s="11" t="inlineStr">
        <is>
          <t>eap-5_18</t>
        </is>
      </c>
      <c r="B43" s="4" t="n">
        <v>34.5</v>
      </c>
      <c r="C43" s="4" t="n">
        <v>34.5</v>
      </c>
      <c r="D43" s="4" t="n">
        <v>20</v>
      </c>
      <c r="E43" s="4" t="n">
        <v>34.5</v>
      </c>
      <c r="F43" s="12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3" t="inlineStr">
        <is>
          <t>eap-5_9</t>
        </is>
      </c>
      <c r="B44" s="7" t="n">
        <v>34.5</v>
      </c>
      <c r="C44" s="7" t="n">
        <v>34.5</v>
      </c>
      <c r="D44" s="7" t="n">
        <v>20</v>
      </c>
      <c r="E44" s="7" t="n">
        <v>34.5</v>
      </c>
      <c r="F44" s="14" t="n"/>
      <c r="G44" s="14" t="n"/>
      <c r="H44" s="14" t="n"/>
      <c r="I44" s="14" t="n"/>
      <c r="J44" s="14" t="n"/>
      <c r="K44" s="14" t="n"/>
      <c r="L44" s="14" t="n"/>
      <c r="M44" s="14" t="n"/>
    </row>
    <row r="45">
      <c r="A45" s="11" t="inlineStr">
        <is>
          <t>eap-5_15</t>
        </is>
      </c>
      <c r="B45" s="4" t="n">
        <v>34.5</v>
      </c>
      <c r="C45" s="4" t="n">
        <v>34.5</v>
      </c>
      <c r="D45" s="4" t="n">
        <v>20</v>
      </c>
      <c r="E45" s="4" t="n">
        <v>34.5</v>
      </c>
      <c r="F45" s="12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3" t="inlineStr">
        <is>
          <t>eap-5_17</t>
        </is>
      </c>
      <c r="B46" s="7" t="n">
        <v>34.5</v>
      </c>
      <c r="C46" s="7" t="n">
        <v>34.5</v>
      </c>
      <c r="D46" s="7" t="n">
        <v>20</v>
      </c>
      <c r="E46" s="7" t="n">
        <v>34.5</v>
      </c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>
      <c r="A47" s="11" t="inlineStr">
        <is>
          <t>eap-5_19</t>
        </is>
      </c>
      <c r="B47" s="4" t="n">
        <v>34.5</v>
      </c>
      <c r="C47" s="4" t="n">
        <v>34.5</v>
      </c>
      <c r="D47" s="4" t="n">
        <v>20</v>
      </c>
      <c r="E47" s="4" t="n">
        <v>34.5</v>
      </c>
      <c r="F47" s="12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3" t="inlineStr">
        <is>
          <t>eap-5_11</t>
        </is>
      </c>
      <c r="B48" s="7" t="n">
        <v>34.5</v>
      </c>
      <c r="C48" s="7" t="n">
        <v>34.5</v>
      </c>
      <c r="D48" s="7" t="n">
        <v>20</v>
      </c>
      <c r="E48" s="7" t="n">
        <v>34.5</v>
      </c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>
      <c r="A49" s="11" t="inlineStr">
        <is>
          <t>eap-5_13</t>
        </is>
      </c>
      <c r="B49" s="4" t="n">
        <v>34.5</v>
      </c>
      <c r="C49" s="4" t="n">
        <v>34.5</v>
      </c>
      <c r="D49" s="4" t="n">
        <v>20</v>
      </c>
      <c r="E49" s="4" t="n">
        <v>34.5</v>
      </c>
      <c r="F49" s="12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3" t="inlineStr">
        <is>
          <t>eap-5_10</t>
        </is>
      </c>
      <c r="B50" s="7" t="n">
        <v>34.5</v>
      </c>
      <c r="C50" s="7" t="n">
        <v>34.5</v>
      </c>
      <c r="D50" s="7" t="n">
        <v>20</v>
      </c>
      <c r="E50" s="7" t="n">
        <v>34.5</v>
      </c>
      <c r="F50" s="14" t="n"/>
      <c r="G50" s="14" t="n"/>
      <c r="H50" s="14" t="n"/>
      <c r="I50" s="14" t="n"/>
      <c r="J50" s="14" t="n"/>
      <c r="K50" s="14" t="n"/>
      <c r="L50" s="14" t="n"/>
      <c r="M50" s="14" t="n"/>
    </row>
    <row r="51">
      <c r="A51" s="11" t="inlineStr">
        <is>
          <t>eap-5_12</t>
        </is>
      </c>
      <c r="B51" s="4" t="n">
        <v>34.5</v>
      </c>
      <c r="C51" s="4" t="n">
        <v>34.5</v>
      </c>
      <c r="D51" s="4" t="n">
        <v>20</v>
      </c>
      <c r="E51" s="4" t="n">
        <v>34.5</v>
      </c>
      <c r="F51" s="12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3" t="inlineStr">
        <is>
          <t>eap-5_14</t>
        </is>
      </c>
      <c r="B52" s="7" t="n">
        <v>34.5</v>
      </c>
      <c r="C52" s="7" t="n">
        <v>34.5</v>
      </c>
      <c r="D52" s="7" t="n">
        <v>20</v>
      </c>
      <c r="E52" s="7" t="n">
        <v>34.5</v>
      </c>
      <c r="F52" s="14" t="n"/>
      <c r="G52" s="14" t="n"/>
      <c r="H52" s="14" t="n"/>
      <c r="I52" s="14" t="n"/>
      <c r="J52" s="14" t="n"/>
      <c r="K52" s="14" t="n"/>
      <c r="L52" s="14" t="n"/>
      <c r="M52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eap-4_7 — Binder - camada de ligação (FAIXA B)</t>
        </is>
      </c>
    </row>
    <row r="4">
      <c r="A4" s="11" t="inlineStr">
        <is>
          <t>MÃO DE OBRA</t>
        </is>
      </c>
      <c r="B4" s="11" t="inlineStr">
        <is>
          <t>MO-OPER-ESCAV</t>
        </is>
      </c>
      <c r="C4" s="11" t="inlineStr">
        <is>
          <t>Operador de Escavadeira</t>
        </is>
      </c>
      <c r="D4" s="15" t="inlineStr">
        <is>
          <t>DIRETO</t>
        </is>
      </c>
      <c r="E4" s="16" t="n">
        <v>1</v>
      </c>
      <c r="F4" s="17" t="n">
        <v>12875</v>
      </c>
      <c r="G4" s="17">
        <f>E4*F4</f>
        <v/>
      </c>
      <c r="H4" s="16" t="n">
        <v>0.92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MO-MOTOR-CAM-BASC</t>
        </is>
      </c>
      <c r="C5" s="11" t="inlineStr">
        <is>
          <t>Motorista de Caminhão Basculante</t>
        </is>
      </c>
      <c r="D5" s="15" t="inlineStr">
        <is>
          <t>DIRETO</t>
        </is>
      </c>
      <c r="E5" s="16" t="n">
        <v>2</v>
      </c>
      <c r="F5" s="17" t="n">
        <v>10685.34</v>
      </c>
      <c r="G5" s="17">
        <f>E5*F5</f>
        <v/>
      </c>
      <c r="H5" s="16" t="n">
        <v>0.92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MO-OPER-ESCAV</t>
        </is>
      </c>
      <c r="C6" s="11" t="inlineStr">
        <is>
          <t>Operador de Escavadeira</t>
        </is>
      </c>
      <c r="D6" s="15" t="inlineStr">
        <is>
          <t>DIRETO</t>
        </is>
      </c>
      <c r="E6" s="16" t="n">
        <v>1</v>
      </c>
      <c r="F6" s="17" t="n">
        <v>12875</v>
      </c>
      <c r="G6" s="17">
        <f>E6*F6</f>
        <v/>
      </c>
      <c r="H6" s="16" t="n">
        <v>0.92</v>
      </c>
      <c r="I6" s="17">
        <f>G6*H6</f>
        <v/>
      </c>
    </row>
    <row r="7">
      <c r="A7" s="11" t="inlineStr">
        <is>
          <t>EQUIPAMENTO</t>
        </is>
      </c>
      <c r="B7" s="11" t="inlineStr">
        <is>
          <t>EQ-E0016</t>
        </is>
      </c>
      <c r="C7" s="11" t="inlineStr">
        <is>
          <t>Escavadeira Hidráulica 22t</t>
        </is>
      </c>
      <c r="D7" s="18" t="inlineStr">
        <is>
          <t>—</t>
        </is>
      </c>
      <c r="E7" s="16" t="n">
        <v>1</v>
      </c>
      <c r="F7" s="17" t="n">
        <v>35639.3</v>
      </c>
      <c r="G7" s="17">
        <f>E7*F7</f>
        <v/>
      </c>
      <c r="H7" s="16" t="n">
        <v>0.92</v>
      </c>
      <c r="I7" s="17">
        <f>G7*H7</f>
        <v/>
      </c>
    </row>
    <row r="8">
      <c r="A8" s="11" t="inlineStr">
        <is>
          <t>EQUIPAMENTO</t>
        </is>
      </c>
      <c r="B8" s="11" t="inlineStr">
        <is>
          <t>EQ-E0050</t>
        </is>
      </c>
      <c r="C8" s="11" t="inlineStr">
        <is>
          <t>Escavadeira 35t com rompedor</t>
        </is>
      </c>
      <c r="D8" s="18" t="inlineStr">
        <is>
          <t>—</t>
        </is>
      </c>
      <c r="E8" s="16" t="n">
        <v>1</v>
      </c>
      <c r="F8" s="17" t="n">
        <v>35318.8</v>
      </c>
      <c r="G8" s="17">
        <f>E8*F8</f>
        <v/>
      </c>
      <c r="H8" s="16" t="n">
        <v>0.92</v>
      </c>
      <c r="I8" s="17">
        <f>G8*H8</f>
        <v/>
      </c>
    </row>
    <row r="9">
      <c r="A9" s="19" t="inlineStr">
        <is>
          <t>COMBUSTÍVEL</t>
        </is>
      </c>
      <c r="B9" s="11" t="inlineStr">
        <is>
          <t>EQ-E0050</t>
        </is>
      </c>
      <c r="C9" s="11" t="inlineStr">
        <is>
          <t>Diesel S-10 (26.0 L/h)</t>
        </is>
      </c>
      <c r="D9" s="18" t="inlineStr">
        <is>
          <t>—</t>
        </is>
      </c>
      <c r="E9" s="16" t="n">
        <v>1</v>
      </c>
      <c r="F9" s="17" t="n">
        <v>33161.14</v>
      </c>
      <c r="G9" s="17">
        <f>E9*F9</f>
        <v/>
      </c>
      <c r="H9" s="16" t="n">
        <v>0.92</v>
      </c>
      <c r="I9" s="17">
        <f>G9*H9</f>
        <v/>
      </c>
    </row>
    <row r="10">
      <c r="A10" s="11" t="inlineStr">
        <is>
          <t>EQUIPAMENTO</t>
        </is>
      </c>
      <c r="B10" s="11" t="inlineStr">
        <is>
          <t>EQ-E0008</t>
        </is>
      </c>
      <c r="C10" s="11" t="inlineStr">
        <is>
          <t>Caminhão Basculante 16m³</t>
        </is>
      </c>
      <c r="D10" s="18" t="inlineStr">
        <is>
          <t>—</t>
        </is>
      </c>
      <c r="E10" s="16" t="n">
        <v>2</v>
      </c>
      <c r="F10" s="17" t="n">
        <v>40084.35</v>
      </c>
      <c r="G10" s="17">
        <f>E10*F10</f>
        <v/>
      </c>
      <c r="H10" s="16" t="n">
        <v>0.92</v>
      </c>
      <c r="I10" s="17">
        <f>G10*H10</f>
        <v/>
      </c>
    </row>
    <row r="11">
      <c r="A11" s="19" t="inlineStr">
        <is>
          <t>COMBUSTÍVEL</t>
        </is>
      </c>
      <c r="B11" s="11" t="inlineStr">
        <is>
          <t>EQ-E0008</t>
        </is>
      </c>
      <c r="C11" s="11" t="inlineStr">
        <is>
          <t>Diesel S-10 (2.5 L/h)</t>
        </is>
      </c>
      <c r="D11" s="18" t="inlineStr">
        <is>
          <t>—</t>
        </is>
      </c>
      <c r="E11" s="16" t="n">
        <v>2</v>
      </c>
      <c r="F11" s="17" t="n">
        <v>3188.57</v>
      </c>
      <c r="G11" s="17">
        <f>E11*F11</f>
        <v/>
      </c>
      <c r="H11" s="16" t="n">
        <v>0.92</v>
      </c>
      <c r="I11" s="17">
        <f>G11*H11</f>
        <v/>
      </c>
    </row>
    <row r="12">
      <c r="A12" s="20" t="inlineStr">
        <is>
          <t>Subtotal eap-4_7</t>
        </is>
      </c>
      <c r="B12" s="21" t="n"/>
      <c r="C12" s="21" t="n"/>
      <c r="D12" s="21" t="n"/>
      <c r="E12" s="21" t="n"/>
      <c r="F12" s="21" t="n"/>
      <c r="G12" s="22">
        <f>SUM(G4:G11)</f>
        <v/>
      </c>
      <c r="H12" s="23" t="n">
        <v>0.92</v>
      </c>
      <c r="I12" s="22">
        <f>SUM(I4:I11)</f>
        <v/>
      </c>
    </row>
    <row r="13">
      <c r="A13" s="9" t="inlineStr">
        <is>
          <t>eap-4_8 — Cbuq - concreto betuminoso usinado a quente</t>
        </is>
      </c>
    </row>
    <row r="14">
      <c r="A14" s="13" t="inlineStr">
        <is>
          <t>MÃO DE OBRA</t>
        </is>
      </c>
      <c r="B14" s="13" t="inlineStr">
        <is>
          <t>MO-ENCARREG-TERRA</t>
        </is>
      </c>
      <c r="C14" s="13" t="inlineStr">
        <is>
          <t>Encarregado de Terraplenagem</t>
        </is>
      </c>
      <c r="D14" s="24" t="inlineStr">
        <is>
          <t>DIRETO</t>
        </is>
      </c>
      <c r="E14" s="25" t="n">
        <v>1</v>
      </c>
      <c r="F14" s="26" t="n">
        <v>11549.8</v>
      </c>
      <c r="G14" s="26">
        <f>E14*F14</f>
        <v/>
      </c>
      <c r="H14" s="25" t="n">
        <v>0.46</v>
      </c>
      <c r="I14" s="26">
        <f>G14*H14</f>
        <v/>
      </c>
    </row>
    <row r="15">
      <c r="A15" s="13" t="inlineStr">
        <is>
          <t>MÃO DE OBRA</t>
        </is>
      </c>
      <c r="B15" s="13" t="inlineStr">
        <is>
          <t>MO-CERQUEIRO</t>
        </is>
      </c>
      <c r="C15" s="13" t="inlineStr">
        <is>
          <t>Cerqueiro</t>
        </is>
      </c>
      <c r="D15" s="24" t="inlineStr">
        <is>
          <t>DIRETO</t>
        </is>
      </c>
      <c r="E15" s="25" t="n">
        <v>3</v>
      </c>
      <c r="F15" s="26" t="n">
        <v>9901.17</v>
      </c>
      <c r="G15" s="26">
        <f>E15*F15</f>
        <v/>
      </c>
      <c r="H15" s="25" t="n">
        <v>0.46</v>
      </c>
      <c r="I15" s="26">
        <f>G15*H15</f>
        <v/>
      </c>
    </row>
    <row r="16">
      <c r="A16" s="13" t="inlineStr">
        <is>
          <t>EQUIPAMENTO</t>
        </is>
      </c>
      <c r="B16" s="13" t="inlineStr">
        <is>
          <t>EQ-E0001</t>
        </is>
      </c>
      <c r="C16" s="13" t="inlineStr">
        <is>
          <t>Automóvel (veículo leve)</t>
        </is>
      </c>
      <c r="D16" s="27" t="inlineStr">
        <is>
          <t>—</t>
        </is>
      </c>
      <c r="E16" s="25" t="n">
        <v>1</v>
      </c>
      <c r="F16" s="26" t="n">
        <v>3872</v>
      </c>
      <c r="G16" s="26">
        <f>E16*F16</f>
        <v/>
      </c>
      <c r="H16" s="25" t="n">
        <v>0.46</v>
      </c>
      <c r="I16" s="26">
        <f>G16*H16</f>
        <v/>
      </c>
    </row>
    <row r="17">
      <c r="A17" s="28" t="inlineStr">
        <is>
          <t>COMBUSTÍVEL</t>
        </is>
      </c>
      <c r="B17" s="13" t="inlineStr">
        <is>
          <t>EQ-E0001</t>
        </is>
      </c>
      <c r="C17" s="13" t="inlineStr">
        <is>
          <t>Diesel S-10 (0.8 L/h)</t>
        </is>
      </c>
      <c r="D17" s="27" t="inlineStr">
        <is>
          <t>—</t>
        </is>
      </c>
      <c r="E17" s="25" t="n">
        <v>1</v>
      </c>
      <c r="F17" s="26" t="n">
        <v>1020.34</v>
      </c>
      <c r="G17" s="26">
        <f>E17*F17</f>
        <v/>
      </c>
      <c r="H17" s="25" t="n">
        <v>0.46</v>
      </c>
      <c r="I17" s="26">
        <f>G17*H17</f>
        <v/>
      </c>
    </row>
    <row r="18">
      <c r="A18" s="20" t="inlineStr">
        <is>
          <t>Subtotal eap-4_8</t>
        </is>
      </c>
      <c r="B18" s="21" t="n"/>
      <c r="C18" s="21" t="n"/>
      <c r="D18" s="21" t="n"/>
      <c r="E18" s="21" t="n"/>
      <c r="F18" s="21" t="n"/>
      <c r="G18" s="22">
        <f>SUM(G14:G17)</f>
        <v/>
      </c>
      <c r="H18" s="23" t="n">
        <v>0.46</v>
      </c>
      <c r="I18" s="22">
        <f>SUM(I14:I17)</f>
        <v/>
      </c>
    </row>
    <row r="19">
      <c r="A19" s="9" t="inlineStr">
        <is>
          <t>eap-4_4 — Base ou sub-base de brita graduada executada com vibroacabadora - brita comercial</t>
        </is>
      </c>
    </row>
    <row r="20">
      <c r="A20" s="11" t="inlineStr">
        <is>
          <t>MÃO DE OBRA</t>
        </is>
      </c>
      <c r="B20" s="11" t="inlineStr">
        <is>
          <t>MO-OPER-MOTO</t>
        </is>
      </c>
      <c r="C20" s="11" t="inlineStr">
        <is>
          <t>Operador de Motoniveladora</t>
        </is>
      </c>
      <c r="D20" s="15" t="inlineStr">
        <is>
          <t>DIRETO</t>
        </is>
      </c>
      <c r="E20" s="16" t="n">
        <v>1</v>
      </c>
      <c r="F20" s="17" t="n">
        <v>17356.25</v>
      </c>
      <c r="G20" s="17">
        <f>E20*F20</f>
        <v/>
      </c>
      <c r="H20" s="16" t="n">
        <v>0.92</v>
      </c>
      <c r="I20" s="17">
        <f>G20*H20</f>
        <v/>
      </c>
    </row>
    <row r="21">
      <c r="A21" s="11" t="inlineStr">
        <is>
          <t>MÃO DE OBRA</t>
        </is>
      </c>
      <c r="B21" s="11" t="inlineStr">
        <is>
          <t>MO-MOTOR-CAM-BASC</t>
        </is>
      </c>
      <c r="C21" s="11" t="inlineStr">
        <is>
          <t>Motorista de Caminhão Basculante</t>
        </is>
      </c>
      <c r="D21" s="15" t="inlineStr">
        <is>
          <t>DIRETO</t>
        </is>
      </c>
      <c r="E21" s="16" t="n">
        <v>2</v>
      </c>
      <c r="F21" s="17" t="n">
        <v>10685.34</v>
      </c>
      <c r="G21" s="17">
        <f>E21*F21</f>
        <v/>
      </c>
      <c r="H21" s="16" t="n">
        <v>0.92</v>
      </c>
      <c r="I21" s="17">
        <f>G21*H21</f>
        <v/>
      </c>
    </row>
    <row r="22">
      <c r="A22" s="11" t="inlineStr">
        <is>
          <t>MÃO DE OBRA</t>
        </is>
      </c>
      <c r="B22" s="11" t="inlineStr">
        <is>
          <t>MO-MOTOR-CAM-PIPA</t>
        </is>
      </c>
      <c r="C22" s="11" t="inlineStr">
        <is>
          <t>Motorista de Caminhão Pipa</t>
        </is>
      </c>
      <c r="D22" s="15" t="inlineStr">
        <is>
          <t>DIRETO</t>
        </is>
      </c>
      <c r="E22" s="16" t="n">
        <v>1</v>
      </c>
      <c r="F22" s="17" t="n">
        <v>10685.34</v>
      </c>
      <c r="G22" s="17">
        <f>E22*F22</f>
        <v/>
      </c>
      <c r="H22" s="16" t="n">
        <v>0.92</v>
      </c>
      <c r="I22" s="17">
        <f>G22*H22</f>
        <v/>
      </c>
    </row>
    <row r="23">
      <c r="A23" s="11" t="inlineStr">
        <is>
          <t>MÃO DE OBRA</t>
        </is>
      </c>
      <c r="B23" s="11" t="inlineStr">
        <is>
          <t>MO-OPER-ROLO-COMP</t>
        </is>
      </c>
      <c r="C23" s="11" t="inlineStr">
        <is>
          <t>Operador de Rolo Compactador</t>
        </is>
      </c>
      <c r="D23" s="15" t="inlineStr">
        <is>
          <t>DIRETO</t>
        </is>
      </c>
      <c r="E23" s="16" t="n">
        <v>1</v>
      </c>
      <c r="F23" s="17" t="n">
        <v>10685.34</v>
      </c>
      <c r="G23" s="17">
        <f>E23*F23</f>
        <v/>
      </c>
      <c r="H23" s="16" t="n">
        <v>0.92</v>
      </c>
      <c r="I23" s="17">
        <f>G23*H23</f>
        <v/>
      </c>
    </row>
    <row r="24">
      <c r="A24" s="11" t="inlineStr">
        <is>
          <t>MÃO DE OBRA</t>
        </is>
      </c>
      <c r="B24" s="11" t="inlineStr">
        <is>
          <t>MO-ENCARREG-CAPA</t>
        </is>
      </c>
      <c r="C24" s="11" t="inlineStr">
        <is>
          <t>Encarregado de Capa</t>
        </is>
      </c>
      <c r="D24" s="15" t="inlineStr">
        <is>
          <t>DIRETO</t>
        </is>
      </c>
      <c r="E24" s="16" t="n">
        <v>1</v>
      </c>
      <c r="F24" s="17" t="n">
        <v>15569.81</v>
      </c>
      <c r="G24" s="17">
        <f>E24*F24</f>
        <v/>
      </c>
      <c r="H24" s="16" t="n">
        <v>0.92</v>
      </c>
      <c r="I24" s="17">
        <f>G24*H24</f>
        <v/>
      </c>
    </row>
    <row r="25">
      <c r="A25" s="11" t="inlineStr">
        <is>
          <t>EQUIPAMENTO</t>
        </is>
      </c>
      <c r="B25" s="11" t="inlineStr">
        <is>
          <t>EQ-E0028</t>
        </is>
      </c>
      <c r="C25" s="11" t="inlineStr">
        <is>
          <t>Motoniveladora 120HP</t>
        </is>
      </c>
      <c r="D25" s="18" t="inlineStr">
        <is>
          <t>—</t>
        </is>
      </c>
      <c r="E25" s="16" t="n">
        <v>1</v>
      </c>
      <c r="F25" s="17" t="n">
        <v>36664.32</v>
      </c>
      <c r="G25" s="17">
        <f>E25*F25</f>
        <v/>
      </c>
      <c r="H25" s="16" t="n">
        <v>0.92</v>
      </c>
      <c r="I25" s="17">
        <f>G25*H25</f>
        <v/>
      </c>
    </row>
    <row r="26">
      <c r="A26" s="19" t="inlineStr">
        <is>
          <t>COMBUSTÍVEL</t>
        </is>
      </c>
      <c r="B26" s="11" t="inlineStr">
        <is>
          <t>EQ-E0028</t>
        </is>
      </c>
      <c r="C26" s="11" t="inlineStr">
        <is>
          <t>Diesel S-10 (9.0 L/h)</t>
        </is>
      </c>
      <c r="D26" s="18" t="inlineStr">
        <is>
          <t>—</t>
        </is>
      </c>
      <c r="E26" s="16" t="n">
        <v>1</v>
      </c>
      <c r="F26" s="17" t="n">
        <v>11478.86</v>
      </c>
      <c r="G26" s="17">
        <f>E26*F26</f>
        <v/>
      </c>
      <c r="H26" s="16" t="n">
        <v>0.92</v>
      </c>
      <c r="I26" s="17">
        <f>G26*H26</f>
        <v/>
      </c>
    </row>
    <row r="27">
      <c r="A27" s="11" t="inlineStr">
        <is>
          <t>EQUIPAMENTO</t>
        </is>
      </c>
      <c r="B27" s="11" t="inlineStr">
        <is>
          <t>EQ-E0035</t>
        </is>
      </c>
      <c r="C27" s="11" t="inlineStr">
        <is>
          <t>Trator de esteiras 20T</t>
        </is>
      </c>
      <c r="D27" s="18" t="inlineStr">
        <is>
          <t>—</t>
        </is>
      </c>
      <c r="E27" s="16" t="n">
        <v>1</v>
      </c>
      <c r="F27" s="17" t="n">
        <v>21683.2</v>
      </c>
      <c r="G27" s="17">
        <f>E27*F27</f>
        <v/>
      </c>
      <c r="H27" s="16" t="n">
        <v>0.92</v>
      </c>
      <c r="I27" s="17">
        <f>G27*H27</f>
        <v/>
      </c>
    </row>
    <row r="28">
      <c r="A28" s="19" t="inlineStr">
        <is>
          <t>COMBUSTÍVEL</t>
        </is>
      </c>
      <c r="B28" s="11" t="inlineStr">
        <is>
          <t>EQ-E0035</t>
        </is>
      </c>
      <c r="C28" s="11" t="inlineStr">
        <is>
          <t>Diesel S-10 (18.0 L/h)</t>
        </is>
      </c>
      <c r="D28" s="18" t="inlineStr">
        <is>
          <t>—</t>
        </is>
      </c>
      <c r="E28" s="16" t="n">
        <v>1</v>
      </c>
      <c r="F28" s="17" t="n">
        <v>22957.71</v>
      </c>
      <c r="G28" s="17">
        <f>E28*F28</f>
        <v/>
      </c>
      <c r="H28" s="16" t="n">
        <v>0.92</v>
      </c>
      <c r="I28" s="17">
        <f>G28*H28</f>
        <v/>
      </c>
    </row>
    <row r="29">
      <c r="A29" s="11" t="inlineStr">
        <is>
          <t>EQUIPAMENTO</t>
        </is>
      </c>
      <c r="B29" s="11" t="inlineStr">
        <is>
          <t>EQ-E0010</t>
        </is>
      </c>
      <c r="C29" s="11" t="inlineStr">
        <is>
          <t>Caminhão Pipa 10.000L</t>
        </is>
      </c>
      <c r="D29" s="18" t="inlineStr">
        <is>
          <t>—</t>
        </is>
      </c>
      <c r="E29" s="16" t="n">
        <v>1</v>
      </c>
      <c r="F29" s="17" t="n">
        <v>19360</v>
      </c>
      <c r="G29" s="17">
        <f>E29*F29</f>
        <v/>
      </c>
      <c r="H29" s="16" t="n">
        <v>0.92</v>
      </c>
      <c r="I29" s="17">
        <f>G29*H29</f>
        <v/>
      </c>
    </row>
    <row r="30">
      <c r="A30" s="19" t="inlineStr">
        <is>
          <t>COMBUSTÍVEL</t>
        </is>
      </c>
      <c r="B30" s="11" t="inlineStr">
        <is>
          <t>EQ-E0010</t>
        </is>
      </c>
      <c r="C30" s="11" t="inlineStr">
        <is>
          <t>Diesel S-10 (2.0 L/h)</t>
        </is>
      </c>
      <c r="D30" s="18" t="inlineStr">
        <is>
          <t>—</t>
        </is>
      </c>
      <c r="E30" s="16" t="n">
        <v>1</v>
      </c>
      <c r="F30" s="17" t="n">
        <v>2550.86</v>
      </c>
      <c r="G30" s="17">
        <f>E30*F30</f>
        <v/>
      </c>
      <c r="H30" s="16" t="n">
        <v>0.92</v>
      </c>
      <c r="I30" s="17">
        <f>G30*H30</f>
        <v/>
      </c>
    </row>
    <row r="31">
      <c r="A31" s="11" t="inlineStr">
        <is>
          <t>EQUIPAMENTO</t>
        </is>
      </c>
      <c r="B31" s="11" t="inlineStr">
        <is>
          <t>EQ-E0008</t>
        </is>
      </c>
      <c r="C31" s="11" t="inlineStr">
        <is>
          <t>Caminhão Basculante 16m³</t>
        </is>
      </c>
      <c r="D31" s="18" t="inlineStr">
        <is>
          <t>—</t>
        </is>
      </c>
      <c r="E31" s="16" t="n">
        <v>2</v>
      </c>
      <c r="F31" s="17" t="n">
        <v>40084.35</v>
      </c>
      <c r="G31" s="17">
        <f>E31*F31</f>
        <v/>
      </c>
      <c r="H31" s="16" t="n">
        <v>0.92</v>
      </c>
      <c r="I31" s="17">
        <f>G31*H31</f>
        <v/>
      </c>
    </row>
    <row r="32">
      <c r="A32" s="19" t="inlineStr">
        <is>
          <t>COMBUSTÍVEL</t>
        </is>
      </c>
      <c r="B32" s="11" t="inlineStr">
        <is>
          <t>EQ-E0008</t>
        </is>
      </c>
      <c r="C32" s="11" t="inlineStr">
        <is>
          <t>Diesel S-10 (2.5 L/h)</t>
        </is>
      </c>
      <c r="D32" s="18" t="inlineStr">
        <is>
          <t>—</t>
        </is>
      </c>
      <c r="E32" s="16" t="n">
        <v>2</v>
      </c>
      <c r="F32" s="17" t="n">
        <v>3188.57</v>
      </c>
      <c r="G32" s="17">
        <f>E32*F32</f>
        <v/>
      </c>
      <c r="H32" s="16" t="n">
        <v>0.92</v>
      </c>
      <c r="I32" s="17">
        <f>G32*H32</f>
        <v/>
      </c>
    </row>
    <row r="33">
      <c r="A33" s="20" t="inlineStr">
        <is>
          <t>Subtotal eap-4_4</t>
        </is>
      </c>
      <c r="B33" s="21" t="n"/>
      <c r="C33" s="21" t="n"/>
      <c r="D33" s="21" t="n"/>
      <c r="E33" s="21" t="n"/>
      <c r="F33" s="21" t="n"/>
      <c r="G33" s="22">
        <f>SUM(G20:G32)</f>
        <v/>
      </c>
      <c r="H33" s="23" t="n">
        <v>0.92</v>
      </c>
      <c r="I33" s="22">
        <f>SUM(I20:I32)</f>
        <v/>
      </c>
    </row>
    <row r="34">
      <c r="A34" s="9" t="inlineStr">
        <is>
          <t>eap-7_1 — Hidrossemeadura para cobertura de taludes</t>
        </is>
      </c>
    </row>
    <row r="35">
      <c r="A35" s="13" t="inlineStr">
        <is>
          <t>MÃO DE OBRA</t>
        </is>
      </c>
      <c r="B35" s="13" t="inlineStr">
        <is>
          <t>MO-AJUDANTE</t>
        </is>
      </c>
      <c r="C35" s="13" t="inlineStr">
        <is>
          <t>Ajudante</t>
        </is>
      </c>
      <c r="D35" s="24" t="inlineStr">
        <is>
          <t>DIRETO</t>
        </is>
      </c>
      <c r="E35" s="25" t="n">
        <v>4</v>
      </c>
      <c r="F35" s="26" t="n">
        <v>5261.65</v>
      </c>
      <c r="G35" s="26">
        <f>E35*F35</f>
        <v/>
      </c>
      <c r="H35" s="25" t="n">
        <v>1.61</v>
      </c>
      <c r="I35" s="26">
        <f>G35*H35</f>
        <v/>
      </c>
    </row>
    <row r="36">
      <c r="A36" s="13" t="inlineStr">
        <is>
          <t>EQUIPAMENTO</t>
        </is>
      </c>
      <c r="B36" s="13" t="inlineStr">
        <is>
          <t>EQ-HIDROSSEMEADORA</t>
        </is>
      </c>
      <c r="C36" s="13" t="inlineStr">
        <is>
          <t>Hidrossemeadora rebocável</t>
        </is>
      </c>
      <c r="D36" s="27" t="inlineStr">
        <is>
          <t>—</t>
        </is>
      </c>
      <c r="E36" s="25" t="n">
        <v>1</v>
      </c>
      <c r="F36" s="26" t="n">
        <v>6160</v>
      </c>
      <c r="G36" s="26">
        <f>E36*F36</f>
        <v/>
      </c>
      <c r="H36" s="25" t="n">
        <v>1.61</v>
      </c>
      <c r="I36" s="26">
        <f>G36*H36</f>
        <v/>
      </c>
    </row>
    <row r="37">
      <c r="A37" s="20" t="inlineStr">
        <is>
          <t>Subtotal eap-7_1</t>
        </is>
      </c>
      <c r="B37" s="21" t="n"/>
      <c r="C37" s="21" t="n"/>
      <c r="D37" s="21" t="n"/>
      <c r="E37" s="21" t="n"/>
      <c r="F37" s="21" t="n"/>
      <c r="G37" s="22">
        <f>SUM(G35:G36)</f>
        <v/>
      </c>
      <c r="H37" s="23" t="n">
        <v>1.61</v>
      </c>
      <c r="I37" s="22">
        <f>SUM(I35:I36)</f>
        <v/>
      </c>
    </row>
    <row r="38">
      <c r="A38" s="9" t="inlineStr">
        <is>
          <t>eap-2_2 — Escavação, carga e transporte de material de 1° cat. - dmt: 4700m (importação solo de jazida interna ao TBR070)</t>
        </is>
      </c>
    </row>
    <row r="39">
      <c r="A39" s="11" t="inlineStr">
        <is>
          <t>MÃO DE OBRA</t>
        </is>
      </c>
      <c r="B39" s="11" t="inlineStr">
        <is>
          <t>MO-OPER-ESCAV</t>
        </is>
      </c>
      <c r="C39" s="11" t="inlineStr">
        <is>
          <t>Operador de Escavadeira</t>
        </is>
      </c>
      <c r="D39" s="15" t="inlineStr">
        <is>
          <t>DIRETO</t>
        </is>
      </c>
      <c r="E39" s="16" t="n">
        <v>1</v>
      </c>
      <c r="F39" s="17" t="n">
        <v>12875</v>
      </c>
      <c r="G39" s="17">
        <f>E39*F39</f>
        <v/>
      </c>
      <c r="H39" s="16" t="n">
        <v>3.45</v>
      </c>
      <c r="I39" s="17">
        <f>G39*H39</f>
        <v/>
      </c>
    </row>
    <row r="40">
      <c r="A40" s="11" t="inlineStr">
        <is>
          <t>MÃO DE OBRA</t>
        </is>
      </c>
      <c r="B40" s="11" t="inlineStr">
        <is>
          <t>MO-MOTOR-CAM-BASC</t>
        </is>
      </c>
      <c r="C40" s="11" t="inlineStr">
        <is>
          <t>Motorista de Caminhão Basculante</t>
        </is>
      </c>
      <c r="D40" s="15" t="inlineStr">
        <is>
          <t>DIRETO</t>
        </is>
      </c>
      <c r="E40" s="16" t="n">
        <v>5</v>
      </c>
      <c r="F40" s="17" t="n">
        <v>10685.34</v>
      </c>
      <c r="G40" s="17">
        <f>E40*F40</f>
        <v/>
      </c>
      <c r="H40" s="16" t="n">
        <v>3.45</v>
      </c>
      <c r="I40" s="17">
        <f>G40*H40</f>
        <v/>
      </c>
    </row>
    <row r="41">
      <c r="A41" s="11" t="inlineStr">
        <is>
          <t>MÃO DE OBRA</t>
        </is>
      </c>
      <c r="B41" s="11" t="inlineStr">
        <is>
          <t>MO-ENCARREG-TERRA</t>
        </is>
      </c>
      <c r="C41" s="11" t="inlineStr">
        <is>
          <t>Encarregado de Terraplenagem</t>
        </is>
      </c>
      <c r="D41" s="15" t="inlineStr">
        <is>
          <t>DIRETO</t>
        </is>
      </c>
      <c r="E41" s="16" t="n">
        <v>1</v>
      </c>
      <c r="F41" s="17" t="n">
        <v>11549.8</v>
      </c>
      <c r="G41" s="17">
        <f>E41*F41</f>
        <v/>
      </c>
      <c r="H41" s="16" t="n">
        <v>3.45</v>
      </c>
      <c r="I41" s="17">
        <f>G41*H41</f>
        <v/>
      </c>
    </row>
    <row r="42">
      <c r="A42" s="11" t="inlineStr">
        <is>
          <t>EQUIPAMENTO</t>
        </is>
      </c>
      <c r="B42" s="11" t="inlineStr">
        <is>
          <t>EQ-E0016</t>
        </is>
      </c>
      <c r="C42" s="11" t="inlineStr">
        <is>
          <t>Escavadeira Hidráulica 22t</t>
        </is>
      </c>
      <c r="D42" s="18" t="inlineStr">
        <is>
          <t>—</t>
        </is>
      </c>
      <c r="E42" s="16" t="n">
        <v>1</v>
      </c>
      <c r="F42" s="17" t="n">
        <v>35639.3</v>
      </c>
      <c r="G42" s="17">
        <f>E42*F42</f>
        <v/>
      </c>
      <c r="H42" s="16" t="n">
        <v>3.45</v>
      </c>
      <c r="I42" s="17">
        <f>G42*H42</f>
        <v/>
      </c>
    </row>
    <row r="43">
      <c r="A43" s="11" t="inlineStr">
        <is>
          <t>EQUIPAMENTO</t>
        </is>
      </c>
      <c r="B43" s="11" t="inlineStr">
        <is>
          <t>EQ-E0008</t>
        </is>
      </c>
      <c r="C43" s="11" t="inlineStr">
        <is>
          <t>Caminhão Basculante 16m³</t>
        </is>
      </c>
      <c r="D43" s="18" t="inlineStr">
        <is>
          <t>—</t>
        </is>
      </c>
      <c r="E43" s="16" t="n">
        <v>5</v>
      </c>
      <c r="F43" s="17" t="n">
        <v>40084.35</v>
      </c>
      <c r="G43" s="17">
        <f>E43*F43</f>
        <v/>
      </c>
      <c r="H43" s="16" t="n">
        <v>3.45</v>
      </c>
      <c r="I43" s="17">
        <f>G43*H43</f>
        <v/>
      </c>
    </row>
    <row r="44">
      <c r="A44" s="19" t="inlineStr">
        <is>
          <t>COMBUSTÍVEL</t>
        </is>
      </c>
      <c r="B44" s="11" t="inlineStr">
        <is>
          <t>EQ-E0008</t>
        </is>
      </c>
      <c r="C44" s="11" t="inlineStr">
        <is>
          <t>Diesel S-10 (2.5 L/h)</t>
        </is>
      </c>
      <c r="D44" s="18" t="inlineStr">
        <is>
          <t>—</t>
        </is>
      </c>
      <c r="E44" s="16" t="n">
        <v>5</v>
      </c>
      <c r="F44" s="17" t="n">
        <v>3188.57</v>
      </c>
      <c r="G44" s="17">
        <f>E44*F44</f>
        <v/>
      </c>
      <c r="H44" s="16" t="n">
        <v>3.45</v>
      </c>
      <c r="I44" s="17">
        <f>G44*H44</f>
        <v/>
      </c>
    </row>
    <row r="45">
      <c r="A45" s="20" t="inlineStr">
        <is>
          <t>Subtotal eap-2_2</t>
        </is>
      </c>
      <c r="B45" s="21" t="n"/>
      <c r="C45" s="21" t="n"/>
      <c r="D45" s="21" t="n"/>
      <c r="E45" s="21" t="n"/>
      <c r="F45" s="21" t="n"/>
      <c r="G45" s="22">
        <f>SUM(G39:G44)</f>
        <v/>
      </c>
      <c r="H45" s="23" t="n">
        <v>3.45</v>
      </c>
      <c r="I45" s="22">
        <f>SUM(I39:I44)</f>
        <v/>
      </c>
    </row>
    <row r="46">
      <c r="A46" s="9" t="inlineStr">
        <is>
          <t>eap-4_3 — Sub-base estabilizada granulometricamente com mistura solo brita (70% - 30%) na pista com material de jazida e brita comercial - volume geométrico</t>
        </is>
      </c>
    </row>
    <row r="47">
      <c r="A47" s="13" t="inlineStr">
        <is>
          <t>MÃO DE OBRA</t>
        </is>
      </c>
      <c r="B47" s="13" t="inlineStr">
        <is>
          <t>MO-OPER-MOTO</t>
        </is>
      </c>
      <c r="C47" s="13" t="inlineStr">
        <is>
          <t>Operador de Motoniveladora</t>
        </is>
      </c>
      <c r="D47" s="24" t="inlineStr">
        <is>
          <t>DIRETO</t>
        </is>
      </c>
      <c r="E47" s="25" t="n">
        <v>1</v>
      </c>
      <c r="F47" s="26" t="n">
        <v>17356.25</v>
      </c>
      <c r="G47" s="26">
        <f>E47*F47</f>
        <v/>
      </c>
      <c r="H47" s="25" t="n">
        <v>0.92</v>
      </c>
      <c r="I47" s="26">
        <f>G47*H47</f>
        <v/>
      </c>
    </row>
    <row r="48">
      <c r="A48" s="13" t="inlineStr">
        <is>
          <t>MÃO DE OBRA</t>
        </is>
      </c>
      <c r="B48" s="13" t="inlineStr">
        <is>
          <t>MO-MOTOR-CAM-BASC</t>
        </is>
      </c>
      <c r="C48" s="13" t="inlineStr">
        <is>
          <t>Motorista de Caminhão Basculante</t>
        </is>
      </c>
      <c r="D48" s="24" t="inlineStr">
        <is>
          <t>DIRETO</t>
        </is>
      </c>
      <c r="E48" s="25" t="n">
        <v>2</v>
      </c>
      <c r="F48" s="26" t="n">
        <v>10685.34</v>
      </c>
      <c r="G48" s="26">
        <f>E48*F48</f>
        <v/>
      </c>
      <c r="H48" s="25" t="n">
        <v>0.92</v>
      </c>
      <c r="I48" s="26">
        <f>G48*H48</f>
        <v/>
      </c>
    </row>
    <row r="49">
      <c r="A49" s="13" t="inlineStr">
        <is>
          <t>MÃO DE OBRA</t>
        </is>
      </c>
      <c r="B49" s="13" t="inlineStr">
        <is>
          <t>MO-MOTOR-CAM-PIPA</t>
        </is>
      </c>
      <c r="C49" s="13" t="inlineStr">
        <is>
          <t>Motorista de Caminhão Pipa</t>
        </is>
      </c>
      <c r="D49" s="24" t="inlineStr">
        <is>
          <t>DIRETO</t>
        </is>
      </c>
      <c r="E49" s="25" t="n">
        <v>1</v>
      </c>
      <c r="F49" s="26" t="n">
        <v>10685.34</v>
      </c>
      <c r="G49" s="26">
        <f>E49*F49</f>
        <v/>
      </c>
      <c r="H49" s="25" t="n">
        <v>0.92</v>
      </c>
      <c r="I49" s="26">
        <f>G49*H49</f>
        <v/>
      </c>
    </row>
    <row r="50">
      <c r="A50" s="13" t="inlineStr">
        <is>
          <t>MÃO DE OBRA</t>
        </is>
      </c>
      <c r="B50" s="13" t="inlineStr">
        <is>
          <t>MO-OPER-ROLO-COMP</t>
        </is>
      </c>
      <c r="C50" s="13" t="inlineStr">
        <is>
          <t>Operador de Rolo Compactador</t>
        </is>
      </c>
      <c r="D50" s="24" t="inlineStr">
        <is>
          <t>DIRETO</t>
        </is>
      </c>
      <c r="E50" s="25" t="n">
        <v>1</v>
      </c>
      <c r="F50" s="26" t="n">
        <v>10685.34</v>
      </c>
      <c r="G50" s="26">
        <f>E50*F50</f>
        <v/>
      </c>
      <c r="H50" s="25" t="n">
        <v>0.92</v>
      </c>
      <c r="I50" s="26">
        <f>G50*H50</f>
        <v/>
      </c>
    </row>
    <row r="51">
      <c r="A51" s="13" t="inlineStr">
        <is>
          <t>MÃO DE OBRA</t>
        </is>
      </c>
      <c r="B51" s="13" t="inlineStr">
        <is>
          <t>MO-ENCARREG-CAPA</t>
        </is>
      </c>
      <c r="C51" s="13" t="inlineStr">
        <is>
          <t>Encarregado de Capa</t>
        </is>
      </c>
      <c r="D51" s="24" t="inlineStr">
        <is>
          <t>DIRETO</t>
        </is>
      </c>
      <c r="E51" s="25" t="n">
        <v>1</v>
      </c>
      <c r="F51" s="26" t="n">
        <v>15569.81</v>
      </c>
      <c r="G51" s="26">
        <f>E51*F51</f>
        <v/>
      </c>
      <c r="H51" s="25" t="n">
        <v>0.92</v>
      </c>
      <c r="I51" s="26">
        <f>G51*H51</f>
        <v/>
      </c>
    </row>
    <row r="52">
      <c r="A52" s="13" t="inlineStr">
        <is>
          <t>EQUIPAMENTO</t>
        </is>
      </c>
      <c r="B52" s="13" t="inlineStr">
        <is>
          <t>EQ-E0028</t>
        </is>
      </c>
      <c r="C52" s="13" t="inlineStr">
        <is>
          <t>Motoniveladora 120HP</t>
        </is>
      </c>
      <c r="D52" s="27" t="inlineStr">
        <is>
          <t>—</t>
        </is>
      </c>
      <c r="E52" s="25" t="n">
        <v>1</v>
      </c>
      <c r="F52" s="26" t="n">
        <v>36664.32</v>
      </c>
      <c r="G52" s="26">
        <f>E52*F52</f>
        <v/>
      </c>
      <c r="H52" s="25" t="n">
        <v>0.92</v>
      </c>
      <c r="I52" s="26">
        <f>G52*H52</f>
        <v/>
      </c>
    </row>
    <row r="53">
      <c r="A53" s="28" t="inlineStr">
        <is>
          <t>COMBUSTÍVEL</t>
        </is>
      </c>
      <c r="B53" s="13" t="inlineStr">
        <is>
          <t>EQ-E0028</t>
        </is>
      </c>
      <c r="C53" s="13" t="inlineStr">
        <is>
          <t>Diesel S-10 (9.0 L/h)</t>
        </is>
      </c>
      <c r="D53" s="27" t="inlineStr">
        <is>
          <t>—</t>
        </is>
      </c>
      <c r="E53" s="25" t="n">
        <v>1</v>
      </c>
      <c r="F53" s="26" t="n">
        <v>11478.86</v>
      </c>
      <c r="G53" s="26">
        <f>E53*F53</f>
        <v/>
      </c>
      <c r="H53" s="25" t="n">
        <v>0.92</v>
      </c>
      <c r="I53" s="26">
        <f>G53*H53</f>
        <v/>
      </c>
    </row>
    <row r="54">
      <c r="A54" s="13" t="inlineStr">
        <is>
          <t>EQUIPAMENTO</t>
        </is>
      </c>
      <c r="B54" s="13" t="inlineStr">
        <is>
          <t>EQ-E0035</t>
        </is>
      </c>
      <c r="C54" s="13" t="inlineStr">
        <is>
          <t>Trator de esteiras 20T</t>
        </is>
      </c>
      <c r="D54" s="27" t="inlineStr">
        <is>
          <t>—</t>
        </is>
      </c>
      <c r="E54" s="25" t="n">
        <v>1</v>
      </c>
      <c r="F54" s="26" t="n">
        <v>21683.2</v>
      </c>
      <c r="G54" s="26">
        <f>E54*F54</f>
        <v/>
      </c>
      <c r="H54" s="25" t="n">
        <v>0.92</v>
      </c>
      <c r="I54" s="26">
        <f>G54*H54</f>
        <v/>
      </c>
    </row>
    <row r="55">
      <c r="A55" s="28" t="inlineStr">
        <is>
          <t>COMBUSTÍVEL</t>
        </is>
      </c>
      <c r="B55" s="13" t="inlineStr">
        <is>
          <t>EQ-E0035</t>
        </is>
      </c>
      <c r="C55" s="13" t="inlineStr">
        <is>
          <t>Diesel S-10 (18.0 L/h)</t>
        </is>
      </c>
      <c r="D55" s="27" t="inlineStr">
        <is>
          <t>—</t>
        </is>
      </c>
      <c r="E55" s="25" t="n">
        <v>1</v>
      </c>
      <c r="F55" s="26" t="n">
        <v>22957.71</v>
      </c>
      <c r="G55" s="26">
        <f>E55*F55</f>
        <v/>
      </c>
      <c r="H55" s="25" t="n">
        <v>0.92</v>
      </c>
      <c r="I55" s="26">
        <f>G55*H55</f>
        <v/>
      </c>
    </row>
    <row r="56">
      <c r="A56" s="13" t="inlineStr">
        <is>
          <t>EQUIPAMENTO</t>
        </is>
      </c>
      <c r="B56" s="13" t="inlineStr">
        <is>
          <t>EQ-E0010</t>
        </is>
      </c>
      <c r="C56" s="13" t="inlineStr">
        <is>
          <t>Caminhão Pipa 10.000L</t>
        </is>
      </c>
      <c r="D56" s="27" t="inlineStr">
        <is>
          <t>—</t>
        </is>
      </c>
      <c r="E56" s="25" t="n">
        <v>1</v>
      </c>
      <c r="F56" s="26" t="n">
        <v>19360</v>
      </c>
      <c r="G56" s="26">
        <f>E56*F56</f>
        <v/>
      </c>
      <c r="H56" s="25" t="n">
        <v>0.92</v>
      </c>
      <c r="I56" s="26">
        <f>G56*H56</f>
        <v/>
      </c>
    </row>
    <row r="57">
      <c r="A57" s="28" t="inlineStr">
        <is>
          <t>COMBUSTÍVEL</t>
        </is>
      </c>
      <c r="B57" s="13" t="inlineStr">
        <is>
          <t>EQ-E0010</t>
        </is>
      </c>
      <c r="C57" s="13" t="inlineStr">
        <is>
          <t>Diesel S-10 (2.0 L/h)</t>
        </is>
      </c>
      <c r="D57" s="27" t="inlineStr">
        <is>
          <t>—</t>
        </is>
      </c>
      <c r="E57" s="25" t="n">
        <v>1</v>
      </c>
      <c r="F57" s="26" t="n">
        <v>2550.86</v>
      </c>
      <c r="G57" s="26">
        <f>E57*F57</f>
        <v/>
      </c>
      <c r="H57" s="25" t="n">
        <v>0.92</v>
      </c>
      <c r="I57" s="26">
        <f>G57*H57</f>
        <v/>
      </c>
    </row>
    <row r="58">
      <c r="A58" s="13" t="inlineStr">
        <is>
          <t>EQUIPAMENTO</t>
        </is>
      </c>
      <c r="B58" s="13" t="inlineStr">
        <is>
          <t>EQ-E0008</t>
        </is>
      </c>
      <c r="C58" s="13" t="inlineStr">
        <is>
          <t>Caminhão Basculante 16m³</t>
        </is>
      </c>
      <c r="D58" s="27" t="inlineStr">
        <is>
          <t>—</t>
        </is>
      </c>
      <c r="E58" s="25" t="n">
        <v>2</v>
      </c>
      <c r="F58" s="26" t="n">
        <v>40084.35</v>
      </c>
      <c r="G58" s="26">
        <f>E58*F58</f>
        <v/>
      </c>
      <c r="H58" s="25" t="n">
        <v>0.92</v>
      </c>
      <c r="I58" s="26">
        <f>G58*H58</f>
        <v/>
      </c>
    </row>
    <row r="59">
      <c r="A59" s="28" t="inlineStr">
        <is>
          <t>COMBUSTÍVEL</t>
        </is>
      </c>
      <c r="B59" s="13" t="inlineStr">
        <is>
          <t>EQ-E0008</t>
        </is>
      </c>
      <c r="C59" s="13" t="inlineStr">
        <is>
          <t>Diesel S-10 (2.5 L/h)</t>
        </is>
      </c>
      <c r="D59" s="27" t="inlineStr">
        <is>
          <t>—</t>
        </is>
      </c>
      <c r="E59" s="25" t="n">
        <v>2</v>
      </c>
      <c r="F59" s="26" t="n">
        <v>3188.57</v>
      </c>
      <c r="G59" s="26">
        <f>E59*F59</f>
        <v/>
      </c>
      <c r="H59" s="25" t="n">
        <v>0.92</v>
      </c>
      <c r="I59" s="26">
        <f>G59*H59</f>
        <v/>
      </c>
    </row>
    <row r="60">
      <c r="A60" s="20" t="inlineStr">
        <is>
          <t>Subtotal eap-4_3</t>
        </is>
      </c>
      <c r="B60" s="21" t="n"/>
      <c r="C60" s="21" t="n"/>
      <c r="D60" s="21" t="n"/>
      <c r="E60" s="21" t="n"/>
      <c r="F60" s="21" t="n"/>
      <c r="G60" s="22">
        <f>SUM(G47:G59)</f>
        <v/>
      </c>
      <c r="H60" s="23" t="n">
        <v>0.92</v>
      </c>
      <c r="I60" s="22">
        <f>SUM(I47:I59)</f>
        <v/>
      </c>
    </row>
    <row r="61">
      <c r="A61" s="9" t="inlineStr">
        <is>
          <t>eap-2_3 — Compactação de aterros a 100% do proctor intermediário (camada final) - volume homogeneizado (vol. geométrico x 1,25)</t>
        </is>
      </c>
    </row>
    <row r="62">
      <c r="A62" s="11" t="inlineStr">
        <is>
          <t>MÃO DE OBRA</t>
        </is>
      </c>
      <c r="B62" s="11" t="inlineStr">
        <is>
          <t>MO-OPER-MOTO</t>
        </is>
      </c>
      <c r="C62" s="11" t="inlineStr">
        <is>
          <t>Operador de Motoniveladora</t>
        </is>
      </c>
      <c r="D62" s="15" t="inlineStr">
        <is>
          <t>DIRETO</t>
        </is>
      </c>
      <c r="E62" s="16" t="n">
        <v>1</v>
      </c>
      <c r="F62" s="17" t="n">
        <v>17356.25</v>
      </c>
      <c r="G62" s="17">
        <f>E62*F62</f>
        <v/>
      </c>
      <c r="H62" s="16" t="n">
        <v>2.07</v>
      </c>
      <c r="I62" s="17">
        <f>G62*H62</f>
        <v/>
      </c>
    </row>
    <row r="63">
      <c r="A63" s="11" t="inlineStr">
        <is>
          <t>MÃO DE OBRA</t>
        </is>
      </c>
      <c r="B63" s="11" t="inlineStr">
        <is>
          <t>MO-OPER-ROLO-COMP</t>
        </is>
      </c>
      <c r="C63" s="11" t="inlineStr">
        <is>
          <t>Operador de Rolo Compactador</t>
        </is>
      </c>
      <c r="D63" s="15" t="inlineStr">
        <is>
          <t>DIRETO</t>
        </is>
      </c>
      <c r="E63" s="16" t="n">
        <v>1</v>
      </c>
      <c r="F63" s="17" t="n">
        <v>10685.34</v>
      </c>
      <c r="G63" s="17">
        <f>E63*F63</f>
        <v/>
      </c>
      <c r="H63" s="16" t="n">
        <v>2.07</v>
      </c>
      <c r="I63" s="17">
        <f>G63*H63</f>
        <v/>
      </c>
    </row>
    <row r="64">
      <c r="A64" s="11" t="inlineStr">
        <is>
          <t>MÃO DE OBRA</t>
        </is>
      </c>
      <c r="B64" s="11" t="inlineStr">
        <is>
          <t>MO-MOTOR-CAM-PIPA</t>
        </is>
      </c>
      <c r="C64" s="11" t="inlineStr">
        <is>
          <t>Motorista de Caminhão Pipa</t>
        </is>
      </c>
      <c r="D64" s="15" t="inlineStr">
        <is>
          <t>DIRETO</t>
        </is>
      </c>
      <c r="E64" s="16" t="n">
        <v>1</v>
      </c>
      <c r="F64" s="17" t="n">
        <v>10685.34</v>
      </c>
      <c r="G64" s="17">
        <f>E64*F64</f>
        <v/>
      </c>
      <c r="H64" s="16" t="n">
        <v>2.07</v>
      </c>
      <c r="I64" s="17">
        <f>G64*H64</f>
        <v/>
      </c>
    </row>
    <row r="65">
      <c r="A65" s="11" t="inlineStr">
        <is>
          <t>MÃO DE OBRA</t>
        </is>
      </c>
      <c r="B65" s="11" t="inlineStr">
        <is>
          <t>MO-OPER-ROLO-COMP</t>
        </is>
      </c>
      <c r="C65" s="11" t="inlineStr">
        <is>
          <t>Operador de Rolo Compactador</t>
        </is>
      </c>
      <c r="D65" s="15" t="inlineStr">
        <is>
          <t>DIRETO</t>
        </is>
      </c>
      <c r="E65" s="16" t="n">
        <v>1</v>
      </c>
      <c r="F65" s="17" t="n">
        <v>10685.34</v>
      </c>
      <c r="G65" s="17">
        <f>E65*F65</f>
        <v/>
      </c>
      <c r="H65" s="16" t="n">
        <v>2.07</v>
      </c>
      <c r="I65" s="17">
        <f>G65*H65</f>
        <v/>
      </c>
    </row>
    <row r="66">
      <c r="A66" s="11" t="inlineStr">
        <is>
          <t>MÃO DE OBRA</t>
        </is>
      </c>
      <c r="B66" s="11" t="inlineStr">
        <is>
          <t>MO-ENCARREG-TERRA</t>
        </is>
      </c>
      <c r="C66" s="11" t="inlineStr">
        <is>
          <t>Encarregado de Terraplenagem</t>
        </is>
      </c>
      <c r="D66" s="15" t="inlineStr">
        <is>
          <t>DIRETO</t>
        </is>
      </c>
      <c r="E66" s="16" t="n">
        <v>1</v>
      </c>
      <c r="F66" s="17" t="n">
        <v>11549.8</v>
      </c>
      <c r="G66" s="17">
        <f>E66*F66</f>
        <v/>
      </c>
      <c r="H66" s="16" t="n">
        <v>2.07</v>
      </c>
      <c r="I66" s="17">
        <f>G66*H66</f>
        <v/>
      </c>
    </row>
    <row r="67">
      <c r="A67" s="11" t="inlineStr">
        <is>
          <t>EQUIPAMENTO</t>
        </is>
      </c>
      <c r="B67" s="11" t="inlineStr">
        <is>
          <t>EQ-E0029</t>
        </is>
      </c>
      <c r="C67" s="11" t="inlineStr">
        <is>
          <t>Motoniveladora 140HP</t>
        </is>
      </c>
      <c r="D67" s="18" t="inlineStr">
        <is>
          <t>—</t>
        </is>
      </c>
      <c r="E67" s="16" t="n">
        <v>1</v>
      </c>
      <c r="F67" s="17" t="n">
        <v>43326.98</v>
      </c>
      <c r="G67" s="17">
        <f>E67*F67</f>
        <v/>
      </c>
      <c r="H67" s="16" t="n">
        <v>2.07</v>
      </c>
      <c r="I67" s="17">
        <f>G67*H67</f>
        <v/>
      </c>
    </row>
    <row r="68">
      <c r="A68" s="19" t="inlineStr">
        <is>
          <t>COMBUSTÍVEL</t>
        </is>
      </c>
      <c r="B68" s="11" t="inlineStr">
        <is>
          <t>EQ-E0029</t>
        </is>
      </c>
      <c r="C68" s="11" t="inlineStr">
        <is>
          <t>Diesel S-10 (11.0 L/h)</t>
        </is>
      </c>
      <c r="D68" s="18" t="inlineStr">
        <is>
          <t>—</t>
        </is>
      </c>
      <c r="E68" s="16" t="n">
        <v>1</v>
      </c>
      <c r="F68" s="17" t="n">
        <v>14029.71</v>
      </c>
      <c r="G68" s="17">
        <f>E68*F68</f>
        <v/>
      </c>
      <c r="H68" s="16" t="n">
        <v>2.07</v>
      </c>
      <c r="I68" s="17">
        <f>G68*H68</f>
        <v/>
      </c>
    </row>
    <row r="69">
      <c r="A69" s="11" t="inlineStr">
        <is>
          <t>EQUIPAMENTO</t>
        </is>
      </c>
      <c r="B69" s="11" t="inlineStr">
        <is>
          <t>EQ-E0035</t>
        </is>
      </c>
      <c r="C69" s="11" t="inlineStr">
        <is>
          <t>Trator de esteiras 20T</t>
        </is>
      </c>
      <c r="D69" s="18" t="inlineStr">
        <is>
          <t>—</t>
        </is>
      </c>
      <c r="E69" s="16" t="n">
        <v>1</v>
      </c>
      <c r="F69" s="17" t="n">
        <v>21683.2</v>
      </c>
      <c r="G69" s="17">
        <f>E69*F69</f>
        <v/>
      </c>
      <c r="H69" s="16" t="n">
        <v>2.07</v>
      </c>
      <c r="I69" s="17">
        <f>G69*H69</f>
        <v/>
      </c>
    </row>
    <row r="70">
      <c r="A70" s="19" t="inlineStr">
        <is>
          <t>COMBUSTÍVEL</t>
        </is>
      </c>
      <c r="B70" s="11" t="inlineStr">
        <is>
          <t>EQ-E0035</t>
        </is>
      </c>
      <c r="C70" s="11" t="inlineStr">
        <is>
          <t>Diesel S-10 (18.0 L/h)</t>
        </is>
      </c>
      <c r="D70" s="18" t="inlineStr">
        <is>
          <t>—</t>
        </is>
      </c>
      <c r="E70" s="16" t="n">
        <v>1</v>
      </c>
      <c r="F70" s="17" t="n">
        <v>22957.71</v>
      </c>
      <c r="G70" s="17">
        <f>E70*F70</f>
        <v/>
      </c>
      <c r="H70" s="16" t="n">
        <v>2.07</v>
      </c>
      <c r="I70" s="17">
        <f>G70*H70</f>
        <v/>
      </c>
    </row>
    <row r="71">
      <c r="A71" s="11" t="inlineStr">
        <is>
          <t>EQUIPAMENTO</t>
        </is>
      </c>
      <c r="B71" s="11" t="inlineStr">
        <is>
          <t>EQ-E0010</t>
        </is>
      </c>
      <c r="C71" s="11" t="inlineStr">
        <is>
          <t>Caminhão Pipa 10.000L</t>
        </is>
      </c>
      <c r="D71" s="18" t="inlineStr">
        <is>
          <t>—</t>
        </is>
      </c>
      <c r="E71" s="16" t="n">
        <v>1</v>
      </c>
      <c r="F71" s="17" t="n">
        <v>19360</v>
      </c>
      <c r="G71" s="17">
        <f>E71*F71</f>
        <v/>
      </c>
      <c r="H71" s="16" t="n">
        <v>2.07</v>
      </c>
      <c r="I71" s="17">
        <f>G71*H71</f>
        <v/>
      </c>
    </row>
    <row r="72">
      <c r="A72" s="19" t="inlineStr">
        <is>
          <t>COMBUSTÍVEL</t>
        </is>
      </c>
      <c r="B72" s="11" t="inlineStr">
        <is>
          <t>EQ-E0010</t>
        </is>
      </c>
      <c r="C72" s="11" t="inlineStr">
        <is>
          <t>Diesel S-10 (2.0 L/h)</t>
        </is>
      </c>
      <c r="D72" s="18" t="inlineStr">
        <is>
          <t>—</t>
        </is>
      </c>
      <c r="E72" s="16" t="n">
        <v>1</v>
      </c>
      <c r="F72" s="17" t="n">
        <v>2550.86</v>
      </c>
      <c r="G72" s="17">
        <f>E72*F72</f>
        <v/>
      </c>
      <c r="H72" s="16" t="n">
        <v>2.07</v>
      </c>
      <c r="I72" s="17">
        <f>G72*H72</f>
        <v/>
      </c>
    </row>
    <row r="73">
      <c r="A73" s="20" t="inlineStr">
        <is>
          <t>Subtotal eap-2_3</t>
        </is>
      </c>
      <c r="B73" s="21" t="n"/>
      <c r="C73" s="21" t="n"/>
      <c r="D73" s="21" t="n"/>
      <c r="E73" s="21" t="n"/>
      <c r="F73" s="21" t="n"/>
      <c r="G73" s="22">
        <f>SUM(G62:G72)</f>
        <v/>
      </c>
      <c r="H73" s="23" t="n">
        <v>2.07</v>
      </c>
      <c r="I73" s="22">
        <f>SUM(I62:I72)</f>
        <v/>
      </c>
    </row>
    <row r="74">
      <c r="A74" s="9" t="inlineStr">
        <is>
          <t>eap-3_1 — Demolição mecânica de pavimento</t>
        </is>
      </c>
    </row>
    <row r="75">
      <c r="A75" s="13" t="inlineStr">
        <is>
          <t>MÃO DE OBRA</t>
        </is>
      </c>
      <c r="B75" s="13" t="inlineStr">
        <is>
          <t>MO-OPER-ESCAV</t>
        </is>
      </c>
      <c r="C75" s="13" t="inlineStr">
        <is>
          <t>Operador de Escavadeira</t>
        </is>
      </c>
      <c r="D75" s="24" t="inlineStr">
        <is>
          <t>DIRETO</t>
        </is>
      </c>
      <c r="E75" s="25" t="n">
        <v>1</v>
      </c>
      <c r="F75" s="26" t="n">
        <v>12875</v>
      </c>
      <c r="G75" s="26">
        <f>E75*F75</f>
        <v/>
      </c>
      <c r="H75" s="25" t="n">
        <v>1.38</v>
      </c>
      <c r="I75" s="26">
        <f>G75*H75</f>
        <v/>
      </c>
    </row>
    <row r="76">
      <c r="A76" s="13" t="inlineStr">
        <is>
          <t>MÃO DE OBRA</t>
        </is>
      </c>
      <c r="B76" s="13" t="inlineStr">
        <is>
          <t>MO-MOTOR-CAM-BASC</t>
        </is>
      </c>
      <c r="C76" s="13" t="inlineStr">
        <is>
          <t>Motorista de Caminhão Basculante</t>
        </is>
      </c>
      <c r="D76" s="24" t="inlineStr">
        <is>
          <t>DIRETO</t>
        </is>
      </c>
      <c r="E76" s="25" t="n">
        <v>2</v>
      </c>
      <c r="F76" s="26" t="n">
        <v>10685.34</v>
      </c>
      <c r="G76" s="26">
        <f>E76*F76</f>
        <v/>
      </c>
      <c r="H76" s="25" t="n">
        <v>1.38</v>
      </c>
      <c r="I76" s="26">
        <f>G76*H76</f>
        <v/>
      </c>
    </row>
    <row r="77">
      <c r="A77" s="13" t="inlineStr">
        <is>
          <t>MÃO DE OBRA</t>
        </is>
      </c>
      <c r="B77" s="13" t="inlineStr">
        <is>
          <t>MO-OPER-ESCAV</t>
        </is>
      </c>
      <c r="C77" s="13" t="inlineStr">
        <is>
          <t>Operador de Escavadeira</t>
        </is>
      </c>
      <c r="D77" s="24" t="inlineStr">
        <is>
          <t>DIRETO</t>
        </is>
      </c>
      <c r="E77" s="25" t="n">
        <v>1</v>
      </c>
      <c r="F77" s="26" t="n">
        <v>12875</v>
      </c>
      <c r="G77" s="26">
        <f>E77*F77</f>
        <v/>
      </c>
      <c r="H77" s="25" t="n">
        <v>1.38</v>
      </c>
      <c r="I77" s="26">
        <f>G77*H77</f>
        <v/>
      </c>
    </row>
    <row r="78">
      <c r="A78" s="13" t="inlineStr">
        <is>
          <t>EQUIPAMENTO</t>
        </is>
      </c>
      <c r="B78" s="13" t="inlineStr">
        <is>
          <t>EQ-E0016</t>
        </is>
      </c>
      <c r="C78" s="13" t="inlineStr">
        <is>
          <t>Escavadeira Hidráulica 22t</t>
        </is>
      </c>
      <c r="D78" s="27" t="inlineStr">
        <is>
          <t>—</t>
        </is>
      </c>
      <c r="E78" s="25" t="n">
        <v>1</v>
      </c>
      <c r="F78" s="26" t="n">
        <v>35639.3</v>
      </c>
      <c r="G78" s="26">
        <f>E78*F78</f>
        <v/>
      </c>
      <c r="H78" s="25" t="n">
        <v>1.38</v>
      </c>
      <c r="I78" s="26">
        <f>G78*H78</f>
        <v/>
      </c>
    </row>
    <row r="79">
      <c r="A79" s="13" t="inlineStr">
        <is>
          <t>EQUIPAMENTO</t>
        </is>
      </c>
      <c r="B79" s="13" t="inlineStr">
        <is>
          <t>EQ-E0050</t>
        </is>
      </c>
      <c r="C79" s="13" t="inlineStr">
        <is>
          <t>Escavadeira 35t com rompedor</t>
        </is>
      </c>
      <c r="D79" s="27" t="inlineStr">
        <is>
          <t>—</t>
        </is>
      </c>
      <c r="E79" s="25" t="n">
        <v>1</v>
      </c>
      <c r="F79" s="26" t="n">
        <v>35318.8</v>
      </c>
      <c r="G79" s="26">
        <f>E79*F79</f>
        <v/>
      </c>
      <c r="H79" s="25" t="n">
        <v>1.38</v>
      </c>
      <c r="I79" s="26">
        <f>G79*H79</f>
        <v/>
      </c>
    </row>
    <row r="80">
      <c r="A80" s="28" t="inlineStr">
        <is>
          <t>COMBUSTÍVEL</t>
        </is>
      </c>
      <c r="B80" s="13" t="inlineStr">
        <is>
          <t>EQ-E0050</t>
        </is>
      </c>
      <c r="C80" s="13" t="inlineStr">
        <is>
          <t>Diesel S-10 (26.0 L/h)</t>
        </is>
      </c>
      <c r="D80" s="27" t="inlineStr">
        <is>
          <t>—</t>
        </is>
      </c>
      <c r="E80" s="25" t="n">
        <v>1</v>
      </c>
      <c r="F80" s="26" t="n">
        <v>33161.14</v>
      </c>
      <c r="G80" s="26">
        <f>E80*F80</f>
        <v/>
      </c>
      <c r="H80" s="25" t="n">
        <v>1.38</v>
      </c>
      <c r="I80" s="26">
        <f>G80*H80</f>
        <v/>
      </c>
    </row>
    <row r="81">
      <c r="A81" s="13" t="inlineStr">
        <is>
          <t>EQUIPAMENTO</t>
        </is>
      </c>
      <c r="B81" s="13" t="inlineStr">
        <is>
          <t>EQ-E0008</t>
        </is>
      </c>
      <c r="C81" s="13" t="inlineStr">
        <is>
          <t>Caminhão Basculante 16m³</t>
        </is>
      </c>
      <c r="D81" s="27" t="inlineStr">
        <is>
          <t>—</t>
        </is>
      </c>
      <c r="E81" s="25" t="n">
        <v>2</v>
      </c>
      <c r="F81" s="26" t="n">
        <v>40084.35</v>
      </c>
      <c r="G81" s="26">
        <f>E81*F81</f>
        <v/>
      </c>
      <c r="H81" s="25" t="n">
        <v>1.38</v>
      </c>
      <c r="I81" s="26">
        <f>G81*H81</f>
        <v/>
      </c>
    </row>
    <row r="82">
      <c r="A82" s="28" t="inlineStr">
        <is>
          <t>COMBUSTÍVEL</t>
        </is>
      </c>
      <c r="B82" s="13" t="inlineStr">
        <is>
          <t>EQ-E0008</t>
        </is>
      </c>
      <c r="C82" s="13" t="inlineStr">
        <is>
          <t>Diesel S-10 (2.5 L/h)</t>
        </is>
      </c>
      <c r="D82" s="27" t="inlineStr">
        <is>
          <t>—</t>
        </is>
      </c>
      <c r="E82" s="25" t="n">
        <v>2</v>
      </c>
      <c r="F82" s="26" t="n">
        <v>3188.57</v>
      </c>
      <c r="G82" s="26">
        <f>E82*F82</f>
        <v/>
      </c>
      <c r="H82" s="25" t="n">
        <v>1.38</v>
      </c>
      <c r="I82" s="26">
        <f>G82*H82</f>
        <v/>
      </c>
    </row>
    <row r="83">
      <c r="A83" s="20" t="inlineStr">
        <is>
          <t>Subtotal eap-3_1</t>
        </is>
      </c>
      <c r="B83" s="21" t="n"/>
      <c r="C83" s="21" t="n"/>
      <c r="D83" s="21" t="n"/>
      <c r="E83" s="21" t="n"/>
      <c r="F83" s="21" t="n"/>
      <c r="G83" s="22">
        <f>SUM(G75:G82)</f>
        <v/>
      </c>
      <c r="H83" s="23" t="n">
        <v>1.38</v>
      </c>
      <c r="I83" s="22">
        <f>SUM(I75:I82)</f>
        <v/>
      </c>
    </row>
    <row r="84">
      <c r="A84" s="9" t="inlineStr">
        <is>
          <t>eap-4_1 — Regularização do subleito</t>
        </is>
      </c>
    </row>
    <row r="85">
      <c r="A85" s="11" t="inlineStr">
        <is>
          <t>MÃO DE OBRA</t>
        </is>
      </c>
      <c r="B85" s="11" t="inlineStr">
        <is>
          <t>MO-OPER-MOTO</t>
        </is>
      </c>
      <c r="C85" s="11" t="inlineStr">
        <is>
          <t>Operador de Motoniveladora</t>
        </is>
      </c>
      <c r="D85" s="15" t="inlineStr">
        <is>
          <t>DIRETO</t>
        </is>
      </c>
      <c r="E85" s="16" t="n">
        <v>1</v>
      </c>
      <c r="F85" s="17" t="n">
        <v>17356.25</v>
      </c>
      <c r="G85" s="17">
        <f>E85*F85</f>
        <v/>
      </c>
      <c r="H85" s="16" t="n">
        <v>1.38</v>
      </c>
      <c r="I85" s="17">
        <f>G85*H85</f>
        <v/>
      </c>
    </row>
    <row r="86">
      <c r="A86" s="11" t="inlineStr">
        <is>
          <t>MÃO DE OBRA</t>
        </is>
      </c>
      <c r="B86" s="11" t="inlineStr">
        <is>
          <t>MO-ENCARREG-TERRA</t>
        </is>
      </c>
      <c r="C86" s="11" t="inlineStr">
        <is>
          <t>Encarregado de Terraplenagem</t>
        </is>
      </c>
      <c r="D86" s="15" t="inlineStr">
        <is>
          <t>DIRETO</t>
        </is>
      </c>
      <c r="E86" s="16" t="n">
        <v>1</v>
      </c>
      <c r="F86" s="17" t="n">
        <v>11549.8</v>
      </c>
      <c r="G86" s="17">
        <f>E86*F86</f>
        <v/>
      </c>
      <c r="H86" s="16" t="n">
        <v>1.38</v>
      </c>
      <c r="I86" s="17">
        <f>G86*H86</f>
        <v/>
      </c>
    </row>
    <row r="87">
      <c r="A87" s="11" t="inlineStr">
        <is>
          <t>EQUIPAMENTO</t>
        </is>
      </c>
      <c r="B87" s="11" t="inlineStr">
        <is>
          <t>EQ-E0029</t>
        </is>
      </c>
      <c r="C87" s="11" t="inlineStr">
        <is>
          <t>Motoniveladora 140HP</t>
        </is>
      </c>
      <c r="D87" s="18" t="inlineStr">
        <is>
          <t>—</t>
        </is>
      </c>
      <c r="E87" s="16" t="n">
        <v>1</v>
      </c>
      <c r="F87" s="17" t="n">
        <v>43326.98</v>
      </c>
      <c r="G87" s="17">
        <f>E87*F87</f>
        <v/>
      </c>
      <c r="H87" s="16" t="n">
        <v>1.38</v>
      </c>
      <c r="I87" s="17">
        <f>G87*H87</f>
        <v/>
      </c>
    </row>
    <row r="88">
      <c r="A88" s="19" t="inlineStr">
        <is>
          <t>COMBUSTÍVEL</t>
        </is>
      </c>
      <c r="B88" s="11" t="inlineStr">
        <is>
          <t>EQ-E0029</t>
        </is>
      </c>
      <c r="C88" s="11" t="inlineStr">
        <is>
          <t>Diesel S-10 (11.0 L/h)</t>
        </is>
      </c>
      <c r="D88" s="18" t="inlineStr">
        <is>
          <t>—</t>
        </is>
      </c>
      <c r="E88" s="16" t="n">
        <v>1</v>
      </c>
      <c r="F88" s="17" t="n">
        <v>14029.71</v>
      </c>
      <c r="G88" s="17">
        <f>E88*F88</f>
        <v/>
      </c>
      <c r="H88" s="16" t="n">
        <v>1.38</v>
      </c>
      <c r="I88" s="17">
        <f>G88*H88</f>
        <v/>
      </c>
    </row>
    <row r="89">
      <c r="A89" s="20" t="inlineStr">
        <is>
          <t>Subtotal eap-4_1</t>
        </is>
      </c>
      <c r="B89" s="21" t="n"/>
      <c r="C89" s="21" t="n"/>
      <c r="D89" s="21" t="n"/>
      <c r="E89" s="21" t="n"/>
      <c r="F89" s="21" t="n"/>
      <c r="G89" s="22">
        <f>SUM(G85:G88)</f>
        <v/>
      </c>
      <c r="H89" s="23" t="n">
        <v>1.38</v>
      </c>
      <c r="I89" s="22">
        <f>SUM(I85:I88)</f>
        <v/>
      </c>
    </row>
    <row r="90">
      <c r="A90" s="9" t="inlineStr">
        <is>
          <t>eap-4_5 — Imprimação com asfalto diluído (EAI)</t>
        </is>
      </c>
    </row>
    <row r="91">
      <c r="A91" s="13" t="inlineStr">
        <is>
          <t>MÃO DE OBRA</t>
        </is>
      </c>
      <c r="B91" s="13" t="inlineStr">
        <is>
          <t>MO-OPER-ESPARG</t>
        </is>
      </c>
      <c r="C91" s="13" t="inlineStr">
        <is>
          <t>Operador de Espargidor</t>
        </is>
      </c>
      <c r="D91" s="24" t="inlineStr">
        <is>
          <t>DIRETO</t>
        </is>
      </c>
      <c r="E91" s="25" t="n">
        <v>1</v>
      </c>
      <c r="F91" s="26" t="n">
        <v>13892.78</v>
      </c>
      <c r="G91" s="26">
        <f>E91*F91</f>
        <v/>
      </c>
      <c r="H91" s="25" t="n">
        <v>0.23</v>
      </c>
      <c r="I91" s="26">
        <f>G91*H91</f>
        <v/>
      </c>
    </row>
    <row r="92">
      <c r="A92" s="13" t="inlineStr">
        <is>
          <t>MÃO DE OBRA</t>
        </is>
      </c>
      <c r="B92" s="13" t="inlineStr">
        <is>
          <t>MO-MOTOR-CAM-PIPA</t>
        </is>
      </c>
      <c r="C92" s="13" t="inlineStr">
        <is>
          <t>Motorista de Caminhão Pipa</t>
        </is>
      </c>
      <c r="D92" s="24" t="inlineStr">
        <is>
          <t>DIRETO</t>
        </is>
      </c>
      <c r="E92" s="25" t="n">
        <v>1</v>
      </c>
      <c r="F92" s="26" t="n">
        <v>10685.34</v>
      </c>
      <c r="G92" s="26">
        <f>E92*F92</f>
        <v/>
      </c>
      <c r="H92" s="25" t="n">
        <v>0.23</v>
      </c>
      <c r="I92" s="26">
        <f>G92*H92</f>
        <v/>
      </c>
    </row>
    <row r="93">
      <c r="A93" s="13" t="inlineStr">
        <is>
          <t>MÃO DE OBRA</t>
        </is>
      </c>
      <c r="B93" s="13" t="inlineStr">
        <is>
          <t>MO-SINALEIRO</t>
        </is>
      </c>
      <c r="C93" s="13" t="inlineStr">
        <is>
          <t>Sinaleiro</t>
        </is>
      </c>
      <c r="D93" s="24" t="inlineStr">
        <is>
          <t>DIRETO</t>
        </is>
      </c>
      <c r="E93" s="25" t="n">
        <v>1</v>
      </c>
      <c r="F93" s="26" t="n">
        <v>5811.57</v>
      </c>
      <c r="G93" s="26">
        <f>E93*F93</f>
        <v/>
      </c>
      <c r="H93" s="25" t="n">
        <v>0.23</v>
      </c>
      <c r="I93" s="26">
        <f>G93*H93</f>
        <v/>
      </c>
    </row>
    <row r="94">
      <c r="A94" s="13" t="inlineStr">
        <is>
          <t>EQUIPAMENTO</t>
        </is>
      </c>
      <c r="B94" s="13" t="inlineStr">
        <is>
          <t>EQ-E0020</t>
        </is>
      </c>
      <c r="C94" s="13" t="inlineStr">
        <is>
          <t>Espargidor de Ligante Betuminoso</t>
        </is>
      </c>
      <c r="D94" s="27" t="inlineStr">
        <is>
          <t>—</t>
        </is>
      </c>
      <c r="E94" s="25" t="n">
        <v>1</v>
      </c>
      <c r="F94" s="26" t="n">
        <v>17248</v>
      </c>
      <c r="G94" s="26">
        <f>E94*F94</f>
        <v/>
      </c>
      <c r="H94" s="25" t="n">
        <v>0.23</v>
      </c>
      <c r="I94" s="26">
        <f>G94*H94</f>
        <v/>
      </c>
    </row>
    <row r="95">
      <c r="A95" s="28" t="inlineStr">
        <is>
          <t>COMBUSTÍVEL</t>
        </is>
      </c>
      <c r="B95" s="13" t="inlineStr">
        <is>
          <t>EQ-E0020</t>
        </is>
      </c>
      <c r="C95" s="13" t="inlineStr">
        <is>
          <t>Diesel S-10 (2.5 L/h)</t>
        </is>
      </c>
      <c r="D95" s="27" t="inlineStr">
        <is>
          <t>—</t>
        </is>
      </c>
      <c r="E95" s="25" t="n">
        <v>1</v>
      </c>
      <c r="F95" s="26" t="n">
        <v>3188.57</v>
      </c>
      <c r="G95" s="26">
        <f>E95*F95</f>
        <v/>
      </c>
      <c r="H95" s="25" t="n">
        <v>0.23</v>
      </c>
      <c r="I95" s="26">
        <f>G95*H95</f>
        <v/>
      </c>
    </row>
    <row r="96">
      <c r="A96" s="13" t="inlineStr">
        <is>
          <t>EQUIPAMENTO</t>
        </is>
      </c>
      <c r="B96" s="13" t="inlineStr">
        <is>
          <t>EQ-E0010</t>
        </is>
      </c>
      <c r="C96" s="13" t="inlineStr">
        <is>
          <t>Caminhão Pipa 10.000L</t>
        </is>
      </c>
      <c r="D96" s="27" t="inlineStr">
        <is>
          <t>—</t>
        </is>
      </c>
      <c r="E96" s="25" t="n">
        <v>1</v>
      </c>
      <c r="F96" s="26" t="n">
        <v>19360</v>
      </c>
      <c r="G96" s="26">
        <f>E96*F96</f>
        <v/>
      </c>
      <c r="H96" s="25" t="n">
        <v>0.23</v>
      </c>
      <c r="I96" s="26">
        <f>G96*H96</f>
        <v/>
      </c>
    </row>
    <row r="97">
      <c r="A97" s="28" t="inlineStr">
        <is>
          <t>COMBUSTÍVEL</t>
        </is>
      </c>
      <c r="B97" s="13" t="inlineStr">
        <is>
          <t>EQ-E0010</t>
        </is>
      </c>
      <c r="C97" s="13" t="inlineStr">
        <is>
          <t>Diesel S-10 (2.0 L/h)</t>
        </is>
      </c>
      <c r="D97" s="27" t="inlineStr">
        <is>
          <t>—</t>
        </is>
      </c>
      <c r="E97" s="25" t="n">
        <v>1</v>
      </c>
      <c r="F97" s="26" t="n">
        <v>2550.86</v>
      </c>
      <c r="G97" s="26">
        <f>E97*F97</f>
        <v/>
      </c>
      <c r="H97" s="25" t="n">
        <v>0.23</v>
      </c>
      <c r="I97" s="26">
        <f>G97*H97</f>
        <v/>
      </c>
    </row>
    <row r="98">
      <c r="A98" s="20" t="inlineStr">
        <is>
          <t>Subtotal eap-4_5</t>
        </is>
      </c>
      <c r="B98" s="21" t="n"/>
      <c r="C98" s="21" t="n"/>
      <c r="D98" s="21" t="n"/>
      <c r="E98" s="21" t="n"/>
      <c r="F98" s="21" t="n"/>
      <c r="G98" s="22">
        <f>SUM(G91:G97)</f>
        <v/>
      </c>
      <c r="H98" s="23" t="n">
        <v>0.23</v>
      </c>
      <c r="I98" s="22">
        <f>SUM(I91:I97)</f>
        <v/>
      </c>
    </row>
    <row r="99">
      <c r="A99" s="9" t="inlineStr">
        <is>
          <t>eap-4_2 — Reforço de subleito com solo de jazida selecionada - volume geométrico</t>
        </is>
      </c>
    </row>
    <row r="100">
      <c r="A100" s="11" t="inlineStr">
        <is>
          <t>MÃO DE OBRA</t>
        </is>
      </c>
      <c r="B100" s="11" t="inlineStr">
        <is>
          <t>MO-OPER-ESCAV</t>
        </is>
      </c>
      <c r="C100" s="11" t="inlineStr">
        <is>
          <t>Operador de Escavadeira</t>
        </is>
      </c>
      <c r="D100" s="15" t="inlineStr">
        <is>
          <t>DIRETO</t>
        </is>
      </c>
      <c r="E100" s="16" t="n">
        <v>1</v>
      </c>
      <c r="F100" s="17" t="n">
        <v>12875</v>
      </c>
      <c r="G100" s="17">
        <f>E100*F100</f>
        <v/>
      </c>
      <c r="H100" s="16" t="n">
        <v>1.84</v>
      </c>
      <c r="I100" s="17">
        <f>G100*H100</f>
        <v/>
      </c>
    </row>
    <row r="101">
      <c r="A101" s="11" t="inlineStr">
        <is>
          <t>MÃO DE OBRA</t>
        </is>
      </c>
      <c r="B101" s="11" t="inlineStr">
        <is>
          <t>MO-MOTOR-CAM-BASC</t>
        </is>
      </c>
      <c r="C101" s="11" t="inlineStr">
        <is>
          <t>Motorista de Caminhão Basculante</t>
        </is>
      </c>
      <c r="D101" s="15" t="inlineStr">
        <is>
          <t>DIRETO</t>
        </is>
      </c>
      <c r="E101" s="16" t="n">
        <v>5</v>
      </c>
      <c r="F101" s="17" t="n">
        <v>10685.34</v>
      </c>
      <c r="G101" s="17">
        <f>E101*F101</f>
        <v/>
      </c>
      <c r="H101" s="16" t="n">
        <v>1.84</v>
      </c>
      <c r="I101" s="17">
        <f>G101*H101</f>
        <v/>
      </c>
    </row>
    <row r="102">
      <c r="A102" s="11" t="inlineStr">
        <is>
          <t>MÃO DE OBRA</t>
        </is>
      </c>
      <c r="B102" s="11" t="inlineStr">
        <is>
          <t>MO-ENCARREG-TERRA</t>
        </is>
      </c>
      <c r="C102" s="11" t="inlineStr">
        <is>
          <t>Encarregado de Terraplenagem</t>
        </is>
      </c>
      <c r="D102" s="15" t="inlineStr">
        <is>
          <t>DIRETO</t>
        </is>
      </c>
      <c r="E102" s="16" t="n">
        <v>1</v>
      </c>
      <c r="F102" s="17" t="n">
        <v>11549.8</v>
      </c>
      <c r="G102" s="17">
        <f>E102*F102</f>
        <v/>
      </c>
      <c r="H102" s="16" t="n">
        <v>1.84</v>
      </c>
      <c r="I102" s="17">
        <f>G102*H102</f>
        <v/>
      </c>
    </row>
    <row r="103">
      <c r="A103" s="11" t="inlineStr">
        <is>
          <t>EQUIPAMENTO</t>
        </is>
      </c>
      <c r="B103" s="11" t="inlineStr">
        <is>
          <t>EQ-E0016</t>
        </is>
      </c>
      <c r="C103" s="11" t="inlineStr">
        <is>
          <t>Escavadeira Hidráulica 22t</t>
        </is>
      </c>
      <c r="D103" s="18" t="inlineStr">
        <is>
          <t>—</t>
        </is>
      </c>
      <c r="E103" s="16" t="n">
        <v>1</v>
      </c>
      <c r="F103" s="17" t="n">
        <v>35639.3</v>
      </c>
      <c r="G103" s="17">
        <f>E103*F103</f>
        <v/>
      </c>
      <c r="H103" s="16" t="n">
        <v>1.84</v>
      </c>
      <c r="I103" s="17">
        <f>G103*H103</f>
        <v/>
      </c>
    </row>
    <row r="104">
      <c r="A104" s="11" t="inlineStr">
        <is>
          <t>EQUIPAMENTO</t>
        </is>
      </c>
      <c r="B104" s="11" t="inlineStr">
        <is>
          <t>EQ-E0008</t>
        </is>
      </c>
      <c r="C104" s="11" t="inlineStr">
        <is>
          <t>Caminhão Basculante 16m³</t>
        </is>
      </c>
      <c r="D104" s="18" t="inlineStr">
        <is>
          <t>—</t>
        </is>
      </c>
      <c r="E104" s="16" t="n">
        <v>5</v>
      </c>
      <c r="F104" s="17" t="n">
        <v>40084.35</v>
      </c>
      <c r="G104" s="17">
        <f>E104*F104</f>
        <v/>
      </c>
      <c r="H104" s="16" t="n">
        <v>1.84</v>
      </c>
      <c r="I104" s="17">
        <f>G104*H104</f>
        <v/>
      </c>
    </row>
    <row r="105">
      <c r="A105" s="19" t="inlineStr">
        <is>
          <t>COMBUSTÍVEL</t>
        </is>
      </c>
      <c r="B105" s="11" t="inlineStr">
        <is>
          <t>EQ-E0008</t>
        </is>
      </c>
      <c r="C105" s="11" t="inlineStr">
        <is>
          <t>Diesel S-10 (2.5 L/h)</t>
        </is>
      </c>
      <c r="D105" s="18" t="inlineStr">
        <is>
          <t>—</t>
        </is>
      </c>
      <c r="E105" s="16" t="n">
        <v>5</v>
      </c>
      <c r="F105" s="17" t="n">
        <v>3188.57</v>
      </c>
      <c r="G105" s="17">
        <f>E105*F105</f>
        <v/>
      </c>
      <c r="H105" s="16" t="n">
        <v>1.84</v>
      </c>
      <c r="I105" s="17">
        <f>G105*H105</f>
        <v/>
      </c>
    </row>
    <row r="106">
      <c r="A106" s="20" t="inlineStr">
        <is>
          <t>Subtotal eap-4_2</t>
        </is>
      </c>
      <c r="B106" s="21" t="n"/>
      <c r="C106" s="21" t="n"/>
      <c r="D106" s="21" t="n"/>
      <c r="E106" s="21" t="n"/>
      <c r="F106" s="21" t="n"/>
      <c r="G106" s="22">
        <f>SUM(G100:G105)</f>
        <v/>
      </c>
      <c r="H106" s="23" t="n">
        <v>1.84</v>
      </c>
      <c r="I106" s="22">
        <f>SUM(I100:I105)</f>
        <v/>
      </c>
    </row>
    <row r="107">
      <c r="A107" s="9" t="inlineStr">
        <is>
          <t>eap-4_6 — Pintura de ligação (RR1C)</t>
        </is>
      </c>
    </row>
    <row r="108">
      <c r="A108" s="13" t="inlineStr">
        <is>
          <t>MÃO DE OBRA</t>
        </is>
      </c>
      <c r="B108" s="13" t="inlineStr">
        <is>
          <t>MO-OPER-ESPARG</t>
        </is>
      </c>
      <c r="C108" s="13" t="inlineStr">
        <is>
          <t>Operador de Espargidor</t>
        </is>
      </c>
      <c r="D108" s="24" t="inlineStr">
        <is>
          <t>DIRETO</t>
        </is>
      </c>
      <c r="E108" s="25" t="n">
        <v>1</v>
      </c>
      <c r="F108" s="26" t="n">
        <v>13892.78</v>
      </c>
      <c r="G108" s="26">
        <f>E108*F108</f>
        <v/>
      </c>
      <c r="H108" s="25" t="n">
        <v>0.92</v>
      </c>
      <c r="I108" s="26">
        <f>G108*H108</f>
        <v/>
      </c>
    </row>
    <row r="109">
      <c r="A109" s="13" t="inlineStr">
        <is>
          <t>MÃO DE OBRA</t>
        </is>
      </c>
      <c r="B109" s="13" t="inlineStr">
        <is>
          <t>MO-MOTOR-CAM-PIPA</t>
        </is>
      </c>
      <c r="C109" s="13" t="inlineStr">
        <is>
          <t>Motorista de Caminhão Pipa</t>
        </is>
      </c>
      <c r="D109" s="24" t="inlineStr">
        <is>
          <t>DIRETO</t>
        </is>
      </c>
      <c r="E109" s="25" t="n">
        <v>1</v>
      </c>
      <c r="F109" s="26" t="n">
        <v>10685.34</v>
      </c>
      <c r="G109" s="26">
        <f>E109*F109</f>
        <v/>
      </c>
      <c r="H109" s="25" t="n">
        <v>0.92</v>
      </c>
      <c r="I109" s="26">
        <f>G109*H109</f>
        <v/>
      </c>
    </row>
    <row r="110">
      <c r="A110" s="13" t="inlineStr">
        <is>
          <t>MÃO DE OBRA</t>
        </is>
      </c>
      <c r="B110" s="13" t="inlineStr">
        <is>
          <t>MO-SINALEIRO</t>
        </is>
      </c>
      <c r="C110" s="13" t="inlineStr">
        <is>
          <t>Sinaleiro</t>
        </is>
      </c>
      <c r="D110" s="24" t="inlineStr">
        <is>
          <t>DIRETO</t>
        </is>
      </c>
      <c r="E110" s="25" t="n">
        <v>1</v>
      </c>
      <c r="F110" s="26" t="n">
        <v>5811.57</v>
      </c>
      <c r="G110" s="26">
        <f>E110*F110</f>
        <v/>
      </c>
      <c r="H110" s="25" t="n">
        <v>0.92</v>
      </c>
      <c r="I110" s="26">
        <f>G110*H110</f>
        <v/>
      </c>
    </row>
    <row r="111">
      <c r="A111" s="13" t="inlineStr">
        <is>
          <t>EQUIPAMENTO</t>
        </is>
      </c>
      <c r="B111" s="13" t="inlineStr">
        <is>
          <t>EQ-E0020</t>
        </is>
      </c>
      <c r="C111" s="13" t="inlineStr">
        <is>
          <t>Espargidor de Ligante Betuminoso</t>
        </is>
      </c>
      <c r="D111" s="27" t="inlineStr">
        <is>
          <t>—</t>
        </is>
      </c>
      <c r="E111" s="25" t="n">
        <v>1</v>
      </c>
      <c r="F111" s="26" t="n">
        <v>17248</v>
      </c>
      <c r="G111" s="26">
        <f>E111*F111</f>
        <v/>
      </c>
      <c r="H111" s="25" t="n">
        <v>0.92</v>
      </c>
      <c r="I111" s="26">
        <f>G111*H111</f>
        <v/>
      </c>
    </row>
    <row r="112">
      <c r="A112" s="28" t="inlineStr">
        <is>
          <t>COMBUSTÍVEL</t>
        </is>
      </c>
      <c r="B112" s="13" t="inlineStr">
        <is>
          <t>EQ-E0020</t>
        </is>
      </c>
      <c r="C112" s="13" t="inlineStr">
        <is>
          <t>Diesel S-10 (2.5 L/h)</t>
        </is>
      </c>
      <c r="D112" s="27" t="inlineStr">
        <is>
          <t>—</t>
        </is>
      </c>
      <c r="E112" s="25" t="n">
        <v>1</v>
      </c>
      <c r="F112" s="26" t="n">
        <v>3188.57</v>
      </c>
      <c r="G112" s="26">
        <f>E112*F112</f>
        <v/>
      </c>
      <c r="H112" s="25" t="n">
        <v>0.92</v>
      </c>
      <c r="I112" s="26">
        <f>G112*H112</f>
        <v/>
      </c>
    </row>
    <row r="113">
      <c r="A113" s="13" t="inlineStr">
        <is>
          <t>EQUIPAMENTO</t>
        </is>
      </c>
      <c r="B113" s="13" t="inlineStr">
        <is>
          <t>EQ-E0010</t>
        </is>
      </c>
      <c r="C113" s="13" t="inlineStr">
        <is>
          <t>Caminhão Pipa 10.000L</t>
        </is>
      </c>
      <c r="D113" s="27" t="inlineStr">
        <is>
          <t>—</t>
        </is>
      </c>
      <c r="E113" s="25" t="n">
        <v>1</v>
      </c>
      <c r="F113" s="26" t="n">
        <v>19360</v>
      </c>
      <c r="G113" s="26">
        <f>E113*F113</f>
        <v/>
      </c>
      <c r="H113" s="25" t="n">
        <v>0.92</v>
      </c>
      <c r="I113" s="26">
        <f>G113*H113</f>
        <v/>
      </c>
    </row>
    <row r="114">
      <c r="A114" s="28" t="inlineStr">
        <is>
          <t>COMBUSTÍVEL</t>
        </is>
      </c>
      <c r="B114" s="13" t="inlineStr">
        <is>
          <t>EQ-E0010</t>
        </is>
      </c>
      <c r="C114" s="13" t="inlineStr">
        <is>
          <t>Diesel S-10 (2.0 L/h)</t>
        </is>
      </c>
      <c r="D114" s="27" t="inlineStr">
        <is>
          <t>—</t>
        </is>
      </c>
      <c r="E114" s="25" t="n">
        <v>1</v>
      </c>
      <c r="F114" s="26" t="n">
        <v>2550.86</v>
      </c>
      <c r="G114" s="26">
        <f>E114*F114</f>
        <v/>
      </c>
      <c r="H114" s="25" t="n">
        <v>0.92</v>
      </c>
      <c r="I114" s="26">
        <f>G114*H114</f>
        <v/>
      </c>
    </row>
    <row r="115">
      <c r="A115" s="20" t="inlineStr">
        <is>
          <t>Subtotal eap-4_6</t>
        </is>
      </c>
      <c r="B115" s="21" t="n"/>
      <c r="C115" s="21" t="n"/>
      <c r="D115" s="21" t="n"/>
      <c r="E115" s="21" t="n"/>
      <c r="F115" s="21" t="n"/>
      <c r="G115" s="22">
        <f>SUM(G108:G114)</f>
        <v/>
      </c>
      <c r="H115" s="23" t="n">
        <v>0.92</v>
      </c>
      <c r="I115" s="22">
        <f>SUM(I108:I114)</f>
        <v/>
      </c>
    </row>
    <row r="116">
      <c r="A116" s="9" t="inlineStr">
        <is>
          <t>eap-1_2 — Transporte de solo excedente com caminhão basculante de 14 m3 (peso específico de transporte de 1,8 g/cm3) - dmt de até 3,0 km (interno à planta)</t>
        </is>
      </c>
    </row>
    <row r="117">
      <c r="A117" s="11" t="inlineStr">
        <is>
          <t>MÃO DE OBRA</t>
        </is>
      </c>
      <c r="B117" s="11" t="inlineStr">
        <is>
          <t>P0040</t>
        </is>
      </c>
      <c r="C117" s="11" t="inlineStr">
        <is>
          <t>Operador de Escavadeira</t>
        </is>
      </c>
      <c r="D117" s="15" t="inlineStr">
        <is>
          <t>DIRETO</t>
        </is>
      </c>
      <c r="E117" s="16" t="n">
        <v>1</v>
      </c>
      <c r="F117" s="17" t="n">
        <v>10300</v>
      </c>
      <c r="G117" s="17">
        <f>E117*F117</f>
        <v/>
      </c>
      <c r="H117" s="16" t="n">
        <v>0.6899999999999999</v>
      </c>
      <c r="I117" s="17">
        <f>G117*H117</f>
        <v/>
      </c>
    </row>
    <row r="118">
      <c r="A118" s="11" t="inlineStr">
        <is>
          <t>MÃO DE OBRA</t>
        </is>
      </c>
      <c r="B118" s="11" t="inlineStr">
        <is>
          <t>P0001</t>
        </is>
      </c>
      <c r="C118" s="11" t="inlineStr">
        <is>
          <t>Ajudante</t>
        </is>
      </c>
      <c r="D118" s="15" t="inlineStr">
        <is>
          <t>DIRETO</t>
        </is>
      </c>
      <c r="E118" s="16" t="n">
        <v>1</v>
      </c>
      <c r="F118" s="17" t="n">
        <v>4209.32</v>
      </c>
      <c r="G118" s="17">
        <f>E118*F118</f>
        <v/>
      </c>
      <c r="H118" s="16" t="n">
        <v>0.6899999999999999</v>
      </c>
      <c r="I118" s="17">
        <f>G118*H118</f>
        <v/>
      </c>
    </row>
    <row r="119">
      <c r="A119" s="11" t="inlineStr">
        <is>
          <t>MÃO DE OBRA</t>
        </is>
      </c>
      <c r="B119" s="11" t="inlineStr">
        <is>
          <t>P0065</t>
        </is>
      </c>
      <c r="C119" s="11" t="inlineStr">
        <is>
          <t>Encarregado de Frente</t>
        </is>
      </c>
      <c r="D119" s="15" t="inlineStr">
        <is>
          <t>DIRETO</t>
        </is>
      </c>
      <c r="E119" s="16" t="n">
        <v>1</v>
      </c>
      <c r="F119" s="17" t="n">
        <v>7500</v>
      </c>
      <c r="G119" s="17">
        <f>E119*F119</f>
        <v/>
      </c>
      <c r="H119" s="16" t="n">
        <v>0.6899999999999999</v>
      </c>
      <c r="I119" s="17">
        <f>G119*H119</f>
        <v/>
      </c>
    </row>
    <row r="120">
      <c r="A120" s="11" t="inlineStr">
        <is>
          <t>MÃO DE OBRA</t>
        </is>
      </c>
      <c r="B120" s="11" t="inlineStr">
        <is>
          <t>P0032</t>
        </is>
      </c>
      <c r="C120" s="11" t="inlineStr">
        <is>
          <t>Motorista de Caminhão Basculante</t>
        </is>
      </c>
      <c r="D120" s="15" t="inlineStr">
        <is>
          <t>DIRETO</t>
        </is>
      </c>
      <c r="E120" s="16" t="n">
        <v>7</v>
      </c>
      <c r="F120" s="17" t="n">
        <v>6341.17</v>
      </c>
      <c r="G120" s="17">
        <f>E120*F120</f>
        <v/>
      </c>
      <c r="H120" s="16" t="n">
        <v>0.6899999999999999</v>
      </c>
      <c r="I120" s="17">
        <f>G120*H120</f>
        <v/>
      </c>
    </row>
    <row r="121">
      <c r="A121" s="11" t="inlineStr">
        <is>
          <t>EQUIPAMENTO</t>
        </is>
      </c>
      <c r="B121" s="11" t="inlineStr">
        <is>
          <t>EQ-E0015</t>
        </is>
      </c>
      <c r="C121" s="11" t="inlineStr">
        <is>
          <t>Distribuidor de Brita</t>
        </is>
      </c>
      <c r="D121" s="18" t="inlineStr">
        <is>
          <t>—</t>
        </is>
      </c>
      <c r="E121" s="16" t="n">
        <v>1</v>
      </c>
      <c r="F121" s="17" t="n">
        <v>3449.6</v>
      </c>
      <c r="G121" s="17">
        <f>E121*F121</f>
        <v/>
      </c>
      <c r="H121" s="16" t="n">
        <v>0.6899999999999999</v>
      </c>
      <c r="I121" s="17">
        <f>G121*H121</f>
        <v/>
      </c>
    </row>
    <row r="122">
      <c r="A122" s="19" t="inlineStr">
        <is>
          <t>COMBUSTÍVEL</t>
        </is>
      </c>
      <c r="B122" s="11" t="inlineStr">
        <is>
          <t>EQ-E0015</t>
        </is>
      </c>
      <c r="C122" s="11" t="inlineStr">
        <is>
          <t>Diesel S-10 (1.5 L/h)</t>
        </is>
      </c>
      <c r="D122" s="18" t="inlineStr">
        <is>
          <t>—</t>
        </is>
      </c>
      <c r="E122" s="16" t="n">
        <v>1</v>
      </c>
      <c r="F122" s="17" t="n">
        <v>1913.14</v>
      </c>
      <c r="G122" s="17">
        <f>E122*F122</f>
        <v/>
      </c>
      <c r="H122" s="16" t="n">
        <v>0.6899999999999999</v>
      </c>
      <c r="I122" s="17">
        <f>G122*H122</f>
        <v/>
      </c>
    </row>
    <row r="123">
      <c r="A123" s="11" t="inlineStr">
        <is>
          <t>EQUIPAMENTO</t>
        </is>
      </c>
      <c r="B123" s="11" t="inlineStr">
        <is>
          <t>EQ-E0002</t>
        </is>
      </c>
      <c r="C123" s="11" t="inlineStr">
        <is>
          <t>Betoneira 400L</t>
        </is>
      </c>
      <c r="D123" s="18" t="inlineStr">
        <is>
          <t>—</t>
        </is>
      </c>
      <c r="E123" s="16" t="n">
        <v>7</v>
      </c>
      <c r="F123" s="17" t="n">
        <v>607.2</v>
      </c>
      <c r="G123" s="17">
        <f>E123*F123</f>
        <v/>
      </c>
      <c r="H123" s="16" t="n">
        <v>0.6899999999999999</v>
      </c>
      <c r="I123" s="17">
        <f>G123*H123</f>
        <v/>
      </c>
    </row>
    <row r="124">
      <c r="A124" s="19" t="inlineStr">
        <is>
          <t>COMBUSTÍVEL</t>
        </is>
      </c>
      <c r="B124" s="11" t="inlineStr">
        <is>
          <t>EQ-E0002</t>
        </is>
      </c>
      <c r="C124" s="11" t="inlineStr">
        <is>
          <t>Diesel S-10 (1.5 L/h)</t>
        </is>
      </c>
      <c r="D124" s="18" t="inlineStr">
        <is>
          <t>—</t>
        </is>
      </c>
      <c r="E124" s="16" t="n">
        <v>7</v>
      </c>
      <c r="F124" s="17" t="n">
        <v>1913.14</v>
      </c>
      <c r="G124" s="17">
        <f>E124*F124</f>
        <v/>
      </c>
      <c r="H124" s="16" t="n">
        <v>0.6899999999999999</v>
      </c>
      <c r="I124" s="17">
        <f>G124*H124</f>
        <v/>
      </c>
    </row>
    <row r="125">
      <c r="A125" s="20" t="inlineStr">
        <is>
          <t>Subtotal eap-1_2</t>
        </is>
      </c>
      <c r="B125" s="21" t="n"/>
      <c r="C125" s="21" t="n"/>
      <c r="D125" s="21" t="n"/>
      <c r="E125" s="21" t="n"/>
      <c r="F125" s="21" t="n"/>
      <c r="G125" s="22">
        <f>SUM(G117:G124)</f>
        <v/>
      </c>
      <c r="H125" s="23" t="n">
        <v>0.6899999999999999</v>
      </c>
      <c r="I125" s="22">
        <f>SUM(I117:I124)</f>
        <v/>
      </c>
    </row>
    <row r="126">
      <c r="A126" s="9" t="inlineStr">
        <is>
          <t>eap-1_3 — Regularização de bota-fora com espalhamento e compactação</t>
        </is>
      </c>
    </row>
    <row r="127">
      <c r="A127" s="13" t="inlineStr">
        <is>
          <t>MÃO DE OBRA</t>
        </is>
      </c>
      <c r="B127" s="13" t="inlineStr">
        <is>
          <t>MO-OPER-MOTO</t>
        </is>
      </c>
      <c r="C127" s="13" t="inlineStr">
        <is>
          <t>Operador de Motoniveladora</t>
        </is>
      </c>
      <c r="D127" s="24" t="inlineStr">
        <is>
          <t>DIRETO</t>
        </is>
      </c>
      <c r="E127" s="25" t="n">
        <v>1</v>
      </c>
      <c r="F127" s="26" t="n">
        <v>17356.25</v>
      </c>
      <c r="G127" s="26">
        <f>E127*F127</f>
        <v/>
      </c>
      <c r="H127" s="25" t="n">
        <v>0.6899999999999999</v>
      </c>
      <c r="I127" s="26">
        <f>G127*H127</f>
        <v/>
      </c>
    </row>
    <row r="128">
      <c r="A128" s="13" t="inlineStr">
        <is>
          <t>MÃO DE OBRA</t>
        </is>
      </c>
      <c r="B128" s="13" t="inlineStr">
        <is>
          <t>MO-OPER-ROLO-COMP</t>
        </is>
      </c>
      <c r="C128" s="13" t="inlineStr">
        <is>
          <t>Operador de Rolo Compactador</t>
        </is>
      </c>
      <c r="D128" s="24" t="inlineStr">
        <is>
          <t>DIRETO</t>
        </is>
      </c>
      <c r="E128" s="25" t="n">
        <v>1</v>
      </c>
      <c r="F128" s="26" t="n">
        <v>10685.34</v>
      </c>
      <c r="G128" s="26">
        <f>E128*F128</f>
        <v/>
      </c>
      <c r="H128" s="25" t="n">
        <v>0.6899999999999999</v>
      </c>
      <c r="I128" s="26">
        <f>G128*H128</f>
        <v/>
      </c>
    </row>
    <row r="129">
      <c r="A129" s="13" t="inlineStr">
        <is>
          <t>MÃO DE OBRA</t>
        </is>
      </c>
      <c r="B129" s="13" t="inlineStr">
        <is>
          <t>MO-OPER-ROLO-COMP</t>
        </is>
      </c>
      <c r="C129" s="13" t="inlineStr">
        <is>
          <t>Operador de Rolo Compactador</t>
        </is>
      </c>
      <c r="D129" s="24" t="inlineStr">
        <is>
          <t>DIRETO</t>
        </is>
      </c>
      <c r="E129" s="25" t="n">
        <v>1</v>
      </c>
      <c r="F129" s="26" t="n">
        <v>10685.34</v>
      </c>
      <c r="G129" s="26">
        <f>E129*F129</f>
        <v/>
      </c>
      <c r="H129" s="25" t="n">
        <v>0.6899999999999999</v>
      </c>
      <c r="I129" s="26">
        <f>G129*H129</f>
        <v/>
      </c>
    </row>
    <row r="130">
      <c r="A130" s="13" t="inlineStr">
        <is>
          <t>MÃO DE OBRA</t>
        </is>
      </c>
      <c r="B130" s="13" t="inlineStr">
        <is>
          <t>MO-ENCARREG-TERRA</t>
        </is>
      </c>
      <c r="C130" s="13" t="inlineStr">
        <is>
          <t>Encarregado de Terraplenagem</t>
        </is>
      </c>
      <c r="D130" s="24" t="inlineStr">
        <is>
          <t>DIRETO</t>
        </is>
      </c>
      <c r="E130" s="25" t="n">
        <v>1</v>
      </c>
      <c r="F130" s="26" t="n">
        <v>11549.8</v>
      </c>
      <c r="G130" s="26">
        <f>E130*F130</f>
        <v/>
      </c>
      <c r="H130" s="25" t="n">
        <v>0.6899999999999999</v>
      </c>
      <c r="I130" s="26">
        <f>G130*H130</f>
        <v/>
      </c>
    </row>
    <row r="131">
      <c r="A131" s="13" t="inlineStr">
        <is>
          <t>EQUIPAMENTO</t>
        </is>
      </c>
      <c r="B131" s="13" t="inlineStr">
        <is>
          <t>EQ-E0029</t>
        </is>
      </c>
      <c r="C131" s="13" t="inlineStr">
        <is>
          <t>Motoniveladora 140HP</t>
        </is>
      </c>
      <c r="D131" s="27" t="inlineStr">
        <is>
          <t>—</t>
        </is>
      </c>
      <c r="E131" s="25" t="n">
        <v>1</v>
      </c>
      <c r="F131" s="26" t="n">
        <v>43326.98</v>
      </c>
      <c r="G131" s="26">
        <f>E131*F131</f>
        <v/>
      </c>
      <c r="H131" s="25" t="n">
        <v>0.6899999999999999</v>
      </c>
      <c r="I131" s="26">
        <f>G131*H131</f>
        <v/>
      </c>
    </row>
    <row r="132">
      <c r="A132" s="28" t="inlineStr">
        <is>
          <t>COMBUSTÍVEL</t>
        </is>
      </c>
      <c r="B132" s="13" t="inlineStr">
        <is>
          <t>EQ-E0029</t>
        </is>
      </c>
      <c r="C132" s="13" t="inlineStr">
        <is>
          <t>Diesel S-10 (11.0 L/h)</t>
        </is>
      </c>
      <c r="D132" s="27" t="inlineStr">
        <is>
          <t>—</t>
        </is>
      </c>
      <c r="E132" s="25" t="n">
        <v>1</v>
      </c>
      <c r="F132" s="26" t="n">
        <v>14029.71</v>
      </c>
      <c r="G132" s="26">
        <f>E132*F132</f>
        <v/>
      </c>
      <c r="H132" s="25" t="n">
        <v>0.6899999999999999</v>
      </c>
      <c r="I132" s="26">
        <f>G132*H132</f>
        <v/>
      </c>
    </row>
    <row r="133">
      <c r="A133" s="13" t="inlineStr">
        <is>
          <t>EQUIPAMENTO</t>
        </is>
      </c>
      <c r="B133" s="13" t="inlineStr">
        <is>
          <t>EQ-E0035</t>
        </is>
      </c>
      <c r="C133" s="13" t="inlineStr">
        <is>
          <t>Trator de esteiras 20T</t>
        </is>
      </c>
      <c r="D133" s="27" t="inlineStr">
        <is>
          <t>—</t>
        </is>
      </c>
      <c r="E133" s="25" t="n">
        <v>1</v>
      </c>
      <c r="F133" s="26" t="n">
        <v>21683.2</v>
      </c>
      <c r="G133" s="26">
        <f>E133*F133</f>
        <v/>
      </c>
      <c r="H133" s="25" t="n">
        <v>0.6899999999999999</v>
      </c>
      <c r="I133" s="26">
        <f>G133*H133</f>
        <v/>
      </c>
    </row>
    <row r="134">
      <c r="A134" s="28" t="inlineStr">
        <is>
          <t>COMBUSTÍVEL</t>
        </is>
      </c>
      <c r="B134" s="13" t="inlineStr">
        <is>
          <t>EQ-E0035</t>
        </is>
      </c>
      <c r="C134" s="13" t="inlineStr">
        <is>
          <t>Diesel S-10 (18.0 L/h)</t>
        </is>
      </c>
      <c r="D134" s="27" t="inlineStr">
        <is>
          <t>—</t>
        </is>
      </c>
      <c r="E134" s="25" t="n">
        <v>1</v>
      </c>
      <c r="F134" s="26" t="n">
        <v>22957.71</v>
      </c>
      <c r="G134" s="26">
        <f>E134*F134</f>
        <v/>
      </c>
      <c r="H134" s="25" t="n">
        <v>0.6899999999999999</v>
      </c>
      <c r="I134" s="26">
        <f>G134*H134</f>
        <v/>
      </c>
    </row>
    <row r="135">
      <c r="A135" s="13" t="inlineStr">
        <is>
          <t>EQUIPAMENTO</t>
        </is>
      </c>
      <c r="B135" s="13" t="inlineStr">
        <is>
          <t>EQ-E0010</t>
        </is>
      </c>
      <c r="C135" s="13" t="inlineStr">
        <is>
          <t>Caminhão Pipa 10.000L</t>
        </is>
      </c>
      <c r="D135" s="27" t="inlineStr">
        <is>
          <t>—</t>
        </is>
      </c>
      <c r="E135" s="25" t="n">
        <v>1</v>
      </c>
      <c r="F135" s="26" t="n">
        <v>19360</v>
      </c>
      <c r="G135" s="26">
        <f>E135*F135</f>
        <v/>
      </c>
      <c r="H135" s="25" t="n">
        <v>0.6899999999999999</v>
      </c>
      <c r="I135" s="26">
        <f>G135*H135</f>
        <v/>
      </c>
    </row>
    <row r="136">
      <c r="A136" s="28" t="inlineStr">
        <is>
          <t>COMBUSTÍVEL</t>
        </is>
      </c>
      <c r="B136" s="13" t="inlineStr">
        <is>
          <t>EQ-E0010</t>
        </is>
      </c>
      <c r="C136" s="13" t="inlineStr">
        <is>
          <t>Diesel S-10 (2.0 L/h)</t>
        </is>
      </c>
      <c r="D136" s="27" t="inlineStr">
        <is>
          <t>—</t>
        </is>
      </c>
      <c r="E136" s="25" t="n">
        <v>1</v>
      </c>
      <c r="F136" s="26" t="n">
        <v>2550.86</v>
      </c>
      <c r="G136" s="26">
        <f>E136*F136</f>
        <v/>
      </c>
      <c r="H136" s="25" t="n">
        <v>0.6899999999999999</v>
      </c>
      <c r="I136" s="26">
        <f>G136*H136</f>
        <v/>
      </c>
    </row>
    <row r="137">
      <c r="A137" s="20" t="inlineStr">
        <is>
          <t>Subtotal eap-1_3</t>
        </is>
      </c>
      <c r="B137" s="21" t="n"/>
      <c r="C137" s="21" t="n"/>
      <c r="D137" s="21" t="n"/>
      <c r="E137" s="21" t="n"/>
      <c r="F137" s="21" t="n"/>
      <c r="G137" s="22">
        <f>SUM(G127:G136)</f>
        <v/>
      </c>
      <c r="H137" s="23" t="n">
        <v>0.6899999999999999</v>
      </c>
      <c r="I137" s="22">
        <f>SUM(I127:I136)</f>
        <v/>
      </c>
    </row>
    <row r="138">
      <c r="A138" s="9" t="inlineStr">
        <is>
          <t>eap-1_1 — Limpeza mecanizada da camada vegetal (espessura média de 30 cm) - volume geométrico</t>
        </is>
      </c>
    </row>
    <row r="139">
      <c r="A139" s="11" t="inlineStr">
        <is>
          <t>MÃO DE OBRA</t>
        </is>
      </c>
      <c r="B139" s="11" t="inlineStr">
        <is>
          <t>MO-OPER-ESCAV</t>
        </is>
      </c>
      <c r="C139" s="11" t="inlineStr">
        <is>
          <t>Operador de Escavadeira</t>
        </is>
      </c>
      <c r="D139" s="15" t="inlineStr">
        <is>
          <t>DIRETO</t>
        </is>
      </c>
      <c r="E139" s="16" t="n">
        <v>1</v>
      </c>
      <c r="F139" s="17" t="n">
        <v>12875</v>
      </c>
      <c r="G139" s="17">
        <f>E139*F139</f>
        <v/>
      </c>
      <c r="H139" s="16" t="n">
        <v>1.38</v>
      </c>
      <c r="I139" s="17">
        <f>G139*H139</f>
        <v/>
      </c>
    </row>
    <row r="140">
      <c r="A140" s="11" t="inlineStr">
        <is>
          <t>MÃO DE OBRA</t>
        </is>
      </c>
      <c r="B140" s="11" t="inlineStr">
        <is>
          <t>MO-OPER-TRATOR-EST</t>
        </is>
      </c>
      <c r="C140" s="11" t="inlineStr">
        <is>
          <t>Operador de Trator de Esteiras</t>
        </is>
      </c>
      <c r="D140" s="15" t="inlineStr">
        <is>
          <t>DIRETO</t>
        </is>
      </c>
      <c r="E140" s="16" t="n">
        <v>1</v>
      </c>
      <c r="F140" s="17" t="n">
        <v>12875</v>
      </c>
      <c r="G140" s="17">
        <f>E140*F140</f>
        <v/>
      </c>
      <c r="H140" s="16" t="n">
        <v>1.38</v>
      </c>
      <c r="I140" s="17">
        <f>G140*H140</f>
        <v/>
      </c>
    </row>
    <row r="141">
      <c r="A141" s="11" t="inlineStr">
        <is>
          <t>MÃO DE OBRA</t>
        </is>
      </c>
      <c r="B141" s="11" t="inlineStr">
        <is>
          <t>MO-AJUDANTE</t>
        </is>
      </c>
      <c r="C141" s="11" t="inlineStr">
        <is>
          <t>Ajudante</t>
        </is>
      </c>
      <c r="D141" s="15" t="inlineStr">
        <is>
          <t>DIRETO</t>
        </is>
      </c>
      <c r="E141" s="16" t="n">
        <v>3</v>
      </c>
      <c r="F141" s="17" t="n">
        <v>5261.65</v>
      </c>
      <c r="G141" s="17">
        <f>E141*F141</f>
        <v/>
      </c>
      <c r="H141" s="16" t="n">
        <v>1.38</v>
      </c>
      <c r="I141" s="17">
        <f>G141*H141</f>
        <v/>
      </c>
    </row>
    <row r="142">
      <c r="A142" s="11" t="inlineStr">
        <is>
          <t>EQUIPAMENTO</t>
        </is>
      </c>
      <c r="B142" s="11" t="inlineStr">
        <is>
          <t>EQ-E0016</t>
        </is>
      </c>
      <c r="C142" s="11" t="inlineStr">
        <is>
          <t>Escavadeira Hidráulica 22t</t>
        </is>
      </c>
      <c r="D142" s="18" t="inlineStr">
        <is>
          <t>—</t>
        </is>
      </c>
      <c r="E142" s="16" t="n">
        <v>1</v>
      </c>
      <c r="F142" s="17" t="n">
        <v>35639.3</v>
      </c>
      <c r="G142" s="17">
        <f>E142*F142</f>
        <v/>
      </c>
      <c r="H142" s="16" t="n">
        <v>1.38</v>
      </c>
      <c r="I142" s="17">
        <f>G142*H142</f>
        <v/>
      </c>
    </row>
    <row r="143">
      <c r="A143" s="11" t="inlineStr">
        <is>
          <t>EQUIPAMENTO</t>
        </is>
      </c>
      <c r="B143" s="11" t="inlineStr">
        <is>
          <t>EQ-E0024</t>
        </is>
      </c>
      <c r="C143" s="11" t="inlineStr">
        <is>
          <t>Trator de Esteiras 20t (300HP)</t>
        </is>
      </c>
      <c r="D143" s="18" t="inlineStr">
        <is>
          <t>—</t>
        </is>
      </c>
      <c r="E143" s="16" t="n">
        <v>1</v>
      </c>
      <c r="F143" s="17" t="n">
        <v>49477.12</v>
      </c>
      <c r="G143" s="17">
        <f>E143*F143</f>
        <v/>
      </c>
      <c r="H143" s="16" t="n">
        <v>1.38</v>
      </c>
      <c r="I143" s="17">
        <f>G143*H143</f>
        <v/>
      </c>
    </row>
    <row r="144">
      <c r="A144" s="19" t="inlineStr">
        <is>
          <t>COMBUSTÍVEL</t>
        </is>
      </c>
      <c r="B144" s="11" t="inlineStr">
        <is>
          <t>EQ-E0024</t>
        </is>
      </c>
      <c r="C144" s="11" t="inlineStr">
        <is>
          <t>Diesel S-10 (18.0 L/h)</t>
        </is>
      </c>
      <c r="D144" s="18" t="inlineStr">
        <is>
          <t>—</t>
        </is>
      </c>
      <c r="E144" s="16" t="n">
        <v>1</v>
      </c>
      <c r="F144" s="17" t="n">
        <v>22957.71</v>
      </c>
      <c r="G144" s="17">
        <f>E144*F144</f>
        <v/>
      </c>
      <c r="H144" s="16" t="n">
        <v>1.38</v>
      </c>
      <c r="I144" s="17">
        <f>G144*H144</f>
        <v/>
      </c>
    </row>
    <row r="145">
      <c r="A145" s="20" t="inlineStr">
        <is>
          <t>Subtotal eap-1_1</t>
        </is>
      </c>
      <c r="B145" s="21" t="n"/>
      <c r="C145" s="21" t="n"/>
      <c r="D145" s="21" t="n"/>
      <c r="E145" s="21" t="n"/>
      <c r="F145" s="21" t="n"/>
      <c r="G145" s="22">
        <f>SUM(G139:G144)</f>
        <v/>
      </c>
      <c r="H145" s="23" t="n">
        <v>1.38</v>
      </c>
      <c r="I145" s="22">
        <f>SUM(I139:I144)</f>
        <v/>
      </c>
    </row>
    <row r="146">
      <c r="A146" s="9" t="inlineStr">
        <is>
          <t>eap-5_6 — Regularização de valas com apiloamento do fundo</t>
        </is>
      </c>
    </row>
    <row r="147">
      <c r="A147" s="13" t="inlineStr">
        <is>
          <t>MÃO DE OBRA</t>
        </is>
      </c>
      <c r="B147" s="13" t="inlineStr">
        <is>
          <t>MO-OPER-MOTO</t>
        </is>
      </c>
      <c r="C147" s="13" t="inlineStr">
        <is>
          <t>Operador de Motoniveladora</t>
        </is>
      </c>
      <c r="D147" s="24" t="inlineStr">
        <is>
          <t>DIRETO</t>
        </is>
      </c>
      <c r="E147" s="25" t="n">
        <v>1</v>
      </c>
      <c r="F147" s="26" t="n">
        <v>17356.25</v>
      </c>
      <c r="G147" s="26">
        <f>E147*F147</f>
        <v/>
      </c>
      <c r="H147" s="25" t="n">
        <v>0.23</v>
      </c>
      <c r="I147" s="26">
        <f>G147*H147</f>
        <v/>
      </c>
    </row>
    <row r="148">
      <c r="A148" s="13" t="inlineStr">
        <is>
          <t>MÃO DE OBRA</t>
        </is>
      </c>
      <c r="B148" s="13" t="inlineStr">
        <is>
          <t>MO-ENCARREG-TERRA</t>
        </is>
      </c>
      <c r="C148" s="13" t="inlineStr">
        <is>
          <t>Encarregado de Terraplenagem</t>
        </is>
      </c>
      <c r="D148" s="24" t="inlineStr">
        <is>
          <t>DIRETO</t>
        </is>
      </c>
      <c r="E148" s="25" t="n">
        <v>1</v>
      </c>
      <c r="F148" s="26" t="n">
        <v>11549.8</v>
      </c>
      <c r="G148" s="26">
        <f>E148*F148</f>
        <v/>
      </c>
      <c r="H148" s="25" t="n">
        <v>0.23</v>
      </c>
      <c r="I148" s="26">
        <f>G148*H148</f>
        <v/>
      </c>
    </row>
    <row r="149">
      <c r="A149" s="13" t="inlineStr">
        <is>
          <t>EQUIPAMENTO</t>
        </is>
      </c>
      <c r="B149" s="13" t="inlineStr">
        <is>
          <t>EQ-E0029</t>
        </is>
      </c>
      <c r="C149" s="13" t="inlineStr">
        <is>
          <t>Motoniveladora 140HP</t>
        </is>
      </c>
      <c r="D149" s="27" t="inlineStr">
        <is>
          <t>—</t>
        </is>
      </c>
      <c r="E149" s="25" t="n">
        <v>1</v>
      </c>
      <c r="F149" s="26" t="n">
        <v>43326.98</v>
      </c>
      <c r="G149" s="26">
        <f>E149*F149</f>
        <v/>
      </c>
      <c r="H149" s="25" t="n">
        <v>0.23</v>
      </c>
      <c r="I149" s="26">
        <f>G149*H149</f>
        <v/>
      </c>
    </row>
    <row r="150">
      <c r="A150" s="28" t="inlineStr">
        <is>
          <t>COMBUSTÍVEL</t>
        </is>
      </c>
      <c r="B150" s="13" t="inlineStr">
        <is>
          <t>EQ-E0029</t>
        </is>
      </c>
      <c r="C150" s="13" t="inlineStr">
        <is>
          <t>Diesel S-10 (11.0 L/h)</t>
        </is>
      </c>
      <c r="D150" s="27" t="inlineStr">
        <is>
          <t>—</t>
        </is>
      </c>
      <c r="E150" s="25" t="n">
        <v>1</v>
      </c>
      <c r="F150" s="26" t="n">
        <v>14029.71</v>
      </c>
      <c r="G150" s="26">
        <f>E150*F150</f>
        <v/>
      </c>
      <c r="H150" s="25" t="n">
        <v>0.23</v>
      </c>
      <c r="I150" s="26">
        <f>G150*H150</f>
        <v/>
      </c>
    </row>
    <row r="151">
      <c r="A151" s="20" t="inlineStr">
        <is>
          <t>Subtotal eap-5_6</t>
        </is>
      </c>
      <c r="B151" s="21" t="n"/>
      <c r="C151" s="21" t="n"/>
      <c r="D151" s="21" t="n"/>
      <c r="E151" s="21" t="n"/>
      <c r="F151" s="21" t="n"/>
      <c r="G151" s="22">
        <f>SUM(G147:G150)</f>
        <v/>
      </c>
      <c r="H151" s="23" t="n">
        <v>0.23</v>
      </c>
      <c r="I151" s="22">
        <f>SUM(I147:I150)</f>
        <v/>
      </c>
    </row>
    <row r="152">
      <c r="A152" s="9" t="inlineStr">
        <is>
          <t>eap-6_5 — Pintura de faixa com tinta acrílica - espessura de 0,6 mm</t>
        </is>
      </c>
    </row>
    <row r="153">
      <c r="A153" s="11" t="inlineStr">
        <is>
          <t>MÃO DE OBRA</t>
        </is>
      </c>
      <c r="B153" s="11" t="inlineStr">
        <is>
          <t>MO-OPER-ESPARG</t>
        </is>
      </c>
      <c r="C153" s="11" t="inlineStr">
        <is>
          <t>Operador de Espargidor</t>
        </is>
      </c>
      <c r="D153" s="15" t="inlineStr">
        <is>
          <t>DIRETO</t>
        </is>
      </c>
      <c r="E153" s="16" t="n">
        <v>1</v>
      </c>
      <c r="F153" s="17" t="n">
        <v>13892.78</v>
      </c>
      <c r="G153" s="17">
        <f>E153*F153</f>
        <v/>
      </c>
      <c r="H153" s="16" t="n">
        <v>0.23</v>
      </c>
      <c r="I153" s="17">
        <f>G153*H153</f>
        <v/>
      </c>
    </row>
    <row r="154">
      <c r="A154" s="11" t="inlineStr">
        <is>
          <t>MÃO DE OBRA</t>
        </is>
      </c>
      <c r="B154" s="11" t="inlineStr">
        <is>
          <t>MO-MOTOR-CAM-PIPA</t>
        </is>
      </c>
      <c r="C154" s="11" t="inlineStr">
        <is>
          <t>Motorista de Caminhão Pipa</t>
        </is>
      </c>
      <c r="D154" s="15" t="inlineStr">
        <is>
          <t>DIRETO</t>
        </is>
      </c>
      <c r="E154" s="16" t="n">
        <v>1</v>
      </c>
      <c r="F154" s="17" t="n">
        <v>10685.34</v>
      </c>
      <c r="G154" s="17">
        <f>E154*F154</f>
        <v/>
      </c>
      <c r="H154" s="16" t="n">
        <v>0.23</v>
      </c>
      <c r="I154" s="17">
        <f>G154*H154</f>
        <v/>
      </c>
    </row>
    <row r="155">
      <c r="A155" s="11" t="inlineStr">
        <is>
          <t>MÃO DE OBRA</t>
        </is>
      </c>
      <c r="B155" s="11" t="inlineStr">
        <is>
          <t>MO-SINALEIRO</t>
        </is>
      </c>
      <c r="C155" s="11" t="inlineStr">
        <is>
          <t>Sinaleiro</t>
        </is>
      </c>
      <c r="D155" s="15" t="inlineStr">
        <is>
          <t>DIRETO</t>
        </is>
      </c>
      <c r="E155" s="16" t="n">
        <v>1</v>
      </c>
      <c r="F155" s="17" t="n">
        <v>5811.57</v>
      </c>
      <c r="G155" s="17">
        <f>E155*F155</f>
        <v/>
      </c>
      <c r="H155" s="16" t="n">
        <v>0.23</v>
      </c>
      <c r="I155" s="17">
        <f>G155*H155</f>
        <v/>
      </c>
    </row>
    <row r="156">
      <c r="A156" s="11" t="inlineStr">
        <is>
          <t>EQUIPAMENTO</t>
        </is>
      </c>
      <c r="B156" s="11" t="inlineStr">
        <is>
          <t>EQ-E0020</t>
        </is>
      </c>
      <c r="C156" s="11" t="inlineStr">
        <is>
          <t>Espargidor de Ligante Betuminoso</t>
        </is>
      </c>
      <c r="D156" s="18" t="inlineStr">
        <is>
          <t>—</t>
        </is>
      </c>
      <c r="E156" s="16" t="n">
        <v>1</v>
      </c>
      <c r="F156" s="17" t="n">
        <v>17248</v>
      </c>
      <c r="G156" s="17">
        <f>E156*F156</f>
        <v/>
      </c>
      <c r="H156" s="16" t="n">
        <v>0.23</v>
      </c>
      <c r="I156" s="17">
        <f>G156*H156</f>
        <v/>
      </c>
    </row>
    <row r="157">
      <c r="A157" s="19" t="inlineStr">
        <is>
          <t>COMBUSTÍVEL</t>
        </is>
      </c>
      <c r="B157" s="11" t="inlineStr">
        <is>
          <t>EQ-E0020</t>
        </is>
      </c>
      <c r="C157" s="11" t="inlineStr">
        <is>
          <t>Diesel S-10 (2.5 L/h)</t>
        </is>
      </c>
      <c r="D157" s="18" t="inlineStr">
        <is>
          <t>—</t>
        </is>
      </c>
      <c r="E157" s="16" t="n">
        <v>1</v>
      </c>
      <c r="F157" s="17" t="n">
        <v>3188.57</v>
      </c>
      <c r="G157" s="17">
        <f>E157*F157</f>
        <v/>
      </c>
      <c r="H157" s="16" t="n">
        <v>0.23</v>
      </c>
      <c r="I157" s="17">
        <f>G157*H157</f>
        <v/>
      </c>
    </row>
    <row r="158">
      <c r="A158" s="11" t="inlineStr">
        <is>
          <t>EQUIPAMENTO</t>
        </is>
      </c>
      <c r="B158" s="11" t="inlineStr">
        <is>
          <t>EQ-E0010</t>
        </is>
      </c>
      <c r="C158" s="11" t="inlineStr">
        <is>
          <t>Caminhão Pipa 10.000L</t>
        </is>
      </c>
      <c r="D158" s="18" t="inlineStr">
        <is>
          <t>—</t>
        </is>
      </c>
      <c r="E158" s="16" t="n">
        <v>1</v>
      </c>
      <c r="F158" s="17" t="n">
        <v>19360</v>
      </c>
      <c r="G158" s="17">
        <f>E158*F158</f>
        <v/>
      </c>
      <c r="H158" s="16" t="n">
        <v>0.23</v>
      </c>
      <c r="I158" s="17">
        <f>G158*H158</f>
        <v/>
      </c>
    </row>
    <row r="159">
      <c r="A159" s="19" t="inlineStr">
        <is>
          <t>COMBUSTÍVEL</t>
        </is>
      </c>
      <c r="B159" s="11" t="inlineStr">
        <is>
          <t>EQ-E0010</t>
        </is>
      </c>
      <c r="C159" s="11" t="inlineStr">
        <is>
          <t>Diesel S-10 (2.0 L/h)</t>
        </is>
      </c>
      <c r="D159" s="18" t="inlineStr">
        <is>
          <t>—</t>
        </is>
      </c>
      <c r="E159" s="16" t="n">
        <v>1</v>
      </c>
      <c r="F159" s="17" t="n">
        <v>2550.86</v>
      </c>
      <c r="G159" s="17">
        <f>E159*F159</f>
        <v/>
      </c>
      <c r="H159" s="16" t="n">
        <v>0.23</v>
      </c>
      <c r="I159" s="17">
        <f>G159*H159</f>
        <v/>
      </c>
    </row>
    <row r="160">
      <c r="A160" s="20" t="inlineStr">
        <is>
          <t>Subtotal eap-6_5</t>
        </is>
      </c>
      <c r="B160" s="21" t="n"/>
      <c r="C160" s="21" t="n"/>
      <c r="D160" s="21" t="n"/>
      <c r="E160" s="21" t="n"/>
      <c r="F160" s="21" t="n"/>
      <c r="G160" s="22">
        <f>SUM(G153:G159)</f>
        <v/>
      </c>
      <c r="H160" s="23" t="n">
        <v>0.23</v>
      </c>
      <c r="I160" s="22">
        <f>SUM(I153:I159)</f>
        <v/>
      </c>
    </row>
    <row r="161">
      <c r="A161" s="9" t="inlineStr">
        <is>
          <t>eap-6_11 — Ancoragem de defensa semimaleável simples - fornecimento e implantação</t>
        </is>
      </c>
    </row>
    <row r="162">
      <c r="A162" s="13" t="inlineStr">
        <is>
          <t>MÃO DE OBRA</t>
        </is>
      </c>
      <c r="B162" s="13" t="inlineStr">
        <is>
          <t>MO-ENCARREG-TERRA</t>
        </is>
      </c>
      <c r="C162" s="13" t="inlineStr">
        <is>
          <t>Encarregado de Terraplenagem</t>
        </is>
      </c>
      <c r="D162" s="24" t="inlineStr">
        <is>
          <t>DIRETO</t>
        </is>
      </c>
      <c r="E162" s="25" t="n">
        <v>1</v>
      </c>
      <c r="F162" s="26" t="n">
        <v>11549.8</v>
      </c>
      <c r="G162" s="26">
        <f>E162*F162</f>
        <v/>
      </c>
      <c r="H162" s="25" t="n">
        <v>0.23</v>
      </c>
      <c r="I162" s="26">
        <f>G162*H162</f>
        <v/>
      </c>
    </row>
    <row r="163">
      <c r="A163" s="13" t="inlineStr">
        <is>
          <t>MÃO DE OBRA</t>
        </is>
      </c>
      <c r="B163" s="13" t="inlineStr">
        <is>
          <t>MO-CERQUEIRO</t>
        </is>
      </c>
      <c r="C163" s="13" t="inlineStr">
        <is>
          <t>Cerqueiro</t>
        </is>
      </c>
      <c r="D163" s="24" t="inlineStr">
        <is>
          <t>DIRETO</t>
        </is>
      </c>
      <c r="E163" s="25" t="n">
        <v>3</v>
      </c>
      <c r="F163" s="26" t="n">
        <v>9901.17</v>
      </c>
      <c r="G163" s="26">
        <f>E163*F163</f>
        <v/>
      </c>
      <c r="H163" s="25" t="n">
        <v>0.23</v>
      </c>
      <c r="I163" s="26">
        <f>G163*H163</f>
        <v/>
      </c>
    </row>
    <row r="164">
      <c r="A164" s="13" t="inlineStr">
        <is>
          <t>EQUIPAMENTO</t>
        </is>
      </c>
      <c r="B164" s="13" t="inlineStr">
        <is>
          <t>EQ-E0001</t>
        </is>
      </c>
      <c r="C164" s="13" t="inlineStr">
        <is>
          <t>Automóvel (veículo leve)</t>
        </is>
      </c>
      <c r="D164" s="27" t="inlineStr">
        <is>
          <t>—</t>
        </is>
      </c>
      <c r="E164" s="25" t="n">
        <v>1</v>
      </c>
      <c r="F164" s="26" t="n">
        <v>3872</v>
      </c>
      <c r="G164" s="26">
        <f>E164*F164</f>
        <v/>
      </c>
      <c r="H164" s="25" t="n">
        <v>0.23</v>
      </c>
      <c r="I164" s="26">
        <f>G164*H164</f>
        <v/>
      </c>
    </row>
    <row r="165">
      <c r="A165" s="28" t="inlineStr">
        <is>
          <t>COMBUSTÍVEL</t>
        </is>
      </c>
      <c r="B165" s="13" t="inlineStr">
        <is>
          <t>EQ-E0001</t>
        </is>
      </c>
      <c r="C165" s="13" t="inlineStr">
        <is>
          <t>Diesel S-10 (0.8 L/h)</t>
        </is>
      </c>
      <c r="D165" s="27" t="inlineStr">
        <is>
          <t>—</t>
        </is>
      </c>
      <c r="E165" s="25" t="n">
        <v>1</v>
      </c>
      <c r="F165" s="26" t="n">
        <v>1020.34</v>
      </c>
      <c r="G165" s="26">
        <f>E165*F165</f>
        <v/>
      </c>
      <c r="H165" s="25" t="n">
        <v>0.23</v>
      </c>
      <c r="I165" s="26">
        <f>G165*H165</f>
        <v/>
      </c>
    </row>
    <row r="166">
      <c r="A166" s="20" t="inlineStr">
        <is>
          <t>Subtotal eap-6_11</t>
        </is>
      </c>
      <c r="B166" s="21" t="n"/>
      <c r="C166" s="21" t="n"/>
      <c r="D166" s="21" t="n"/>
      <c r="E166" s="21" t="n"/>
      <c r="F166" s="21" t="n"/>
      <c r="G166" s="22">
        <f>SUM(G162:G165)</f>
        <v/>
      </c>
      <c r="H166" s="23" t="n">
        <v>0.23</v>
      </c>
      <c r="I166" s="22">
        <f>SUM(I162:I165)</f>
        <v/>
      </c>
    </row>
    <row r="167">
      <c r="A167" s="9" t="inlineStr">
        <is>
          <t>eap-3_2 — Carregamento e transporte de material de demolição para bota fora interno ao TBR070 em basculante de 14m³ - DMT até 4 km</t>
        </is>
      </c>
    </row>
    <row r="168">
      <c r="A168" s="11" t="inlineStr">
        <is>
          <t>MÃO DE OBRA</t>
        </is>
      </c>
      <c r="B168" s="11" t="inlineStr">
        <is>
          <t>P0040</t>
        </is>
      </c>
      <c r="C168" s="11" t="inlineStr">
        <is>
          <t>Operador de Escavadeira</t>
        </is>
      </c>
      <c r="D168" s="15" t="inlineStr">
        <is>
          <t>DIRETO</t>
        </is>
      </c>
      <c r="E168" s="16" t="n">
        <v>1</v>
      </c>
      <c r="F168" s="17" t="n">
        <v>10300</v>
      </c>
      <c r="G168" s="17">
        <f>E168*F168</f>
        <v/>
      </c>
      <c r="H168" s="16" t="n">
        <v>0.23</v>
      </c>
      <c r="I168" s="17">
        <f>G168*H168</f>
        <v/>
      </c>
    </row>
    <row r="169">
      <c r="A169" s="11" t="inlineStr">
        <is>
          <t>MÃO DE OBRA</t>
        </is>
      </c>
      <c r="B169" s="11" t="inlineStr">
        <is>
          <t>P0001</t>
        </is>
      </c>
      <c r="C169" s="11" t="inlineStr">
        <is>
          <t>Ajudante</t>
        </is>
      </c>
      <c r="D169" s="15" t="inlineStr">
        <is>
          <t>DIRETO</t>
        </is>
      </c>
      <c r="E169" s="16" t="n">
        <v>1</v>
      </c>
      <c r="F169" s="17" t="n">
        <v>4209.32</v>
      </c>
      <c r="G169" s="17">
        <f>E169*F169</f>
        <v/>
      </c>
      <c r="H169" s="16" t="n">
        <v>0.23</v>
      </c>
      <c r="I169" s="17">
        <f>G169*H169</f>
        <v/>
      </c>
    </row>
    <row r="170">
      <c r="A170" s="11" t="inlineStr">
        <is>
          <t>MÃO DE OBRA</t>
        </is>
      </c>
      <c r="B170" s="11" t="inlineStr">
        <is>
          <t>P0065</t>
        </is>
      </c>
      <c r="C170" s="11" t="inlineStr">
        <is>
          <t>Encarregado de Frente</t>
        </is>
      </c>
      <c r="D170" s="15" t="inlineStr">
        <is>
          <t>DIRETO</t>
        </is>
      </c>
      <c r="E170" s="16" t="n">
        <v>1</v>
      </c>
      <c r="F170" s="17" t="n">
        <v>7500</v>
      </c>
      <c r="G170" s="17">
        <f>E170*F170</f>
        <v/>
      </c>
      <c r="H170" s="16" t="n">
        <v>0.23</v>
      </c>
      <c r="I170" s="17">
        <f>G170*H170</f>
        <v/>
      </c>
    </row>
    <row r="171">
      <c r="A171" s="11" t="inlineStr">
        <is>
          <t>MÃO DE OBRA</t>
        </is>
      </c>
      <c r="B171" s="11" t="inlineStr">
        <is>
          <t>P0032</t>
        </is>
      </c>
      <c r="C171" s="11" t="inlineStr">
        <is>
          <t>Motorista de Caminhão Basculante</t>
        </is>
      </c>
      <c r="D171" s="15" t="inlineStr">
        <is>
          <t>DIRETO</t>
        </is>
      </c>
      <c r="E171" s="16" t="n">
        <v>7</v>
      </c>
      <c r="F171" s="17" t="n">
        <v>6341.17</v>
      </c>
      <c r="G171" s="17">
        <f>E171*F171</f>
        <v/>
      </c>
      <c r="H171" s="16" t="n">
        <v>0.23</v>
      </c>
      <c r="I171" s="17">
        <f>G171*H171</f>
        <v/>
      </c>
    </row>
    <row r="172">
      <c r="A172" s="11" t="inlineStr">
        <is>
          <t>EQUIPAMENTO</t>
        </is>
      </c>
      <c r="B172" s="11" t="inlineStr">
        <is>
          <t>EQ-E0015</t>
        </is>
      </c>
      <c r="C172" s="11" t="inlineStr">
        <is>
          <t>Distribuidor de Brita</t>
        </is>
      </c>
      <c r="D172" s="18" t="inlineStr">
        <is>
          <t>—</t>
        </is>
      </c>
      <c r="E172" s="16" t="n">
        <v>1</v>
      </c>
      <c r="F172" s="17" t="n">
        <v>3449.6</v>
      </c>
      <c r="G172" s="17">
        <f>E172*F172</f>
        <v/>
      </c>
      <c r="H172" s="16" t="n">
        <v>0.23</v>
      </c>
      <c r="I172" s="17">
        <f>G172*H172</f>
        <v/>
      </c>
    </row>
    <row r="173">
      <c r="A173" s="19" t="inlineStr">
        <is>
          <t>COMBUSTÍVEL</t>
        </is>
      </c>
      <c r="B173" s="11" t="inlineStr">
        <is>
          <t>EQ-E0015</t>
        </is>
      </c>
      <c r="C173" s="11" t="inlineStr">
        <is>
          <t>Diesel S-10 (1.5 L/h)</t>
        </is>
      </c>
      <c r="D173" s="18" t="inlineStr">
        <is>
          <t>—</t>
        </is>
      </c>
      <c r="E173" s="16" t="n">
        <v>1</v>
      </c>
      <c r="F173" s="17" t="n">
        <v>1913.14</v>
      </c>
      <c r="G173" s="17">
        <f>E173*F173</f>
        <v/>
      </c>
      <c r="H173" s="16" t="n">
        <v>0.23</v>
      </c>
      <c r="I173" s="17">
        <f>G173*H173</f>
        <v/>
      </c>
    </row>
    <row r="174">
      <c r="A174" s="11" t="inlineStr">
        <is>
          <t>EQUIPAMENTO</t>
        </is>
      </c>
      <c r="B174" s="11" t="inlineStr">
        <is>
          <t>EQ-E0002</t>
        </is>
      </c>
      <c r="C174" s="11" t="inlineStr">
        <is>
          <t>Betoneira 400L</t>
        </is>
      </c>
      <c r="D174" s="18" t="inlineStr">
        <is>
          <t>—</t>
        </is>
      </c>
      <c r="E174" s="16" t="n">
        <v>7</v>
      </c>
      <c r="F174" s="17" t="n">
        <v>607.2</v>
      </c>
      <c r="G174" s="17">
        <f>E174*F174</f>
        <v/>
      </c>
      <c r="H174" s="16" t="n">
        <v>0.23</v>
      </c>
      <c r="I174" s="17">
        <f>G174*H174</f>
        <v/>
      </c>
    </row>
    <row r="175">
      <c r="A175" s="19" t="inlineStr">
        <is>
          <t>COMBUSTÍVEL</t>
        </is>
      </c>
      <c r="B175" s="11" t="inlineStr">
        <is>
          <t>EQ-E0002</t>
        </is>
      </c>
      <c r="C175" s="11" t="inlineStr">
        <is>
          <t>Diesel S-10 (1.5 L/h)</t>
        </is>
      </c>
      <c r="D175" s="18" t="inlineStr">
        <is>
          <t>—</t>
        </is>
      </c>
      <c r="E175" s="16" t="n">
        <v>7</v>
      </c>
      <c r="F175" s="17" t="n">
        <v>1913.14</v>
      </c>
      <c r="G175" s="17">
        <f>E175*F175</f>
        <v/>
      </c>
      <c r="H175" s="16" t="n">
        <v>0.23</v>
      </c>
      <c r="I175" s="17">
        <f>G175*H175</f>
        <v/>
      </c>
    </row>
    <row r="176">
      <c r="A176" s="20" t="inlineStr">
        <is>
          <t>Subtotal eap-3_2</t>
        </is>
      </c>
      <c r="B176" s="21" t="n"/>
      <c r="C176" s="21" t="n"/>
      <c r="D176" s="21" t="n"/>
      <c r="E176" s="21" t="n"/>
      <c r="F176" s="21" t="n"/>
      <c r="G176" s="22">
        <f>SUM(G168:G175)</f>
        <v/>
      </c>
      <c r="H176" s="23" t="n">
        <v>0.23</v>
      </c>
      <c r="I176" s="22">
        <f>SUM(I168:I175)</f>
        <v/>
      </c>
    </row>
    <row r="177">
      <c r="A177" s="9" t="inlineStr">
        <is>
          <t>eap-6_4 — Pintura de setas e zebrados com termoplástico por extrusão - espessura de 3,0 mm</t>
        </is>
      </c>
    </row>
    <row r="178">
      <c r="A178" s="13" t="inlineStr">
        <is>
          <t>MÃO DE OBRA</t>
        </is>
      </c>
      <c r="B178" s="13" t="inlineStr">
        <is>
          <t>MO-OPER-MOTO</t>
        </is>
      </c>
      <c r="C178" s="13" t="inlineStr">
        <is>
          <t>Operador de Motoniveladora</t>
        </is>
      </c>
      <c r="D178" s="24" t="inlineStr">
        <is>
          <t>DIRETO</t>
        </is>
      </c>
      <c r="E178" s="25" t="n">
        <v>1</v>
      </c>
      <c r="F178" s="26" t="n">
        <v>17356.25</v>
      </c>
      <c r="G178" s="26">
        <f>E178*F178</f>
        <v/>
      </c>
      <c r="H178" s="25" t="n">
        <v>0.23</v>
      </c>
      <c r="I178" s="26">
        <f>G178*H178</f>
        <v/>
      </c>
    </row>
    <row r="179">
      <c r="A179" s="13" t="inlineStr">
        <is>
          <t>MÃO DE OBRA</t>
        </is>
      </c>
      <c r="B179" s="13" t="inlineStr">
        <is>
          <t>MO-OPER-ROLO-COMP</t>
        </is>
      </c>
      <c r="C179" s="13" t="inlineStr">
        <is>
          <t>Operador de Rolo Compactador</t>
        </is>
      </c>
      <c r="D179" s="24" t="inlineStr">
        <is>
          <t>DIRETO</t>
        </is>
      </c>
      <c r="E179" s="25" t="n">
        <v>1</v>
      </c>
      <c r="F179" s="26" t="n">
        <v>10685.34</v>
      </c>
      <c r="G179" s="26">
        <f>E179*F179</f>
        <v/>
      </c>
      <c r="H179" s="25" t="n">
        <v>0.23</v>
      </c>
      <c r="I179" s="26">
        <f>G179*H179</f>
        <v/>
      </c>
    </row>
    <row r="180">
      <c r="A180" s="13" t="inlineStr">
        <is>
          <t>EQUIPAMENTO</t>
        </is>
      </c>
      <c r="B180" s="13" t="inlineStr">
        <is>
          <t>EQ-MOTONIVEL-140K</t>
        </is>
      </c>
      <c r="C180" s="13" t="inlineStr">
        <is>
          <t>Motoniveladora 140K</t>
        </is>
      </c>
      <c r="D180" s="27" t="inlineStr">
        <is>
          <t>—</t>
        </is>
      </c>
      <c r="E180" s="25" t="n">
        <v>1</v>
      </c>
      <c r="F180" s="26" t="n">
        <v>44816.64</v>
      </c>
      <c r="G180" s="26">
        <f>E180*F180</f>
        <v/>
      </c>
      <c r="H180" s="25" t="n">
        <v>0.23</v>
      </c>
      <c r="I180" s="26">
        <f>G180*H180</f>
        <v/>
      </c>
    </row>
    <row r="181">
      <c r="A181" s="28" t="inlineStr">
        <is>
          <t>COMBUSTÍVEL</t>
        </is>
      </c>
      <c r="B181" s="13" t="inlineStr">
        <is>
          <t>EQ-MOTONIVEL-140K</t>
        </is>
      </c>
      <c r="C181" s="13" t="inlineStr">
        <is>
          <t>Diesel S-10 (11.0 L/h)</t>
        </is>
      </c>
      <c r="D181" s="27" t="inlineStr">
        <is>
          <t>—</t>
        </is>
      </c>
      <c r="E181" s="25" t="n">
        <v>1</v>
      </c>
      <c r="F181" s="26" t="n">
        <v>14029.71</v>
      </c>
      <c r="G181" s="26">
        <f>E181*F181</f>
        <v/>
      </c>
      <c r="H181" s="25" t="n">
        <v>0.23</v>
      </c>
      <c r="I181" s="26">
        <f>G181*H181</f>
        <v/>
      </c>
    </row>
    <row r="182">
      <c r="A182" s="13" t="inlineStr">
        <is>
          <t>EQUIPAMENTO</t>
        </is>
      </c>
      <c r="B182" s="13" t="inlineStr">
        <is>
          <t>EQ-ROLO-LISO</t>
        </is>
      </c>
      <c r="C182" s="13" t="inlineStr">
        <is>
          <t>Rolo compactador liso</t>
        </is>
      </c>
      <c r="D182" s="27" t="inlineStr">
        <is>
          <t>—</t>
        </is>
      </c>
      <c r="E182" s="25" t="n">
        <v>1</v>
      </c>
      <c r="F182" s="26" t="n">
        <v>15840</v>
      </c>
      <c r="G182" s="26">
        <f>E182*F182</f>
        <v/>
      </c>
      <c r="H182" s="25" t="n">
        <v>0.23</v>
      </c>
      <c r="I182" s="26">
        <f>G182*H182</f>
        <v/>
      </c>
    </row>
    <row r="183">
      <c r="A183" s="28" t="inlineStr">
        <is>
          <t>COMBUSTÍVEL</t>
        </is>
      </c>
      <c r="B183" s="13" t="inlineStr">
        <is>
          <t>EQ-ROLO-LISO</t>
        </is>
      </c>
      <c r="C183" s="13" t="inlineStr">
        <is>
          <t>Diesel S-10 (7.0 L/h)</t>
        </is>
      </c>
      <c r="D183" s="27" t="inlineStr">
        <is>
          <t>—</t>
        </is>
      </c>
      <c r="E183" s="25" t="n">
        <v>1</v>
      </c>
      <c r="F183" s="26" t="n">
        <v>8928</v>
      </c>
      <c r="G183" s="26">
        <f>E183*F183</f>
        <v/>
      </c>
      <c r="H183" s="25" t="n">
        <v>0.23</v>
      </c>
      <c r="I183" s="26">
        <f>G183*H183</f>
        <v/>
      </c>
    </row>
    <row r="184">
      <c r="A184" s="20" t="inlineStr">
        <is>
          <t>Subtotal eap-6_4</t>
        </is>
      </c>
      <c r="B184" s="21" t="n"/>
      <c r="C184" s="21" t="n"/>
      <c r="D184" s="21" t="n"/>
      <c r="E184" s="21" t="n"/>
      <c r="F184" s="21" t="n"/>
      <c r="G184" s="22">
        <f>SUM(G178:G183)</f>
        <v/>
      </c>
      <c r="H184" s="23" t="n">
        <v>0.23</v>
      </c>
      <c r="I184" s="22">
        <f>SUM(I178:I183)</f>
        <v/>
      </c>
    </row>
    <row r="185">
      <c r="A185" s="9" t="inlineStr">
        <is>
          <t>eap-6_6 — Placa em alumínio composto, espessura de 3,0 mm, modulada, aérea - película retrorrefletiva tipo III + III - fornecimento e implantação</t>
        </is>
      </c>
    </row>
    <row r="186">
      <c r="A186" s="11" t="inlineStr">
        <is>
          <t>MÃO DE OBRA</t>
        </is>
      </c>
      <c r="B186" s="11" t="inlineStr">
        <is>
          <t>MO-OPER-VIBRO</t>
        </is>
      </c>
      <c r="C186" s="11" t="inlineStr">
        <is>
          <t>Operador de Vibroacabadora</t>
        </is>
      </c>
      <c r="D186" s="15" t="inlineStr">
        <is>
          <t>DIRETO</t>
        </is>
      </c>
      <c r="E186" s="16" t="n">
        <v>1</v>
      </c>
      <c r="F186" s="17" t="n">
        <v>8003.31</v>
      </c>
      <c r="G186" s="17">
        <f>E186*F186</f>
        <v/>
      </c>
      <c r="H186" s="16" t="n">
        <v>0.23</v>
      </c>
      <c r="I186" s="17">
        <f>G186*H186</f>
        <v/>
      </c>
    </row>
    <row r="187">
      <c r="A187" s="11" t="inlineStr">
        <is>
          <t>MÃO DE OBRA</t>
        </is>
      </c>
      <c r="B187" s="11" t="inlineStr">
        <is>
          <t>MO-OPER-ROLO-COMP</t>
        </is>
      </c>
      <c r="C187" s="11" t="inlineStr">
        <is>
          <t>Operador de Rolo Compactador</t>
        </is>
      </c>
      <c r="D187" s="15" t="inlineStr">
        <is>
          <t>DIRETO</t>
        </is>
      </c>
      <c r="E187" s="16" t="n">
        <v>1</v>
      </c>
      <c r="F187" s="17" t="n">
        <v>10685.34</v>
      </c>
      <c r="G187" s="17">
        <f>E187*F187</f>
        <v/>
      </c>
      <c r="H187" s="16" t="n">
        <v>0.23</v>
      </c>
      <c r="I187" s="17">
        <f>G187*H187</f>
        <v/>
      </c>
    </row>
    <row r="188">
      <c r="A188" s="11" t="inlineStr">
        <is>
          <t>MÃO DE OBRA</t>
        </is>
      </c>
      <c r="B188" s="11" t="inlineStr">
        <is>
          <t>MO-OPER-ROLO-PNEU</t>
        </is>
      </c>
      <c r="C188" s="11" t="inlineStr">
        <is>
          <t>Operador de Rolo de Pneu</t>
        </is>
      </c>
      <c r="D188" s="15" t="inlineStr">
        <is>
          <t>DIRETO</t>
        </is>
      </c>
      <c r="E188" s="16" t="n">
        <v>1</v>
      </c>
      <c r="F188" s="17" t="n">
        <v>13892.78</v>
      </c>
      <c r="G188" s="17">
        <f>E188*F188</f>
        <v/>
      </c>
      <c r="H188" s="16" t="n">
        <v>0.23</v>
      </c>
      <c r="I188" s="17">
        <f>G188*H188</f>
        <v/>
      </c>
    </row>
    <row r="189">
      <c r="A189" s="11" t="inlineStr">
        <is>
          <t>MÃO DE OBRA</t>
        </is>
      </c>
      <c r="B189" s="11" t="inlineStr">
        <is>
          <t>MO-MOTOR-CAM-BASC</t>
        </is>
      </c>
      <c r="C189" s="11" t="inlineStr">
        <is>
          <t>Motorista de Caminhão Basculante</t>
        </is>
      </c>
      <c r="D189" s="15" t="inlineStr">
        <is>
          <t>DIRETO</t>
        </is>
      </c>
      <c r="E189" s="16" t="n">
        <v>1</v>
      </c>
      <c r="F189" s="17" t="n">
        <v>10685.34</v>
      </c>
      <c r="G189" s="17">
        <f>E189*F189</f>
        <v/>
      </c>
      <c r="H189" s="16" t="n">
        <v>0.23</v>
      </c>
      <c r="I189" s="17">
        <f>G189*H189</f>
        <v/>
      </c>
    </row>
    <row r="190">
      <c r="A190" s="11" t="inlineStr">
        <is>
          <t>MÃO DE OBRA</t>
        </is>
      </c>
      <c r="B190" s="11" t="inlineStr">
        <is>
          <t>MO-ENCARREG-CAPA</t>
        </is>
      </c>
      <c r="C190" s="11" t="inlineStr">
        <is>
          <t>Encarregado de Capa</t>
        </is>
      </c>
      <c r="D190" s="15" t="inlineStr">
        <is>
          <t>DIRETO</t>
        </is>
      </c>
      <c r="E190" s="16" t="n">
        <v>1</v>
      </c>
      <c r="F190" s="17" t="n">
        <v>15569.81</v>
      </c>
      <c r="G190" s="17">
        <f>E190*F190</f>
        <v/>
      </c>
      <c r="H190" s="16" t="n">
        <v>0.23</v>
      </c>
      <c r="I190" s="17">
        <f>G190*H190</f>
        <v/>
      </c>
    </row>
    <row r="191">
      <c r="A191" s="11" t="inlineStr">
        <is>
          <t>EQUIPAMENTO</t>
        </is>
      </c>
      <c r="B191" s="11" t="inlineStr">
        <is>
          <t>EQ-E0041</t>
        </is>
      </c>
      <c r="C191" s="11" t="inlineStr">
        <is>
          <t>Vibroacabadora de asfalto sobre esteiras - 82 kW</t>
        </is>
      </c>
      <c r="D191" s="18" t="inlineStr">
        <is>
          <t>—</t>
        </is>
      </c>
      <c r="E191" s="16" t="n">
        <v>1</v>
      </c>
      <c r="F191" s="17" t="n">
        <v>18726.4</v>
      </c>
      <c r="G191" s="17">
        <f>E191*F191</f>
        <v/>
      </c>
      <c r="H191" s="16" t="n">
        <v>0.23</v>
      </c>
      <c r="I191" s="17">
        <f>G191*H191</f>
        <v/>
      </c>
    </row>
    <row r="192">
      <c r="A192" s="19" t="inlineStr">
        <is>
          <t>COMBUSTÍVEL</t>
        </is>
      </c>
      <c r="B192" s="11" t="inlineStr">
        <is>
          <t>EQ-E0041</t>
        </is>
      </c>
      <c r="C192" s="11" t="inlineStr">
        <is>
          <t>Diesel S-10 (8.0 L/h)</t>
        </is>
      </c>
      <c r="D192" s="18" t="inlineStr">
        <is>
          <t>—</t>
        </is>
      </c>
      <c r="E192" s="16" t="n">
        <v>1</v>
      </c>
      <c r="F192" s="17" t="n">
        <v>10203.43</v>
      </c>
      <c r="G192" s="17">
        <f>E192*F192</f>
        <v/>
      </c>
      <c r="H192" s="16" t="n">
        <v>0.23</v>
      </c>
      <c r="I192" s="17">
        <f>G192*H192</f>
        <v/>
      </c>
    </row>
    <row r="193">
      <c r="A193" s="11" t="inlineStr">
        <is>
          <t>EQUIPAMENTO</t>
        </is>
      </c>
      <c r="B193" s="11" t="inlineStr">
        <is>
          <t>EQ-E0036</t>
        </is>
      </c>
      <c r="C193" s="11" t="inlineStr">
        <is>
          <t>Trator de esteiras 30T</t>
        </is>
      </c>
      <c r="D193" s="18" t="inlineStr">
        <is>
          <t>—</t>
        </is>
      </c>
      <c r="E193" s="16" t="n">
        <v>1</v>
      </c>
      <c r="F193" s="17" t="n">
        <v>17740.8</v>
      </c>
      <c r="G193" s="17">
        <f>E193*F193</f>
        <v/>
      </c>
      <c r="H193" s="16" t="n">
        <v>0.23</v>
      </c>
      <c r="I193" s="17">
        <f>G193*H193</f>
        <v/>
      </c>
    </row>
    <row r="194">
      <c r="A194" s="19" t="inlineStr">
        <is>
          <t>COMBUSTÍVEL</t>
        </is>
      </c>
      <c r="B194" s="11" t="inlineStr">
        <is>
          <t>EQ-E0036</t>
        </is>
      </c>
      <c r="C194" s="11" t="inlineStr">
        <is>
          <t>Diesel S-10 (20.0 L/h)</t>
        </is>
      </c>
      <c r="D194" s="18" t="inlineStr">
        <is>
          <t>—</t>
        </is>
      </c>
      <c r="E194" s="16" t="n">
        <v>1</v>
      </c>
      <c r="F194" s="17" t="n">
        <v>25508.57</v>
      </c>
      <c r="G194" s="17">
        <f>E194*F194</f>
        <v/>
      </c>
      <c r="H194" s="16" t="n">
        <v>0.23</v>
      </c>
      <c r="I194" s="17">
        <f>G194*H194</f>
        <v/>
      </c>
    </row>
    <row r="195">
      <c r="A195" s="11" t="inlineStr">
        <is>
          <t>EQUIPAMENTO</t>
        </is>
      </c>
      <c r="B195" s="11" t="inlineStr">
        <is>
          <t>EQ-E0037</t>
        </is>
      </c>
      <c r="C195" s="11" t="inlineStr">
        <is>
          <t>Trator de esteiras 40T</t>
        </is>
      </c>
      <c r="D195" s="18" t="inlineStr">
        <is>
          <t>—</t>
        </is>
      </c>
      <c r="E195" s="16" t="n">
        <v>1</v>
      </c>
      <c r="F195" s="17" t="n">
        <v>20421.63</v>
      </c>
      <c r="G195" s="17">
        <f>E195*F195</f>
        <v/>
      </c>
      <c r="H195" s="16" t="n">
        <v>0.23</v>
      </c>
      <c r="I195" s="17">
        <f>G195*H195</f>
        <v/>
      </c>
    </row>
    <row r="196">
      <c r="A196" s="19" t="inlineStr">
        <is>
          <t>COMBUSTÍVEL</t>
        </is>
      </c>
      <c r="B196" s="11" t="inlineStr">
        <is>
          <t>EQ-E0037</t>
        </is>
      </c>
      <c r="C196" s="11" t="inlineStr">
        <is>
          <t>Diesel S-10 (24.0 L/h)</t>
        </is>
      </c>
      <c r="D196" s="18" t="inlineStr">
        <is>
          <t>—</t>
        </is>
      </c>
      <c r="E196" s="16" t="n">
        <v>1</v>
      </c>
      <c r="F196" s="17" t="n">
        <v>30610.29</v>
      </c>
      <c r="G196" s="17">
        <f>E196*F196</f>
        <v/>
      </c>
      <c r="H196" s="16" t="n">
        <v>0.23</v>
      </c>
      <c r="I196" s="17">
        <f>G196*H196</f>
        <v/>
      </c>
    </row>
    <row r="197">
      <c r="A197" s="11" t="inlineStr">
        <is>
          <t>EQUIPAMENTO</t>
        </is>
      </c>
      <c r="B197" s="11" t="inlineStr">
        <is>
          <t>EQ-E0008</t>
        </is>
      </c>
      <c r="C197" s="11" t="inlineStr">
        <is>
          <t>Caminhão Basculante 16m³</t>
        </is>
      </c>
      <c r="D197" s="18" t="inlineStr">
        <is>
          <t>—</t>
        </is>
      </c>
      <c r="E197" s="16" t="n">
        <v>1</v>
      </c>
      <c r="F197" s="17" t="n">
        <v>40084.35</v>
      </c>
      <c r="G197" s="17">
        <f>E197*F197</f>
        <v/>
      </c>
      <c r="H197" s="16" t="n">
        <v>0.23</v>
      </c>
      <c r="I197" s="17">
        <f>G197*H197</f>
        <v/>
      </c>
    </row>
    <row r="198">
      <c r="A198" s="19" t="inlineStr">
        <is>
          <t>COMBUSTÍVEL</t>
        </is>
      </c>
      <c r="B198" s="11" t="inlineStr">
        <is>
          <t>EQ-E0008</t>
        </is>
      </c>
      <c r="C198" s="11" t="inlineStr">
        <is>
          <t>Diesel S-10 (2.5 L/h)</t>
        </is>
      </c>
      <c r="D198" s="18" t="inlineStr">
        <is>
          <t>—</t>
        </is>
      </c>
      <c r="E198" s="16" t="n">
        <v>1</v>
      </c>
      <c r="F198" s="17" t="n">
        <v>3188.57</v>
      </c>
      <c r="G198" s="17">
        <f>E198*F198</f>
        <v/>
      </c>
      <c r="H198" s="16" t="n">
        <v>0.23</v>
      </c>
      <c r="I198" s="17">
        <f>G198*H198</f>
        <v/>
      </c>
    </row>
    <row r="199">
      <c r="A199" s="20" t="inlineStr">
        <is>
          <t>Subtotal eap-6_6</t>
        </is>
      </c>
      <c r="B199" s="21" t="n"/>
      <c r="C199" s="21" t="n"/>
      <c r="D199" s="21" t="n"/>
      <c r="E199" s="21" t="n"/>
      <c r="F199" s="21" t="n"/>
      <c r="G199" s="22">
        <f>SUM(G186:G198)</f>
        <v/>
      </c>
      <c r="H199" s="23" t="n">
        <v>0.23</v>
      </c>
      <c r="I199" s="22">
        <f>SUM(I186:I198)</f>
        <v/>
      </c>
    </row>
    <row r="200">
      <c r="A200" s="9" t="inlineStr">
        <is>
          <t>eap-5_8 — Hidrossemeadura para cobertura de taludes</t>
        </is>
      </c>
    </row>
    <row r="201">
      <c r="A201" s="13" t="inlineStr">
        <is>
          <t>MÃO DE OBRA</t>
        </is>
      </c>
      <c r="B201" s="13" t="inlineStr">
        <is>
          <t>MO-AJUDANTE</t>
        </is>
      </c>
      <c r="C201" s="13" t="inlineStr">
        <is>
          <t>Ajudante</t>
        </is>
      </c>
      <c r="D201" s="24" t="inlineStr">
        <is>
          <t>DIRETO</t>
        </is>
      </c>
      <c r="E201" s="25" t="n">
        <v>4</v>
      </c>
      <c r="F201" s="26" t="n">
        <v>5261.65</v>
      </c>
      <c r="G201" s="26">
        <f>E201*F201</f>
        <v/>
      </c>
      <c r="H201" s="25" t="n">
        <v>0.23</v>
      </c>
      <c r="I201" s="26">
        <f>G201*H201</f>
        <v/>
      </c>
    </row>
    <row r="202">
      <c r="A202" s="13" t="inlineStr">
        <is>
          <t>EQUIPAMENTO</t>
        </is>
      </c>
      <c r="B202" s="13" t="inlineStr">
        <is>
          <t>EQ-HIDROSSEMEADORA</t>
        </is>
      </c>
      <c r="C202" s="13" t="inlineStr">
        <is>
          <t>Hidrossemeadora rebocável</t>
        </is>
      </c>
      <c r="D202" s="27" t="inlineStr">
        <is>
          <t>—</t>
        </is>
      </c>
      <c r="E202" s="25" t="n">
        <v>1</v>
      </c>
      <c r="F202" s="26" t="n">
        <v>6160</v>
      </c>
      <c r="G202" s="26">
        <f>E202*F202</f>
        <v/>
      </c>
      <c r="H202" s="25" t="n">
        <v>0.23</v>
      </c>
      <c r="I202" s="26">
        <f>G202*H202</f>
        <v/>
      </c>
    </row>
    <row r="203">
      <c r="A203" s="20" t="inlineStr">
        <is>
          <t>Subtotal eap-5_8</t>
        </is>
      </c>
      <c r="B203" s="21" t="n"/>
      <c r="C203" s="21" t="n"/>
      <c r="D203" s="21" t="n"/>
      <c r="E203" s="21" t="n"/>
      <c r="F203" s="21" t="n"/>
      <c r="G203" s="22">
        <f>SUM(G201:G202)</f>
        <v/>
      </c>
      <c r="H203" s="23" t="n">
        <v>0.23</v>
      </c>
      <c r="I203" s="22">
        <f>SUM(I201:I202)</f>
        <v/>
      </c>
    </row>
    <row r="204">
      <c r="A204" s="9" t="inlineStr">
        <is>
          <t>eap-3_3 — Regularização de bota-fora com espalhamento e compactação</t>
        </is>
      </c>
    </row>
    <row r="205">
      <c r="A205" s="11" t="inlineStr">
        <is>
          <t>MÃO DE OBRA</t>
        </is>
      </c>
      <c r="B205" s="11" t="inlineStr">
        <is>
          <t>MO-OPER-MOTO</t>
        </is>
      </c>
      <c r="C205" s="11" t="inlineStr">
        <is>
          <t>Operador de Motoniveladora</t>
        </is>
      </c>
      <c r="D205" s="15" t="inlineStr">
        <is>
          <t>DIRETO</t>
        </is>
      </c>
      <c r="E205" s="16" t="n">
        <v>1</v>
      </c>
      <c r="F205" s="17" t="n">
        <v>17356.25</v>
      </c>
      <c r="G205" s="17">
        <f>E205*F205</f>
        <v/>
      </c>
      <c r="H205" s="16" t="n">
        <v>0.23</v>
      </c>
      <c r="I205" s="17">
        <f>G205*H205</f>
        <v/>
      </c>
    </row>
    <row r="206">
      <c r="A206" s="11" t="inlineStr">
        <is>
          <t>MÃO DE OBRA</t>
        </is>
      </c>
      <c r="B206" s="11" t="inlineStr">
        <is>
          <t>MO-OPER-ROLO-COMP</t>
        </is>
      </c>
      <c r="C206" s="11" t="inlineStr">
        <is>
          <t>Operador de Rolo Compactador</t>
        </is>
      </c>
      <c r="D206" s="15" t="inlineStr">
        <is>
          <t>DIRETO</t>
        </is>
      </c>
      <c r="E206" s="16" t="n">
        <v>1</v>
      </c>
      <c r="F206" s="17" t="n">
        <v>10685.34</v>
      </c>
      <c r="G206" s="17">
        <f>E206*F206</f>
        <v/>
      </c>
      <c r="H206" s="16" t="n">
        <v>0.23</v>
      </c>
      <c r="I206" s="17">
        <f>G206*H206</f>
        <v/>
      </c>
    </row>
    <row r="207">
      <c r="A207" s="11" t="inlineStr">
        <is>
          <t>MÃO DE OBRA</t>
        </is>
      </c>
      <c r="B207" s="11" t="inlineStr">
        <is>
          <t>MO-OPER-ROLO-COMP</t>
        </is>
      </c>
      <c r="C207" s="11" t="inlineStr">
        <is>
          <t>Operador de Rolo Compactador</t>
        </is>
      </c>
      <c r="D207" s="15" t="inlineStr">
        <is>
          <t>DIRETO</t>
        </is>
      </c>
      <c r="E207" s="16" t="n">
        <v>1</v>
      </c>
      <c r="F207" s="17" t="n">
        <v>10685.34</v>
      </c>
      <c r="G207" s="17">
        <f>E207*F207</f>
        <v/>
      </c>
      <c r="H207" s="16" t="n">
        <v>0.23</v>
      </c>
      <c r="I207" s="17">
        <f>G207*H207</f>
        <v/>
      </c>
    </row>
    <row r="208">
      <c r="A208" s="11" t="inlineStr">
        <is>
          <t>MÃO DE OBRA</t>
        </is>
      </c>
      <c r="B208" s="11" t="inlineStr">
        <is>
          <t>MO-ENCARREG-TERRA</t>
        </is>
      </c>
      <c r="C208" s="11" t="inlineStr">
        <is>
          <t>Encarregado de Terraplenagem</t>
        </is>
      </c>
      <c r="D208" s="15" t="inlineStr">
        <is>
          <t>DIRETO</t>
        </is>
      </c>
      <c r="E208" s="16" t="n">
        <v>1</v>
      </c>
      <c r="F208" s="17" t="n">
        <v>11549.8</v>
      </c>
      <c r="G208" s="17">
        <f>E208*F208</f>
        <v/>
      </c>
      <c r="H208" s="16" t="n">
        <v>0.23</v>
      </c>
      <c r="I208" s="17">
        <f>G208*H208</f>
        <v/>
      </c>
    </row>
    <row r="209">
      <c r="A209" s="11" t="inlineStr">
        <is>
          <t>EQUIPAMENTO</t>
        </is>
      </c>
      <c r="B209" s="11" t="inlineStr">
        <is>
          <t>EQ-E0029</t>
        </is>
      </c>
      <c r="C209" s="11" t="inlineStr">
        <is>
          <t>Motoniveladora 140HP</t>
        </is>
      </c>
      <c r="D209" s="18" t="inlineStr">
        <is>
          <t>—</t>
        </is>
      </c>
      <c r="E209" s="16" t="n">
        <v>1</v>
      </c>
      <c r="F209" s="17" t="n">
        <v>43326.98</v>
      </c>
      <c r="G209" s="17">
        <f>E209*F209</f>
        <v/>
      </c>
      <c r="H209" s="16" t="n">
        <v>0.23</v>
      </c>
      <c r="I209" s="17">
        <f>G209*H209</f>
        <v/>
      </c>
    </row>
    <row r="210">
      <c r="A210" s="19" t="inlineStr">
        <is>
          <t>COMBUSTÍVEL</t>
        </is>
      </c>
      <c r="B210" s="11" t="inlineStr">
        <is>
          <t>EQ-E0029</t>
        </is>
      </c>
      <c r="C210" s="11" t="inlineStr">
        <is>
          <t>Diesel S-10 (11.0 L/h)</t>
        </is>
      </c>
      <c r="D210" s="18" t="inlineStr">
        <is>
          <t>—</t>
        </is>
      </c>
      <c r="E210" s="16" t="n">
        <v>1</v>
      </c>
      <c r="F210" s="17" t="n">
        <v>14029.71</v>
      </c>
      <c r="G210" s="17">
        <f>E210*F210</f>
        <v/>
      </c>
      <c r="H210" s="16" t="n">
        <v>0.23</v>
      </c>
      <c r="I210" s="17">
        <f>G210*H210</f>
        <v/>
      </c>
    </row>
    <row r="211">
      <c r="A211" s="11" t="inlineStr">
        <is>
          <t>EQUIPAMENTO</t>
        </is>
      </c>
      <c r="B211" s="11" t="inlineStr">
        <is>
          <t>EQ-E0035</t>
        </is>
      </c>
      <c r="C211" s="11" t="inlineStr">
        <is>
          <t>Trator de esteiras 20T</t>
        </is>
      </c>
      <c r="D211" s="18" t="inlineStr">
        <is>
          <t>—</t>
        </is>
      </c>
      <c r="E211" s="16" t="n">
        <v>1</v>
      </c>
      <c r="F211" s="17" t="n">
        <v>21683.2</v>
      </c>
      <c r="G211" s="17">
        <f>E211*F211</f>
        <v/>
      </c>
      <c r="H211" s="16" t="n">
        <v>0.23</v>
      </c>
      <c r="I211" s="17">
        <f>G211*H211</f>
        <v/>
      </c>
    </row>
    <row r="212">
      <c r="A212" s="19" t="inlineStr">
        <is>
          <t>COMBUSTÍVEL</t>
        </is>
      </c>
      <c r="B212" s="11" t="inlineStr">
        <is>
          <t>EQ-E0035</t>
        </is>
      </c>
      <c r="C212" s="11" t="inlineStr">
        <is>
          <t>Diesel S-10 (18.0 L/h)</t>
        </is>
      </c>
      <c r="D212" s="18" t="inlineStr">
        <is>
          <t>—</t>
        </is>
      </c>
      <c r="E212" s="16" t="n">
        <v>1</v>
      </c>
      <c r="F212" s="17" t="n">
        <v>22957.71</v>
      </c>
      <c r="G212" s="17">
        <f>E212*F212</f>
        <v/>
      </c>
      <c r="H212" s="16" t="n">
        <v>0.23</v>
      </c>
      <c r="I212" s="17">
        <f>G212*H212</f>
        <v/>
      </c>
    </row>
    <row r="213">
      <c r="A213" s="11" t="inlineStr">
        <is>
          <t>EQUIPAMENTO</t>
        </is>
      </c>
      <c r="B213" s="11" t="inlineStr">
        <is>
          <t>EQ-E0010</t>
        </is>
      </c>
      <c r="C213" s="11" t="inlineStr">
        <is>
          <t>Caminhão Pipa 10.000L</t>
        </is>
      </c>
      <c r="D213" s="18" t="inlineStr">
        <is>
          <t>—</t>
        </is>
      </c>
      <c r="E213" s="16" t="n">
        <v>1</v>
      </c>
      <c r="F213" s="17" t="n">
        <v>19360</v>
      </c>
      <c r="G213" s="17">
        <f>E213*F213</f>
        <v/>
      </c>
      <c r="H213" s="16" t="n">
        <v>0.23</v>
      </c>
      <c r="I213" s="17">
        <f>G213*H213</f>
        <v/>
      </c>
    </row>
    <row r="214">
      <c r="A214" s="19" t="inlineStr">
        <is>
          <t>COMBUSTÍVEL</t>
        </is>
      </c>
      <c r="B214" s="11" t="inlineStr">
        <is>
          <t>EQ-E0010</t>
        </is>
      </c>
      <c r="C214" s="11" t="inlineStr">
        <is>
          <t>Diesel S-10 (2.0 L/h)</t>
        </is>
      </c>
      <c r="D214" s="18" t="inlineStr">
        <is>
          <t>—</t>
        </is>
      </c>
      <c r="E214" s="16" t="n">
        <v>1</v>
      </c>
      <c r="F214" s="17" t="n">
        <v>2550.86</v>
      </c>
      <c r="G214" s="17">
        <f>E214*F214</f>
        <v/>
      </c>
      <c r="H214" s="16" t="n">
        <v>0.23</v>
      </c>
      <c r="I214" s="17">
        <f>G214*H214</f>
        <v/>
      </c>
    </row>
    <row r="215">
      <c r="A215" s="20" t="inlineStr">
        <is>
          <t>Subtotal eap-3_3</t>
        </is>
      </c>
      <c r="B215" s="21" t="n"/>
      <c r="C215" s="21" t="n"/>
      <c r="D215" s="21" t="n"/>
      <c r="E215" s="21" t="n"/>
      <c r="F215" s="21" t="n"/>
      <c r="G215" s="22">
        <f>SUM(G205:G214)</f>
        <v/>
      </c>
      <c r="H215" s="23" t="n">
        <v>0.23</v>
      </c>
      <c r="I215" s="22">
        <f>SUM(I205:I214)</f>
        <v/>
      </c>
    </row>
    <row r="216">
      <c r="A216" s="9" t="inlineStr">
        <is>
          <t>eap-6_3 — Tachão refletivo em plástico injetado - bidirecional - fornecimento e colocação</t>
        </is>
      </c>
    </row>
    <row r="217">
      <c r="A217" s="13" t="inlineStr">
        <is>
          <t>MÃO DE OBRA</t>
        </is>
      </c>
      <c r="B217" s="13" t="inlineStr">
        <is>
          <t>MO-TOPOGRAFO</t>
        </is>
      </c>
      <c r="C217" s="13" t="inlineStr">
        <is>
          <t>Topógrafo</t>
        </is>
      </c>
      <c r="D217" s="24" t="inlineStr">
        <is>
          <t>DIRETO</t>
        </is>
      </c>
      <c r="E217" s="25" t="n">
        <v>1</v>
      </c>
      <c r="F217" s="26" t="n">
        <v>18000</v>
      </c>
      <c r="G217" s="26">
        <f>E217*F217</f>
        <v/>
      </c>
      <c r="H217" s="25" t="n">
        <v>5.06</v>
      </c>
      <c r="I217" s="26">
        <f>G217*H217</f>
        <v/>
      </c>
    </row>
    <row r="218">
      <c r="A218" s="13" t="inlineStr">
        <is>
          <t>MÃO DE OBRA</t>
        </is>
      </c>
      <c r="B218" s="13" t="inlineStr">
        <is>
          <t>MO-AUX-TOPO</t>
        </is>
      </c>
      <c r="C218" s="13" t="inlineStr">
        <is>
          <t>Auxiliar de topografia</t>
        </is>
      </c>
      <c r="D218" s="24" t="inlineStr">
        <is>
          <t>DIRETO</t>
        </is>
      </c>
      <c r="E218" s="25" t="n">
        <v>2</v>
      </c>
      <c r="F218" s="26" t="n">
        <v>5710.32</v>
      </c>
      <c r="G218" s="26">
        <f>E218*F218</f>
        <v/>
      </c>
      <c r="H218" s="25" t="n">
        <v>5.06</v>
      </c>
      <c r="I218" s="26">
        <f>G218*H218</f>
        <v/>
      </c>
    </row>
    <row r="219">
      <c r="A219" s="13" t="inlineStr">
        <is>
          <t>EQUIPAMENTO</t>
        </is>
      </c>
      <c r="B219" s="13" t="inlineStr">
        <is>
          <t>EQ-ESTACAO-TOTAL</t>
        </is>
      </c>
      <c r="C219" s="13" t="inlineStr">
        <is>
          <t>Estação Total</t>
        </is>
      </c>
      <c r="D219" s="27" t="inlineStr">
        <is>
          <t>—</t>
        </is>
      </c>
      <c r="E219" s="25" t="n">
        <v>1</v>
      </c>
      <c r="F219" s="26" t="n">
        <v>2640</v>
      </c>
      <c r="G219" s="26">
        <f>E219*F219</f>
        <v/>
      </c>
      <c r="H219" s="25" t="n">
        <v>5.06</v>
      </c>
      <c r="I219" s="26">
        <f>G219*H219</f>
        <v/>
      </c>
    </row>
    <row r="220">
      <c r="A220" s="20" t="inlineStr">
        <is>
          <t>Subtotal eap-6_3</t>
        </is>
      </c>
      <c r="B220" s="21" t="n"/>
      <c r="C220" s="21" t="n"/>
      <c r="D220" s="21" t="n"/>
      <c r="E220" s="21" t="n"/>
      <c r="F220" s="21" t="n"/>
      <c r="G220" s="22">
        <f>SUM(G217:G219)</f>
        <v/>
      </c>
      <c r="H220" s="23" t="n">
        <v>5.06</v>
      </c>
      <c r="I220" s="22">
        <f>SUM(I217:I219)</f>
        <v/>
      </c>
    </row>
    <row r="221">
      <c r="A221" s="9" t="inlineStr">
        <is>
          <t>eap-6_7 — Placa em aço - película III + III - fornecimento e implantação</t>
        </is>
      </c>
    </row>
    <row r="222">
      <c r="A222" s="11" t="inlineStr">
        <is>
          <t>MÃO DE OBRA</t>
        </is>
      </c>
      <c r="B222" s="11" t="inlineStr">
        <is>
          <t>MO-OPER-VIBRO</t>
        </is>
      </c>
      <c r="C222" s="11" t="inlineStr">
        <is>
          <t>Operador de Vibroacabadora</t>
        </is>
      </c>
      <c r="D222" s="15" t="inlineStr">
        <is>
          <t>DIRETO</t>
        </is>
      </c>
      <c r="E222" s="16" t="n">
        <v>1</v>
      </c>
      <c r="F222" s="17" t="n">
        <v>8003.31</v>
      </c>
      <c r="G222" s="17">
        <f>E222*F222</f>
        <v/>
      </c>
      <c r="H222" s="16" t="n">
        <v>0.23</v>
      </c>
      <c r="I222" s="17">
        <f>G222*H222</f>
        <v/>
      </c>
    </row>
    <row r="223">
      <c r="A223" s="11" t="inlineStr">
        <is>
          <t>MÃO DE OBRA</t>
        </is>
      </c>
      <c r="B223" s="11" t="inlineStr">
        <is>
          <t>MO-OPER-ROLO-COMP</t>
        </is>
      </c>
      <c r="C223" s="11" t="inlineStr">
        <is>
          <t>Operador de Rolo Compactador</t>
        </is>
      </c>
      <c r="D223" s="15" t="inlineStr">
        <is>
          <t>DIRETO</t>
        </is>
      </c>
      <c r="E223" s="16" t="n">
        <v>1</v>
      </c>
      <c r="F223" s="17" t="n">
        <v>10685.34</v>
      </c>
      <c r="G223" s="17">
        <f>E223*F223</f>
        <v/>
      </c>
      <c r="H223" s="16" t="n">
        <v>0.23</v>
      </c>
      <c r="I223" s="17">
        <f>G223*H223</f>
        <v/>
      </c>
    </row>
    <row r="224">
      <c r="A224" s="11" t="inlineStr">
        <is>
          <t>MÃO DE OBRA</t>
        </is>
      </c>
      <c r="B224" s="11" t="inlineStr">
        <is>
          <t>MO-OPER-ROLO-PNEU</t>
        </is>
      </c>
      <c r="C224" s="11" t="inlineStr">
        <is>
          <t>Operador de Rolo de Pneu</t>
        </is>
      </c>
      <c r="D224" s="15" t="inlineStr">
        <is>
          <t>DIRETO</t>
        </is>
      </c>
      <c r="E224" s="16" t="n">
        <v>1</v>
      </c>
      <c r="F224" s="17" t="n">
        <v>13892.78</v>
      </c>
      <c r="G224" s="17">
        <f>E224*F224</f>
        <v/>
      </c>
      <c r="H224" s="16" t="n">
        <v>0.23</v>
      </c>
      <c r="I224" s="17">
        <f>G224*H224</f>
        <v/>
      </c>
    </row>
    <row r="225">
      <c r="A225" s="11" t="inlineStr">
        <is>
          <t>MÃO DE OBRA</t>
        </is>
      </c>
      <c r="B225" s="11" t="inlineStr">
        <is>
          <t>MO-MOTOR-CAM-BASC</t>
        </is>
      </c>
      <c r="C225" s="11" t="inlineStr">
        <is>
          <t>Motorista de Caminhão Basculante</t>
        </is>
      </c>
      <c r="D225" s="15" t="inlineStr">
        <is>
          <t>DIRETO</t>
        </is>
      </c>
      <c r="E225" s="16" t="n">
        <v>1</v>
      </c>
      <c r="F225" s="17" t="n">
        <v>10685.34</v>
      </c>
      <c r="G225" s="17">
        <f>E225*F225</f>
        <v/>
      </c>
      <c r="H225" s="16" t="n">
        <v>0.23</v>
      </c>
      <c r="I225" s="17">
        <f>G225*H225</f>
        <v/>
      </c>
    </row>
    <row r="226">
      <c r="A226" s="11" t="inlineStr">
        <is>
          <t>MÃO DE OBRA</t>
        </is>
      </c>
      <c r="B226" s="11" t="inlineStr">
        <is>
          <t>MO-ENCARREG-CAPA</t>
        </is>
      </c>
      <c r="C226" s="11" t="inlineStr">
        <is>
          <t>Encarregado de Capa</t>
        </is>
      </c>
      <c r="D226" s="15" t="inlineStr">
        <is>
          <t>DIRETO</t>
        </is>
      </c>
      <c r="E226" s="16" t="n">
        <v>1</v>
      </c>
      <c r="F226" s="17" t="n">
        <v>15569.81</v>
      </c>
      <c r="G226" s="17">
        <f>E226*F226</f>
        <v/>
      </c>
      <c r="H226" s="16" t="n">
        <v>0.23</v>
      </c>
      <c r="I226" s="17">
        <f>G226*H226</f>
        <v/>
      </c>
    </row>
    <row r="227">
      <c r="A227" s="11" t="inlineStr">
        <is>
          <t>EQUIPAMENTO</t>
        </is>
      </c>
      <c r="B227" s="11" t="inlineStr">
        <is>
          <t>EQ-E0041</t>
        </is>
      </c>
      <c r="C227" s="11" t="inlineStr">
        <is>
          <t>Vibroacabadora de asfalto sobre esteiras - 82 kW</t>
        </is>
      </c>
      <c r="D227" s="18" t="inlineStr">
        <is>
          <t>—</t>
        </is>
      </c>
      <c r="E227" s="16" t="n">
        <v>1</v>
      </c>
      <c r="F227" s="17" t="n">
        <v>18726.4</v>
      </c>
      <c r="G227" s="17">
        <f>E227*F227</f>
        <v/>
      </c>
      <c r="H227" s="16" t="n">
        <v>0.23</v>
      </c>
      <c r="I227" s="17">
        <f>G227*H227</f>
        <v/>
      </c>
    </row>
    <row r="228">
      <c r="A228" s="19" t="inlineStr">
        <is>
          <t>COMBUSTÍVEL</t>
        </is>
      </c>
      <c r="B228" s="11" t="inlineStr">
        <is>
          <t>EQ-E0041</t>
        </is>
      </c>
      <c r="C228" s="11" t="inlineStr">
        <is>
          <t>Diesel S-10 (8.0 L/h)</t>
        </is>
      </c>
      <c r="D228" s="18" t="inlineStr">
        <is>
          <t>—</t>
        </is>
      </c>
      <c r="E228" s="16" t="n">
        <v>1</v>
      </c>
      <c r="F228" s="17" t="n">
        <v>10203.43</v>
      </c>
      <c r="G228" s="17">
        <f>E228*F228</f>
        <v/>
      </c>
      <c r="H228" s="16" t="n">
        <v>0.23</v>
      </c>
      <c r="I228" s="17">
        <f>G228*H228</f>
        <v/>
      </c>
    </row>
    <row r="229">
      <c r="A229" s="11" t="inlineStr">
        <is>
          <t>EQUIPAMENTO</t>
        </is>
      </c>
      <c r="B229" s="11" t="inlineStr">
        <is>
          <t>EQ-E0036</t>
        </is>
      </c>
      <c r="C229" s="11" t="inlineStr">
        <is>
          <t>Trator de esteiras 30T</t>
        </is>
      </c>
      <c r="D229" s="18" t="inlineStr">
        <is>
          <t>—</t>
        </is>
      </c>
      <c r="E229" s="16" t="n">
        <v>1</v>
      </c>
      <c r="F229" s="17" t="n">
        <v>17740.8</v>
      </c>
      <c r="G229" s="17">
        <f>E229*F229</f>
        <v/>
      </c>
      <c r="H229" s="16" t="n">
        <v>0.23</v>
      </c>
      <c r="I229" s="17">
        <f>G229*H229</f>
        <v/>
      </c>
    </row>
    <row r="230">
      <c r="A230" s="19" t="inlineStr">
        <is>
          <t>COMBUSTÍVEL</t>
        </is>
      </c>
      <c r="B230" s="11" t="inlineStr">
        <is>
          <t>EQ-E0036</t>
        </is>
      </c>
      <c r="C230" s="11" t="inlineStr">
        <is>
          <t>Diesel S-10 (20.0 L/h)</t>
        </is>
      </c>
      <c r="D230" s="18" t="inlineStr">
        <is>
          <t>—</t>
        </is>
      </c>
      <c r="E230" s="16" t="n">
        <v>1</v>
      </c>
      <c r="F230" s="17" t="n">
        <v>25508.57</v>
      </c>
      <c r="G230" s="17">
        <f>E230*F230</f>
        <v/>
      </c>
      <c r="H230" s="16" t="n">
        <v>0.23</v>
      </c>
      <c r="I230" s="17">
        <f>G230*H230</f>
        <v/>
      </c>
    </row>
    <row r="231">
      <c r="A231" s="11" t="inlineStr">
        <is>
          <t>EQUIPAMENTO</t>
        </is>
      </c>
      <c r="B231" s="11" t="inlineStr">
        <is>
          <t>EQ-E0037</t>
        </is>
      </c>
      <c r="C231" s="11" t="inlineStr">
        <is>
          <t>Trator de esteiras 40T</t>
        </is>
      </c>
      <c r="D231" s="18" t="inlineStr">
        <is>
          <t>—</t>
        </is>
      </c>
      <c r="E231" s="16" t="n">
        <v>1</v>
      </c>
      <c r="F231" s="17" t="n">
        <v>20421.63</v>
      </c>
      <c r="G231" s="17">
        <f>E231*F231</f>
        <v/>
      </c>
      <c r="H231" s="16" t="n">
        <v>0.23</v>
      </c>
      <c r="I231" s="17">
        <f>G231*H231</f>
        <v/>
      </c>
    </row>
    <row r="232">
      <c r="A232" s="19" t="inlineStr">
        <is>
          <t>COMBUSTÍVEL</t>
        </is>
      </c>
      <c r="B232" s="11" t="inlineStr">
        <is>
          <t>EQ-E0037</t>
        </is>
      </c>
      <c r="C232" s="11" t="inlineStr">
        <is>
          <t>Diesel S-10 (24.0 L/h)</t>
        </is>
      </c>
      <c r="D232" s="18" t="inlineStr">
        <is>
          <t>—</t>
        </is>
      </c>
      <c r="E232" s="16" t="n">
        <v>1</v>
      </c>
      <c r="F232" s="17" t="n">
        <v>30610.29</v>
      </c>
      <c r="G232" s="17">
        <f>E232*F232</f>
        <v/>
      </c>
      <c r="H232" s="16" t="n">
        <v>0.23</v>
      </c>
      <c r="I232" s="17">
        <f>G232*H232</f>
        <v/>
      </c>
    </row>
    <row r="233">
      <c r="A233" s="11" t="inlineStr">
        <is>
          <t>EQUIPAMENTO</t>
        </is>
      </c>
      <c r="B233" s="11" t="inlineStr">
        <is>
          <t>EQ-E0008</t>
        </is>
      </c>
      <c r="C233" s="11" t="inlineStr">
        <is>
          <t>Caminhão Basculante 16m³</t>
        </is>
      </c>
      <c r="D233" s="18" t="inlineStr">
        <is>
          <t>—</t>
        </is>
      </c>
      <c r="E233" s="16" t="n">
        <v>1</v>
      </c>
      <c r="F233" s="17" t="n">
        <v>40084.35</v>
      </c>
      <c r="G233" s="17">
        <f>E233*F233</f>
        <v/>
      </c>
      <c r="H233" s="16" t="n">
        <v>0.23</v>
      </c>
      <c r="I233" s="17">
        <f>G233*H233</f>
        <v/>
      </c>
    </row>
    <row r="234">
      <c r="A234" s="19" t="inlineStr">
        <is>
          <t>COMBUSTÍVEL</t>
        </is>
      </c>
      <c r="B234" s="11" t="inlineStr">
        <is>
          <t>EQ-E0008</t>
        </is>
      </c>
      <c r="C234" s="11" t="inlineStr">
        <is>
          <t>Diesel S-10 (2.5 L/h)</t>
        </is>
      </c>
      <c r="D234" s="18" t="inlineStr">
        <is>
          <t>—</t>
        </is>
      </c>
      <c r="E234" s="16" t="n">
        <v>1</v>
      </c>
      <c r="F234" s="17" t="n">
        <v>3188.57</v>
      </c>
      <c r="G234" s="17">
        <f>E234*F234</f>
        <v/>
      </c>
      <c r="H234" s="16" t="n">
        <v>0.23</v>
      </c>
      <c r="I234" s="17">
        <f>G234*H234</f>
        <v/>
      </c>
    </row>
    <row r="235">
      <c r="A235" s="20" t="inlineStr">
        <is>
          <t>Subtotal eap-6_7</t>
        </is>
      </c>
      <c r="B235" s="21" t="n"/>
      <c r="C235" s="21" t="n"/>
      <c r="D235" s="21" t="n"/>
      <c r="E235" s="21" t="n"/>
      <c r="F235" s="21" t="n"/>
      <c r="G235" s="22">
        <f>SUM(G222:G234)</f>
        <v/>
      </c>
      <c r="H235" s="23" t="n">
        <v>0.23</v>
      </c>
      <c r="I235" s="22">
        <f>SUM(I222:I234)</f>
        <v/>
      </c>
    </row>
    <row r="236">
      <c r="A236" s="9" t="inlineStr">
        <is>
          <t>eap-5_16 — Eegularização de valas com apiloamento do fundo</t>
        </is>
      </c>
    </row>
    <row r="237">
      <c r="A237" s="13" t="inlineStr">
        <is>
          <t>MÃO DE OBRA</t>
        </is>
      </c>
      <c r="B237" s="13" t="inlineStr">
        <is>
          <t>MO-OPER-MOTO</t>
        </is>
      </c>
      <c r="C237" s="13" t="inlineStr">
        <is>
          <t>Operador de Motoniveladora</t>
        </is>
      </c>
      <c r="D237" s="24" t="inlineStr">
        <is>
          <t>DIRETO</t>
        </is>
      </c>
      <c r="E237" s="25" t="n">
        <v>1</v>
      </c>
      <c r="F237" s="26" t="n">
        <v>17356.25</v>
      </c>
      <c r="G237" s="26">
        <f>E237*F237</f>
        <v/>
      </c>
      <c r="H237" s="25" t="n">
        <v>0.23</v>
      </c>
      <c r="I237" s="26">
        <f>G237*H237</f>
        <v/>
      </c>
    </row>
    <row r="238">
      <c r="A238" s="13" t="inlineStr">
        <is>
          <t>MÃO DE OBRA</t>
        </is>
      </c>
      <c r="B238" s="13" t="inlineStr">
        <is>
          <t>MO-OPER-ROLO-COMP</t>
        </is>
      </c>
      <c r="C238" s="13" t="inlineStr">
        <is>
          <t>Operador de Rolo Compactador</t>
        </is>
      </c>
      <c r="D238" s="24" t="inlineStr">
        <is>
          <t>DIRETO</t>
        </is>
      </c>
      <c r="E238" s="25" t="n">
        <v>1</v>
      </c>
      <c r="F238" s="26" t="n">
        <v>10685.34</v>
      </c>
      <c r="G238" s="26">
        <f>E238*F238</f>
        <v/>
      </c>
      <c r="H238" s="25" t="n">
        <v>0.23</v>
      </c>
      <c r="I238" s="26">
        <f>G238*H238</f>
        <v/>
      </c>
    </row>
    <row r="239">
      <c r="A239" s="13" t="inlineStr">
        <is>
          <t>EQUIPAMENTO</t>
        </is>
      </c>
      <c r="B239" s="13" t="inlineStr">
        <is>
          <t>EQ-MOTONIVEL-140K</t>
        </is>
      </c>
      <c r="C239" s="13" t="inlineStr">
        <is>
          <t>Motoniveladora 140K</t>
        </is>
      </c>
      <c r="D239" s="27" t="inlineStr">
        <is>
          <t>—</t>
        </is>
      </c>
      <c r="E239" s="25" t="n">
        <v>1</v>
      </c>
      <c r="F239" s="26" t="n">
        <v>44816.64</v>
      </c>
      <c r="G239" s="26">
        <f>E239*F239</f>
        <v/>
      </c>
      <c r="H239" s="25" t="n">
        <v>0.23</v>
      </c>
      <c r="I239" s="26">
        <f>G239*H239</f>
        <v/>
      </c>
    </row>
    <row r="240">
      <c r="A240" s="28" t="inlineStr">
        <is>
          <t>COMBUSTÍVEL</t>
        </is>
      </c>
      <c r="B240" s="13" t="inlineStr">
        <is>
          <t>EQ-MOTONIVEL-140K</t>
        </is>
      </c>
      <c r="C240" s="13" t="inlineStr">
        <is>
          <t>Diesel S-10 (11.0 L/h)</t>
        </is>
      </c>
      <c r="D240" s="27" t="inlineStr">
        <is>
          <t>—</t>
        </is>
      </c>
      <c r="E240" s="25" t="n">
        <v>1</v>
      </c>
      <c r="F240" s="26" t="n">
        <v>14029.71</v>
      </c>
      <c r="G240" s="26">
        <f>E240*F240</f>
        <v/>
      </c>
      <c r="H240" s="25" t="n">
        <v>0.23</v>
      </c>
      <c r="I240" s="26">
        <f>G240*H240</f>
        <v/>
      </c>
    </row>
    <row r="241">
      <c r="A241" s="13" t="inlineStr">
        <is>
          <t>EQUIPAMENTO</t>
        </is>
      </c>
      <c r="B241" s="13" t="inlineStr">
        <is>
          <t>EQ-ROLO-LISO</t>
        </is>
      </c>
      <c r="C241" s="13" t="inlineStr">
        <is>
          <t>Rolo compactador liso</t>
        </is>
      </c>
      <c r="D241" s="27" t="inlineStr">
        <is>
          <t>—</t>
        </is>
      </c>
      <c r="E241" s="25" t="n">
        <v>1</v>
      </c>
      <c r="F241" s="26" t="n">
        <v>15840</v>
      </c>
      <c r="G241" s="26">
        <f>E241*F241</f>
        <v/>
      </c>
      <c r="H241" s="25" t="n">
        <v>0.23</v>
      </c>
      <c r="I241" s="26">
        <f>G241*H241</f>
        <v/>
      </c>
    </row>
    <row r="242">
      <c r="A242" s="28" t="inlineStr">
        <is>
          <t>COMBUSTÍVEL</t>
        </is>
      </c>
      <c r="B242" s="13" t="inlineStr">
        <is>
          <t>EQ-ROLO-LISO</t>
        </is>
      </c>
      <c r="C242" s="13" t="inlineStr">
        <is>
          <t>Diesel S-10 (7.0 L/h)</t>
        </is>
      </c>
      <c r="D242" s="27" t="inlineStr">
        <is>
          <t>—</t>
        </is>
      </c>
      <c r="E242" s="25" t="n">
        <v>1</v>
      </c>
      <c r="F242" s="26" t="n">
        <v>8928</v>
      </c>
      <c r="G242" s="26">
        <f>E242*F242</f>
        <v/>
      </c>
      <c r="H242" s="25" t="n">
        <v>0.23</v>
      </c>
      <c r="I242" s="26">
        <f>G242*H242</f>
        <v/>
      </c>
    </row>
    <row r="243">
      <c r="A243" s="20" t="inlineStr">
        <is>
          <t>Subtotal eap-5_16</t>
        </is>
      </c>
      <c r="B243" s="21" t="n"/>
      <c r="C243" s="21" t="n"/>
      <c r="D243" s="21" t="n"/>
      <c r="E243" s="21" t="n"/>
      <c r="F243" s="21" t="n"/>
      <c r="G243" s="22">
        <f>SUM(G237:G242)</f>
        <v/>
      </c>
      <c r="H243" s="23" t="n">
        <v>0.23</v>
      </c>
      <c r="I243" s="22">
        <f>SUM(I237:I242)</f>
        <v/>
      </c>
    </row>
    <row r="244">
      <c r="A244" s="9" t="inlineStr">
        <is>
          <t>eap-5_5 — Escavação mecanizada de cavas ou valas de solo local - volume geométrico</t>
        </is>
      </c>
    </row>
    <row r="245">
      <c r="A245" s="11" t="inlineStr">
        <is>
          <t>MÃO DE OBRA</t>
        </is>
      </c>
      <c r="B245" s="11" t="inlineStr">
        <is>
          <t>MO-OPER-ESCAV</t>
        </is>
      </c>
      <c r="C245" s="11" t="inlineStr">
        <is>
          <t>Operador de Escavadeira</t>
        </is>
      </c>
      <c r="D245" s="15" t="inlineStr">
        <is>
          <t>DIRETO</t>
        </is>
      </c>
      <c r="E245" s="16" t="n">
        <v>1</v>
      </c>
      <c r="F245" s="17" t="n">
        <v>12875</v>
      </c>
      <c r="G245" s="17">
        <f>E245*F245</f>
        <v/>
      </c>
      <c r="H245" s="16" t="n">
        <v>0.23</v>
      </c>
      <c r="I245" s="17">
        <f>G245*H245</f>
        <v/>
      </c>
    </row>
    <row r="246">
      <c r="A246" s="11" t="inlineStr">
        <is>
          <t>MÃO DE OBRA</t>
        </is>
      </c>
      <c r="B246" s="11" t="inlineStr">
        <is>
          <t>MO-MOTOR-CAM-BASC</t>
        </is>
      </c>
      <c r="C246" s="11" t="inlineStr">
        <is>
          <t>Motorista de Caminhão Basculante</t>
        </is>
      </c>
      <c r="D246" s="15" t="inlineStr">
        <is>
          <t>DIRETO</t>
        </is>
      </c>
      <c r="E246" s="16" t="n">
        <v>3</v>
      </c>
      <c r="F246" s="17" t="n">
        <v>10685.34</v>
      </c>
      <c r="G246" s="17">
        <f>E246*F246</f>
        <v/>
      </c>
      <c r="H246" s="16" t="n">
        <v>0.23</v>
      </c>
      <c r="I246" s="17">
        <f>G246*H246</f>
        <v/>
      </c>
    </row>
    <row r="247">
      <c r="A247" s="11" t="inlineStr">
        <is>
          <t>MÃO DE OBRA</t>
        </is>
      </c>
      <c r="B247" s="11" t="inlineStr">
        <is>
          <t>MO-MOTOR-CAM-BASC</t>
        </is>
      </c>
      <c r="C247" s="11" t="inlineStr">
        <is>
          <t>Motorista de Caminhão Basculante</t>
        </is>
      </c>
      <c r="D247" s="15" t="inlineStr">
        <is>
          <t>DIRETO</t>
        </is>
      </c>
      <c r="E247" s="16" t="n">
        <v>1</v>
      </c>
      <c r="F247" s="17" t="n">
        <v>10685.34</v>
      </c>
      <c r="G247" s="17">
        <f>E247*F247</f>
        <v/>
      </c>
      <c r="H247" s="16" t="n">
        <v>0.23</v>
      </c>
      <c r="I247" s="17">
        <f>G247*H247</f>
        <v/>
      </c>
    </row>
    <row r="248">
      <c r="A248" s="11" t="inlineStr">
        <is>
          <t>MÃO DE OBRA</t>
        </is>
      </c>
      <c r="B248" s="11" t="inlineStr">
        <is>
          <t>MO-ENCARREG-TERRA</t>
        </is>
      </c>
      <c r="C248" s="11" t="inlineStr">
        <is>
          <t>Encarregado de Terraplenagem</t>
        </is>
      </c>
      <c r="D248" s="15" t="inlineStr">
        <is>
          <t>DIRETO</t>
        </is>
      </c>
      <c r="E248" s="16" t="n">
        <v>1</v>
      </c>
      <c r="F248" s="17" t="n">
        <v>11549.8</v>
      </c>
      <c r="G248" s="17">
        <f>E248*F248</f>
        <v/>
      </c>
      <c r="H248" s="16" t="n">
        <v>0.23</v>
      </c>
      <c r="I248" s="17">
        <f>G248*H248</f>
        <v/>
      </c>
    </row>
    <row r="249">
      <c r="A249" s="11" t="inlineStr">
        <is>
          <t>EQUIPAMENTO</t>
        </is>
      </c>
      <c r="B249" s="11" t="inlineStr">
        <is>
          <t>EQ-E0016</t>
        </is>
      </c>
      <c r="C249" s="11" t="inlineStr">
        <is>
          <t>Escavadeira Hidráulica 22t</t>
        </is>
      </c>
      <c r="D249" s="18" t="inlineStr">
        <is>
          <t>—</t>
        </is>
      </c>
      <c r="E249" s="16" t="n">
        <v>1</v>
      </c>
      <c r="F249" s="17" t="n">
        <v>35639.3</v>
      </c>
      <c r="G249" s="17">
        <f>E249*F249</f>
        <v/>
      </c>
      <c r="H249" s="16" t="n">
        <v>0.23</v>
      </c>
      <c r="I249" s="17">
        <f>G249*H249</f>
        <v/>
      </c>
    </row>
    <row r="250">
      <c r="A250" s="11" t="inlineStr">
        <is>
          <t>EQUIPAMENTO</t>
        </is>
      </c>
      <c r="B250" s="11" t="inlineStr">
        <is>
          <t>EQ-E0007</t>
        </is>
      </c>
      <c r="C250" s="11" t="inlineStr">
        <is>
          <t>Caminhão Basculante 14m³</t>
        </is>
      </c>
      <c r="D250" s="18" t="inlineStr">
        <is>
          <t>—</t>
        </is>
      </c>
      <c r="E250" s="16" t="n">
        <v>3</v>
      </c>
      <c r="F250" s="17" t="n">
        <v>25132.8</v>
      </c>
      <c r="G250" s="17">
        <f>E250*F250</f>
        <v/>
      </c>
      <c r="H250" s="16" t="n">
        <v>0.23</v>
      </c>
      <c r="I250" s="17">
        <f>G250*H250</f>
        <v/>
      </c>
    </row>
    <row r="251">
      <c r="A251" s="19" t="inlineStr">
        <is>
          <t>COMBUSTÍVEL</t>
        </is>
      </c>
      <c r="B251" s="11" t="inlineStr">
        <is>
          <t>EQ-E0007</t>
        </is>
      </c>
      <c r="C251" s="11" t="inlineStr">
        <is>
          <t>Diesel S-10 (7.3 L/h)</t>
        </is>
      </c>
      <c r="D251" s="18" t="inlineStr">
        <is>
          <t>—</t>
        </is>
      </c>
      <c r="E251" s="16" t="n">
        <v>3</v>
      </c>
      <c r="F251" s="17" t="n">
        <v>9259.610000000001</v>
      </c>
      <c r="G251" s="17">
        <f>E251*F251</f>
        <v/>
      </c>
      <c r="H251" s="16" t="n">
        <v>0.23</v>
      </c>
      <c r="I251" s="17">
        <f>G251*H251</f>
        <v/>
      </c>
    </row>
    <row r="252">
      <c r="A252" s="20" t="inlineStr">
        <is>
          <t>Subtotal eap-5_5</t>
        </is>
      </c>
      <c r="B252" s="21" t="n"/>
      <c r="C252" s="21" t="n"/>
      <c r="D252" s="21" t="n"/>
      <c r="E252" s="21" t="n"/>
      <c r="F252" s="21" t="n"/>
      <c r="G252" s="22">
        <f>SUM(G245:G251)</f>
        <v/>
      </c>
      <c r="H252" s="23" t="n">
        <v>0.23</v>
      </c>
      <c r="I252" s="22">
        <f>SUM(I245:I251)</f>
        <v/>
      </c>
    </row>
    <row r="253">
      <c r="A253" s="9" t="inlineStr">
        <is>
          <t>eap-2_1 — Escavação, carga e transporte de material de 1ª categoria - dmt de 400 a 600 m - caminho de serviço em leito natural - com carregadeira e caminhão basculante de 14 m³ - volume geométrico</t>
        </is>
      </c>
    </row>
    <row r="254">
      <c r="A254" s="13" t="inlineStr">
        <is>
          <t>MÃO DE OBRA</t>
        </is>
      </c>
      <c r="B254" s="13" t="inlineStr">
        <is>
          <t>MO-OPER-ESCAV</t>
        </is>
      </c>
      <c r="C254" s="13" t="inlineStr">
        <is>
          <t>Operador de Escavadeira</t>
        </is>
      </c>
      <c r="D254" s="24" t="inlineStr">
        <is>
          <t>DIRETO</t>
        </is>
      </c>
      <c r="E254" s="25" t="n">
        <v>1</v>
      </c>
      <c r="F254" s="26" t="n">
        <v>12875</v>
      </c>
      <c r="G254" s="26">
        <f>E254*F254</f>
        <v/>
      </c>
      <c r="H254" s="25" t="n">
        <v>0.23</v>
      </c>
      <c r="I254" s="26">
        <f>G254*H254</f>
        <v/>
      </c>
    </row>
    <row r="255">
      <c r="A255" s="13" t="inlineStr">
        <is>
          <t>MÃO DE OBRA</t>
        </is>
      </c>
      <c r="B255" s="13" t="inlineStr">
        <is>
          <t>MO-MOTOR-CAM-BASC</t>
        </is>
      </c>
      <c r="C255" s="13" t="inlineStr">
        <is>
          <t>Motorista de Caminhão Basculante</t>
        </is>
      </c>
      <c r="D255" s="24" t="inlineStr">
        <is>
          <t>DIRETO</t>
        </is>
      </c>
      <c r="E255" s="25" t="n">
        <v>3</v>
      </c>
      <c r="F255" s="26" t="n">
        <v>10685.34</v>
      </c>
      <c r="G255" s="26">
        <f>E255*F255</f>
        <v/>
      </c>
      <c r="H255" s="25" t="n">
        <v>0.23</v>
      </c>
      <c r="I255" s="26">
        <f>G255*H255</f>
        <v/>
      </c>
    </row>
    <row r="256">
      <c r="A256" s="13" t="inlineStr">
        <is>
          <t>MÃO DE OBRA</t>
        </is>
      </c>
      <c r="B256" s="13" t="inlineStr">
        <is>
          <t>MO-MOTOR-CAM-BASC</t>
        </is>
      </c>
      <c r="C256" s="13" t="inlineStr">
        <is>
          <t>Motorista de Caminhão Basculante</t>
        </is>
      </c>
      <c r="D256" s="24" t="inlineStr">
        <is>
          <t>DIRETO</t>
        </is>
      </c>
      <c r="E256" s="25" t="n">
        <v>1</v>
      </c>
      <c r="F256" s="26" t="n">
        <v>10685.34</v>
      </c>
      <c r="G256" s="26">
        <f>E256*F256</f>
        <v/>
      </c>
      <c r="H256" s="25" t="n">
        <v>0.23</v>
      </c>
      <c r="I256" s="26">
        <f>G256*H256</f>
        <v/>
      </c>
    </row>
    <row r="257">
      <c r="A257" s="13" t="inlineStr">
        <is>
          <t>MÃO DE OBRA</t>
        </is>
      </c>
      <c r="B257" s="13" t="inlineStr">
        <is>
          <t>MO-ENCARREG-TERRA</t>
        </is>
      </c>
      <c r="C257" s="13" t="inlineStr">
        <is>
          <t>Encarregado de Terraplenagem</t>
        </is>
      </c>
      <c r="D257" s="24" t="inlineStr">
        <is>
          <t>DIRETO</t>
        </is>
      </c>
      <c r="E257" s="25" t="n">
        <v>1</v>
      </c>
      <c r="F257" s="26" t="n">
        <v>11549.8</v>
      </c>
      <c r="G257" s="26">
        <f>E257*F257</f>
        <v/>
      </c>
      <c r="H257" s="25" t="n">
        <v>0.23</v>
      </c>
      <c r="I257" s="26">
        <f>G257*H257</f>
        <v/>
      </c>
    </row>
    <row r="258">
      <c r="A258" s="13" t="inlineStr">
        <is>
          <t>EQUIPAMENTO</t>
        </is>
      </c>
      <c r="B258" s="13" t="inlineStr">
        <is>
          <t>EQ-E0016</t>
        </is>
      </c>
      <c r="C258" s="13" t="inlineStr">
        <is>
          <t>Escavadeira Hidráulica 22t</t>
        </is>
      </c>
      <c r="D258" s="27" t="inlineStr">
        <is>
          <t>—</t>
        </is>
      </c>
      <c r="E258" s="25" t="n">
        <v>1</v>
      </c>
      <c r="F258" s="26" t="n">
        <v>35639.3</v>
      </c>
      <c r="G258" s="26">
        <f>E258*F258</f>
        <v/>
      </c>
      <c r="H258" s="25" t="n">
        <v>0.23</v>
      </c>
      <c r="I258" s="26">
        <f>G258*H258</f>
        <v/>
      </c>
    </row>
    <row r="259">
      <c r="A259" s="13" t="inlineStr">
        <is>
          <t>EQUIPAMENTO</t>
        </is>
      </c>
      <c r="B259" s="13" t="inlineStr">
        <is>
          <t>EQ-E0007</t>
        </is>
      </c>
      <c r="C259" s="13" t="inlineStr">
        <is>
          <t>Caminhão Basculante 14m³</t>
        </is>
      </c>
      <c r="D259" s="27" t="inlineStr">
        <is>
          <t>—</t>
        </is>
      </c>
      <c r="E259" s="25" t="n">
        <v>3</v>
      </c>
      <c r="F259" s="26" t="n">
        <v>25132.8</v>
      </c>
      <c r="G259" s="26">
        <f>E259*F259</f>
        <v/>
      </c>
      <c r="H259" s="25" t="n">
        <v>0.23</v>
      </c>
      <c r="I259" s="26">
        <f>G259*H259</f>
        <v/>
      </c>
    </row>
    <row r="260">
      <c r="A260" s="28" t="inlineStr">
        <is>
          <t>COMBUSTÍVEL</t>
        </is>
      </c>
      <c r="B260" s="13" t="inlineStr">
        <is>
          <t>EQ-E0007</t>
        </is>
      </c>
      <c r="C260" s="13" t="inlineStr">
        <is>
          <t>Diesel S-10 (7.3 L/h)</t>
        </is>
      </c>
      <c r="D260" s="27" t="inlineStr">
        <is>
          <t>—</t>
        </is>
      </c>
      <c r="E260" s="25" t="n">
        <v>3</v>
      </c>
      <c r="F260" s="26" t="n">
        <v>9259.610000000001</v>
      </c>
      <c r="G260" s="26">
        <f>E260*F260</f>
        <v/>
      </c>
      <c r="H260" s="25" t="n">
        <v>0.23</v>
      </c>
      <c r="I260" s="26">
        <f>G260*H260</f>
        <v/>
      </c>
    </row>
    <row r="261">
      <c r="A261" s="20" t="inlineStr">
        <is>
          <t>Subtotal eap-2_1</t>
        </is>
      </c>
      <c r="B261" s="21" t="n"/>
      <c r="C261" s="21" t="n"/>
      <c r="D261" s="21" t="n"/>
      <c r="E261" s="21" t="n"/>
      <c r="F261" s="21" t="n"/>
      <c r="G261" s="22">
        <f>SUM(G254:G260)</f>
        <v/>
      </c>
      <c r="H261" s="23" t="n">
        <v>0.23</v>
      </c>
      <c r="I261" s="22">
        <f>SUM(I254:I260)</f>
        <v/>
      </c>
    </row>
    <row r="262">
      <c r="A262" s="9" t="inlineStr">
        <is>
          <t>eap-5_7 — Regularização de bota-fora com espalhamento e compactação</t>
        </is>
      </c>
    </row>
    <row r="263">
      <c r="A263" s="11" t="inlineStr">
        <is>
          <t>MÃO DE OBRA</t>
        </is>
      </c>
      <c r="B263" s="11" t="inlineStr">
        <is>
          <t>MO-OPER-MOTO</t>
        </is>
      </c>
      <c r="C263" s="11" t="inlineStr">
        <is>
          <t>Operador de Motoniveladora</t>
        </is>
      </c>
      <c r="D263" s="15" t="inlineStr">
        <is>
          <t>DIRETO</t>
        </is>
      </c>
      <c r="E263" s="16" t="n">
        <v>1</v>
      </c>
      <c r="F263" s="17" t="n">
        <v>17356.25</v>
      </c>
      <c r="G263" s="17">
        <f>E263*F263</f>
        <v/>
      </c>
      <c r="H263" s="16" t="n">
        <v>0.23</v>
      </c>
      <c r="I263" s="17">
        <f>G263*H263</f>
        <v/>
      </c>
    </row>
    <row r="264">
      <c r="A264" s="11" t="inlineStr">
        <is>
          <t>MÃO DE OBRA</t>
        </is>
      </c>
      <c r="B264" s="11" t="inlineStr">
        <is>
          <t>MO-OPER-ROLO-COMP</t>
        </is>
      </c>
      <c r="C264" s="11" t="inlineStr">
        <is>
          <t>Operador de Rolo Compactador</t>
        </is>
      </c>
      <c r="D264" s="15" t="inlineStr">
        <is>
          <t>DIRETO</t>
        </is>
      </c>
      <c r="E264" s="16" t="n">
        <v>1</v>
      </c>
      <c r="F264" s="17" t="n">
        <v>10685.34</v>
      </c>
      <c r="G264" s="17">
        <f>E264*F264</f>
        <v/>
      </c>
      <c r="H264" s="16" t="n">
        <v>0.23</v>
      </c>
      <c r="I264" s="17">
        <f>G264*H264</f>
        <v/>
      </c>
    </row>
    <row r="265">
      <c r="A265" s="11" t="inlineStr">
        <is>
          <t>MÃO DE OBRA</t>
        </is>
      </c>
      <c r="B265" s="11" t="inlineStr">
        <is>
          <t>MO-OPER-ROLO-COMP</t>
        </is>
      </c>
      <c r="C265" s="11" t="inlineStr">
        <is>
          <t>Operador de Rolo Compactador</t>
        </is>
      </c>
      <c r="D265" s="15" t="inlineStr">
        <is>
          <t>DIRETO</t>
        </is>
      </c>
      <c r="E265" s="16" t="n">
        <v>1</v>
      </c>
      <c r="F265" s="17" t="n">
        <v>10685.34</v>
      </c>
      <c r="G265" s="17">
        <f>E265*F265</f>
        <v/>
      </c>
      <c r="H265" s="16" t="n">
        <v>0.23</v>
      </c>
      <c r="I265" s="17">
        <f>G265*H265</f>
        <v/>
      </c>
    </row>
    <row r="266">
      <c r="A266" s="11" t="inlineStr">
        <is>
          <t>MÃO DE OBRA</t>
        </is>
      </c>
      <c r="B266" s="11" t="inlineStr">
        <is>
          <t>MO-ENCARREG-TERRA</t>
        </is>
      </c>
      <c r="C266" s="11" t="inlineStr">
        <is>
          <t>Encarregado de Terraplenagem</t>
        </is>
      </c>
      <c r="D266" s="15" t="inlineStr">
        <is>
          <t>DIRETO</t>
        </is>
      </c>
      <c r="E266" s="16" t="n">
        <v>1</v>
      </c>
      <c r="F266" s="17" t="n">
        <v>11549.8</v>
      </c>
      <c r="G266" s="17">
        <f>E266*F266</f>
        <v/>
      </c>
      <c r="H266" s="16" t="n">
        <v>0.23</v>
      </c>
      <c r="I266" s="17">
        <f>G266*H266</f>
        <v/>
      </c>
    </row>
    <row r="267">
      <c r="A267" s="11" t="inlineStr">
        <is>
          <t>EQUIPAMENTO</t>
        </is>
      </c>
      <c r="B267" s="11" t="inlineStr">
        <is>
          <t>EQ-E0029</t>
        </is>
      </c>
      <c r="C267" s="11" t="inlineStr">
        <is>
          <t>Motoniveladora 140HP</t>
        </is>
      </c>
      <c r="D267" s="18" t="inlineStr">
        <is>
          <t>—</t>
        </is>
      </c>
      <c r="E267" s="16" t="n">
        <v>1</v>
      </c>
      <c r="F267" s="17" t="n">
        <v>43326.98</v>
      </c>
      <c r="G267" s="17">
        <f>E267*F267</f>
        <v/>
      </c>
      <c r="H267" s="16" t="n">
        <v>0.23</v>
      </c>
      <c r="I267" s="17">
        <f>G267*H267</f>
        <v/>
      </c>
    </row>
    <row r="268">
      <c r="A268" s="19" t="inlineStr">
        <is>
          <t>COMBUSTÍVEL</t>
        </is>
      </c>
      <c r="B268" s="11" t="inlineStr">
        <is>
          <t>EQ-E0029</t>
        </is>
      </c>
      <c r="C268" s="11" t="inlineStr">
        <is>
          <t>Diesel S-10 (11.0 L/h)</t>
        </is>
      </c>
      <c r="D268" s="18" t="inlineStr">
        <is>
          <t>—</t>
        </is>
      </c>
      <c r="E268" s="16" t="n">
        <v>1</v>
      </c>
      <c r="F268" s="17" t="n">
        <v>14029.71</v>
      </c>
      <c r="G268" s="17">
        <f>E268*F268</f>
        <v/>
      </c>
      <c r="H268" s="16" t="n">
        <v>0.23</v>
      </c>
      <c r="I268" s="17">
        <f>G268*H268</f>
        <v/>
      </c>
    </row>
    <row r="269">
      <c r="A269" s="11" t="inlineStr">
        <is>
          <t>EQUIPAMENTO</t>
        </is>
      </c>
      <c r="B269" s="11" t="inlineStr">
        <is>
          <t>EQ-E0035</t>
        </is>
      </c>
      <c r="C269" s="11" t="inlineStr">
        <is>
          <t>Trator de esteiras 20T</t>
        </is>
      </c>
      <c r="D269" s="18" t="inlineStr">
        <is>
          <t>—</t>
        </is>
      </c>
      <c r="E269" s="16" t="n">
        <v>1</v>
      </c>
      <c r="F269" s="17" t="n">
        <v>21683.2</v>
      </c>
      <c r="G269" s="17">
        <f>E269*F269</f>
        <v/>
      </c>
      <c r="H269" s="16" t="n">
        <v>0.23</v>
      </c>
      <c r="I269" s="17">
        <f>G269*H269</f>
        <v/>
      </c>
    </row>
    <row r="270">
      <c r="A270" s="19" t="inlineStr">
        <is>
          <t>COMBUSTÍVEL</t>
        </is>
      </c>
      <c r="B270" s="11" t="inlineStr">
        <is>
          <t>EQ-E0035</t>
        </is>
      </c>
      <c r="C270" s="11" t="inlineStr">
        <is>
          <t>Diesel S-10 (18.0 L/h)</t>
        </is>
      </c>
      <c r="D270" s="18" t="inlineStr">
        <is>
          <t>—</t>
        </is>
      </c>
      <c r="E270" s="16" t="n">
        <v>1</v>
      </c>
      <c r="F270" s="17" t="n">
        <v>22957.71</v>
      </c>
      <c r="G270" s="17">
        <f>E270*F270</f>
        <v/>
      </c>
      <c r="H270" s="16" t="n">
        <v>0.23</v>
      </c>
      <c r="I270" s="17">
        <f>G270*H270</f>
        <v/>
      </c>
    </row>
    <row r="271">
      <c r="A271" s="11" t="inlineStr">
        <is>
          <t>EQUIPAMENTO</t>
        </is>
      </c>
      <c r="B271" s="11" t="inlineStr">
        <is>
          <t>EQ-E0010</t>
        </is>
      </c>
      <c r="C271" s="11" t="inlineStr">
        <is>
          <t>Caminhão Pipa 10.000L</t>
        </is>
      </c>
      <c r="D271" s="18" t="inlineStr">
        <is>
          <t>—</t>
        </is>
      </c>
      <c r="E271" s="16" t="n">
        <v>1</v>
      </c>
      <c r="F271" s="17" t="n">
        <v>19360</v>
      </c>
      <c r="G271" s="17">
        <f>E271*F271</f>
        <v/>
      </c>
      <c r="H271" s="16" t="n">
        <v>0.23</v>
      </c>
      <c r="I271" s="17">
        <f>G271*H271</f>
        <v/>
      </c>
    </row>
    <row r="272">
      <c r="A272" s="19" t="inlineStr">
        <is>
          <t>COMBUSTÍVEL</t>
        </is>
      </c>
      <c r="B272" s="11" t="inlineStr">
        <is>
          <t>EQ-E0010</t>
        </is>
      </c>
      <c r="C272" s="11" t="inlineStr">
        <is>
          <t>Diesel S-10 (2.0 L/h)</t>
        </is>
      </c>
      <c r="D272" s="18" t="inlineStr">
        <is>
          <t>—</t>
        </is>
      </c>
      <c r="E272" s="16" t="n">
        <v>1</v>
      </c>
      <c r="F272" s="17" t="n">
        <v>2550.86</v>
      </c>
      <c r="G272" s="17">
        <f>E272*F272</f>
        <v/>
      </c>
      <c r="H272" s="16" t="n">
        <v>0.23</v>
      </c>
      <c r="I272" s="17">
        <f>G272*H272</f>
        <v/>
      </c>
    </row>
    <row r="273">
      <c r="A273" s="20" t="inlineStr">
        <is>
          <t>Subtotal eap-5_7</t>
        </is>
      </c>
      <c r="B273" s="21" t="n"/>
      <c r="C273" s="21" t="n"/>
      <c r="D273" s="21" t="n"/>
      <c r="E273" s="21" t="n"/>
      <c r="F273" s="21" t="n"/>
      <c r="G273" s="22">
        <f>SUM(G263:G272)</f>
        <v/>
      </c>
      <c r="H273" s="23" t="n">
        <v>0.23</v>
      </c>
      <c r="I273" s="22">
        <f>SUM(I263:I272)</f>
        <v/>
      </c>
    </row>
    <row r="274">
      <c r="A274" s="9" t="inlineStr">
        <is>
          <t>eap-4_9 — Fresagem de pavimento esp=10cm (Para encaixes novas alças)</t>
        </is>
      </c>
    </row>
    <row r="275">
      <c r="A275" s="13" t="inlineStr">
        <is>
          <t>MÃO DE OBRA</t>
        </is>
      </c>
      <c r="B275" s="13" t="inlineStr">
        <is>
          <t>MO-OPER-ESCAV</t>
        </is>
      </c>
      <c r="C275" s="13" t="inlineStr">
        <is>
          <t>Operador de Escavadeira</t>
        </is>
      </c>
      <c r="D275" s="24" t="inlineStr">
        <is>
          <t>DIRETO</t>
        </is>
      </c>
      <c r="E275" s="25" t="n">
        <v>1</v>
      </c>
      <c r="F275" s="26" t="n">
        <v>12875</v>
      </c>
      <c r="G275" s="26">
        <f>E275*F275</f>
        <v/>
      </c>
      <c r="H275" s="25" t="n">
        <v>0.23</v>
      </c>
      <c r="I275" s="26">
        <f>G275*H275</f>
        <v/>
      </c>
    </row>
    <row r="276">
      <c r="A276" s="13" t="inlineStr">
        <is>
          <t>MÃO DE OBRA</t>
        </is>
      </c>
      <c r="B276" s="13" t="inlineStr">
        <is>
          <t>MO-MOTOR-CAM-BASC</t>
        </is>
      </c>
      <c r="C276" s="13" t="inlineStr">
        <is>
          <t>Motorista de Caminhão Basculante</t>
        </is>
      </c>
      <c r="D276" s="24" t="inlineStr">
        <is>
          <t>DIRETO</t>
        </is>
      </c>
      <c r="E276" s="25" t="n">
        <v>2</v>
      </c>
      <c r="F276" s="26" t="n">
        <v>10685.34</v>
      </c>
      <c r="G276" s="26">
        <f>E276*F276</f>
        <v/>
      </c>
      <c r="H276" s="25" t="n">
        <v>0.23</v>
      </c>
      <c r="I276" s="26">
        <f>G276*H276</f>
        <v/>
      </c>
    </row>
    <row r="277">
      <c r="A277" s="13" t="inlineStr">
        <is>
          <t>MÃO DE OBRA</t>
        </is>
      </c>
      <c r="B277" s="13" t="inlineStr">
        <is>
          <t>MO-OPER-ESCAV</t>
        </is>
      </c>
      <c r="C277" s="13" t="inlineStr">
        <is>
          <t>Operador de Escavadeira</t>
        </is>
      </c>
      <c r="D277" s="24" t="inlineStr">
        <is>
          <t>DIRETO</t>
        </is>
      </c>
      <c r="E277" s="25" t="n">
        <v>1</v>
      </c>
      <c r="F277" s="26" t="n">
        <v>12875</v>
      </c>
      <c r="G277" s="26">
        <f>E277*F277</f>
        <v/>
      </c>
      <c r="H277" s="25" t="n">
        <v>0.23</v>
      </c>
      <c r="I277" s="26">
        <f>G277*H277</f>
        <v/>
      </c>
    </row>
    <row r="278">
      <c r="A278" s="13" t="inlineStr">
        <is>
          <t>EQUIPAMENTO</t>
        </is>
      </c>
      <c r="B278" s="13" t="inlineStr">
        <is>
          <t>EQ-E0016</t>
        </is>
      </c>
      <c r="C278" s="13" t="inlineStr">
        <is>
          <t>Escavadeira Hidráulica 22t</t>
        </is>
      </c>
      <c r="D278" s="27" t="inlineStr">
        <is>
          <t>—</t>
        </is>
      </c>
      <c r="E278" s="25" t="n">
        <v>1</v>
      </c>
      <c r="F278" s="26" t="n">
        <v>35639.3</v>
      </c>
      <c r="G278" s="26">
        <f>E278*F278</f>
        <v/>
      </c>
      <c r="H278" s="25" t="n">
        <v>0.23</v>
      </c>
      <c r="I278" s="26">
        <f>G278*H278</f>
        <v/>
      </c>
    </row>
    <row r="279">
      <c r="A279" s="13" t="inlineStr">
        <is>
          <t>EQUIPAMENTO</t>
        </is>
      </c>
      <c r="B279" s="13" t="inlineStr">
        <is>
          <t>EQ-E0050</t>
        </is>
      </c>
      <c r="C279" s="13" t="inlineStr">
        <is>
          <t>Escavadeira 35t com rompedor</t>
        </is>
      </c>
      <c r="D279" s="27" t="inlineStr">
        <is>
          <t>—</t>
        </is>
      </c>
      <c r="E279" s="25" t="n">
        <v>1</v>
      </c>
      <c r="F279" s="26" t="n">
        <v>35318.8</v>
      </c>
      <c r="G279" s="26">
        <f>E279*F279</f>
        <v/>
      </c>
      <c r="H279" s="25" t="n">
        <v>0.23</v>
      </c>
      <c r="I279" s="26">
        <f>G279*H279</f>
        <v/>
      </c>
    </row>
    <row r="280">
      <c r="A280" s="28" t="inlineStr">
        <is>
          <t>COMBUSTÍVEL</t>
        </is>
      </c>
      <c r="B280" s="13" t="inlineStr">
        <is>
          <t>EQ-E0050</t>
        </is>
      </c>
      <c r="C280" s="13" t="inlineStr">
        <is>
          <t>Diesel S-10 (26.0 L/h)</t>
        </is>
      </c>
      <c r="D280" s="27" t="inlineStr">
        <is>
          <t>—</t>
        </is>
      </c>
      <c r="E280" s="25" t="n">
        <v>1</v>
      </c>
      <c r="F280" s="26" t="n">
        <v>33161.14</v>
      </c>
      <c r="G280" s="26">
        <f>E280*F280</f>
        <v/>
      </c>
      <c r="H280" s="25" t="n">
        <v>0.23</v>
      </c>
      <c r="I280" s="26">
        <f>G280*H280</f>
        <v/>
      </c>
    </row>
    <row r="281">
      <c r="A281" s="13" t="inlineStr">
        <is>
          <t>EQUIPAMENTO</t>
        </is>
      </c>
      <c r="B281" s="13" t="inlineStr">
        <is>
          <t>EQ-E0008</t>
        </is>
      </c>
      <c r="C281" s="13" t="inlineStr">
        <is>
          <t>Caminhão Basculante 16m³</t>
        </is>
      </c>
      <c r="D281" s="27" t="inlineStr">
        <is>
          <t>—</t>
        </is>
      </c>
      <c r="E281" s="25" t="n">
        <v>2</v>
      </c>
      <c r="F281" s="26" t="n">
        <v>40084.35</v>
      </c>
      <c r="G281" s="26">
        <f>E281*F281</f>
        <v/>
      </c>
      <c r="H281" s="25" t="n">
        <v>0.23</v>
      </c>
      <c r="I281" s="26">
        <f>G281*H281</f>
        <v/>
      </c>
    </row>
    <row r="282">
      <c r="A282" s="28" t="inlineStr">
        <is>
          <t>COMBUSTÍVEL</t>
        </is>
      </c>
      <c r="B282" s="13" t="inlineStr">
        <is>
          <t>EQ-E0008</t>
        </is>
      </c>
      <c r="C282" s="13" t="inlineStr">
        <is>
          <t>Diesel S-10 (2.5 L/h)</t>
        </is>
      </c>
      <c r="D282" s="27" t="inlineStr">
        <is>
          <t>—</t>
        </is>
      </c>
      <c r="E282" s="25" t="n">
        <v>2</v>
      </c>
      <c r="F282" s="26" t="n">
        <v>3188.57</v>
      </c>
      <c r="G282" s="26">
        <f>E282*F282</f>
        <v/>
      </c>
      <c r="H282" s="25" t="n">
        <v>0.23</v>
      </c>
      <c r="I282" s="26">
        <f>G282*H282</f>
        <v/>
      </c>
    </row>
    <row r="283">
      <c r="A283" s="20" t="inlineStr">
        <is>
          <t>Subtotal eap-4_9</t>
        </is>
      </c>
      <c r="B283" s="21" t="n"/>
      <c r="C283" s="21" t="n"/>
      <c r="D283" s="21" t="n"/>
      <c r="E283" s="21" t="n"/>
      <c r="F283" s="21" t="n"/>
      <c r="G283" s="22">
        <f>SUM(G275:G282)</f>
        <v/>
      </c>
      <c r="H283" s="23" t="n">
        <v>0.23</v>
      </c>
      <c r="I283" s="22">
        <f>SUM(I275:I282)</f>
        <v/>
      </c>
    </row>
    <row r="284">
      <c r="A284" s="9" t="inlineStr">
        <is>
          <t>eap-5_18 — Hidrossemeadura para cobertura de taludes</t>
        </is>
      </c>
    </row>
    <row r="285">
      <c r="A285" s="11" t="inlineStr">
        <is>
          <t>MÃO DE OBRA</t>
        </is>
      </c>
      <c r="B285" s="11" t="inlineStr">
        <is>
          <t>MO-AJUDANTE</t>
        </is>
      </c>
      <c r="C285" s="11" t="inlineStr">
        <is>
          <t>Ajudante</t>
        </is>
      </c>
      <c r="D285" s="15" t="inlineStr">
        <is>
          <t>DIRETO</t>
        </is>
      </c>
      <c r="E285" s="16" t="n">
        <v>4</v>
      </c>
      <c r="F285" s="17" t="n">
        <v>5261.65</v>
      </c>
      <c r="G285" s="17">
        <f>E285*F285</f>
        <v/>
      </c>
      <c r="H285" s="16" t="n">
        <v>0.23</v>
      </c>
      <c r="I285" s="17">
        <f>G285*H285</f>
        <v/>
      </c>
    </row>
    <row r="286">
      <c r="A286" s="11" t="inlineStr">
        <is>
          <t>EQUIPAMENTO</t>
        </is>
      </c>
      <c r="B286" s="11" t="inlineStr">
        <is>
          <t>EQ-HIDROSSEMEADORA</t>
        </is>
      </c>
      <c r="C286" s="11" t="inlineStr">
        <is>
          <t>Hidrossemeadora rebocável</t>
        </is>
      </c>
      <c r="D286" s="18" t="inlineStr">
        <is>
          <t>—</t>
        </is>
      </c>
      <c r="E286" s="16" t="n">
        <v>1</v>
      </c>
      <c r="F286" s="17" t="n">
        <v>6160</v>
      </c>
      <c r="G286" s="17">
        <f>E286*F286</f>
        <v/>
      </c>
      <c r="H286" s="16" t="n">
        <v>0.23</v>
      </c>
      <c r="I286" s="17">
        <f>G286*H286</f>
        <v/>
      </c>
    </row>
    <row r="287">
      <c r="A287" s="20" t="inlineStr">
        <is>
          <t>Subtotal eap-5_18</t>
        </is>
      </c>
      <c r="B287" s="21" t="n"/>
      <c r="C287" s="21" t="n"/>
      <c r="D287" s="21" t="n"/>
      <c r="E287" s="21" t="n"/>
      <c r="F287" s="21" t="n"/>
      <c r="G287" s="22">
        <f>SUM(G285:G286)</f>
        <v/>
      </c>
      <c r="H287" s="23" t="n">
        <v>0.23</v>
      </c>
      <c r="I287" s="22">
        <f>SUM(I285:I286)</f>
        <v/>
      </c>
    </row>
    <row r="288">
      <c r="A288" s="9" t="inlineStr">
        <is>
          <t>eap-5_9 — Manutenção de cobertura de gramíneas por hidrossemeadura</t>
        </is>
      </c>
    </row>
    <row r="289">
      <c r="A289" s="13" t="inlineStr">
        <is>
          <t>MÃO DE OBRA</t>
        </is>
      </c>
      <c r="B289" s="13" t="inlineStr">
        <is>
          <t>MO-AJUDANTE</t>
        </is>
      </c>
      <c r="C289" s="13" t="inlineStr">
        <is>
          <t>Ajudante</t>
        </is>
      </c>
      <c r="D289" s="24" t="inlineStr">
        <is>
          <t>DIRETO</t>
        </is>
      </c>
      <c r="E289" s="25" t="n">
        <v>4</v>
      </c>
      <c r="F289" s="26" t="n">
        <v>5261.65</v>
      </c>
      <c r="G289" s="26">
        <f>E289*F289</f>
        <v/>
      </c>
      <c r="H289" s="25" t="n">
        <v>0.23</v>
      </c>
      <c r="I289" s="26">
        <f>G289*H289</f>
        <v/>
      </c>
    </row>
    <row r="290">
      <c r="A290" s="13" t="inlineStr">
        <is>
          <t>EQUIPAMENTO</t>
        </is>
      </c>
      <c r="B290" s="13" t="inlineStr">
        <is>
          <t>EQ-HIDROSSEMEADORA</t>
        </is>
      </c>
      <c r="C290" s="13" t="inlineStr">
        <is>
          <t>Hidrossemeadora rebocável</t>
        </is>
      </c>
      <c r="D290" s="27" t="inlineStr">
        <is>
          <t>—</t>
        </is>
      </c>
      <c r="E290" s="25" t="n">
        <v>1</v>
      </c>
      <c r="F290" s="26" t="n">
        <v>6160</v>
      </c>
      <c r="G290" s="26">
        <f>E290*F290</f>
        <v/>
      </c>
      <c r="H290" s="25" t="n">
        <v>0.23</v>
      </c>
      <c r="I290" s="26">
        <f>G290*H290</f>
        <v/>
      </c>
    </row>
    <row r="291">
      <c r="A291" s="20" t="inlineStr">
        <is>
          <t>Subtotal eap-5_9</t>
        </is>
      </c>
      <c r="B291" s="21" t="n"/>
      <c r="C291" s="21" t="n"/>
      <c r="D291" s="21" t="n"/>
      <c r="E291" s="21" t="n"/>
      <c r="F291" s="21" t="n"/>
      <c r="G291" s="22">
        <f>SUM(G289:G290)</f>
        <v/>
      </c>
      <c r="H291" s="23" t="n">
        <v>0.23</v>
      </c>
      <c r="I291" s="22">
        <f>SUM(I289:I290)</f>
        <v/>
      </c>
    </row>
    <row r="292">
      <c r="A292" s="9" t="inlineStr">
        <is>
          <t>eap-5_15 — Escavação mecanizada de cavas ou valas de solo local - volume geométrico</t>
        </is>
      </c>
    </row>
    <row r="293">
      <c r="A293" s="11" t="inlineStr">
        <is>
          <t>MÃO DE OBRA</t>
        </is>
      </c>
      <c r="B293" s="11" t="inlineStr">
        <is>
          <t>MO-OPER-ESCAV</t>
        </is>
      </c>
      <c r="C293" s="11" t="inlineStr">
        <is>
          <t>Operador de Escavadeira</t>
        </is>
      </c>
      <c r="D293" s="15" t="inlineStr">
        <is>
          <t>DIRETO</t>
        </is>
      </c>
      <c r="E293" s="16" t="n">
        <v>1</v>
      </c>
      <c r="F293" s="17" t="n">
        <v>12875</v>
      </c>
      <c r="G293" s="17">
        <f>E293*F293</f>
        <v/>
      </c>
      <c r="H293" s="16" t="n">
        <v>0.23</v>
      </c>
      <c r="I293" s="17">
        <f>G293*H293</f>
        <v/>
      </c>
    </row>
    <row r="294">
      <c r="A294" s="11" t="inlineStr">
        <is>
          <t>MÃO DE OBRA</t>
        </is>
      </c>
      <c r="B294" s="11" t="inlineStr">
        <is>
          <t>MO-MOTOR-CAM-BASC</t>
        </is>
      </c>
      <c r="C294" s="11" t="inlineStr">
        <is>
          <t>Motorista de Caminhão Basculante</t>
        </is>
      </c>
      <c r="D294" s="15" t="inlineStr">
        <is>
          <t>DIRETO</t>
        </is>
      </c>
      <c r="E294" s="16" t="n">
        <v>3</v>
      </c>
      <c r="F294" s="17" t="n">
        <v>10685.34</v>
      </c>
      <c r="G294" s="17">
        <f>E294*F294</f>
        <v/>
      </c>
      <c r="H294" s="16" t="n">
        <v>0.23</v>
      </c>
      <c r="I294" s="17">
        <f>G294*H294</f>
        <v/>
      </c>
    </row>
    <row r="295">
      <c r="A295" s="11" t="inlineStr">
        <is>
          <t>MÃO DE OBRA</t>
        </is>
      </c>
      <c r="B295" s="11" t="inlineStr">
        <is>
          <t>MO-MOTOR-CAM-BASC</t>
        </is>
      </c>
      <c r="C295" s="11" t="inlineStr">
        <is>
          <t>Motorista de Caminhão Basculante</t>
        </is>
      </c>
      <c r="D295" s="15" t="inlineStr">
        <is>
          <t>DIRETO</t>
        </is>
      </c>
      <c r="E295" s="16" t="n">
        <v>1</v>
      </c>
      <c r="F295" s="17" t="n">
        <v>10685.34</v>
      </c>
      <c r="G295" s="17">
        <f>E295*F295</f>
        <v/>
      </c>
      <c r="H295" s="16" t="n">
        <v>0.23</v>
      </c>
      <c r="I295" s="17">
        <f>G295*H295</f>
        <v/>
      </c>
    </row>
    <row r="296">
      <c r="A296" s="11" t="inlineStr">
        <is>
          <t>MÃO DE OBRA</t>
        </is>
      </c>
      <c r="B296" s="11" t="inlineStr">
        <is>
          <t>MO-ENCARREG-TERRA</t>
        </is>
      </c>
      <c r="C296" s="11" t="inlineStr">
        <is>
          <t>Encarregado de Terraplenagem</t>
        </is>
      </c>
      <c r="D296" s="15" t="inlineStr">
        <is>
          <t>DIRETO</t>
        </is>
      </c>
      <c r="E296" s="16" t="n">
        <v>1</v>
      </c>
      <c r="F296" s="17" t="n">
        <v>11549.8</v>
      </c>
      <c r="G296" s="17">
        <f>E296*F296</f>
        <v/>
      </c>
      <c r="H296" s="16" t="n">
        <v>0.23</v>
      </c>
      <c r="I296" s="17">
        <f>G296*H296</f>
        <v/>
      </c>
    </row>
    <row r="297">
      <c r="A297" s="11" t="inlineStr">
        <is>
          <t>EQUIPAMENTO</t>
        </is>
      </c>
      <c r="B297" s="11" t="inlineStr">
        <is>
          <t>EQ-E0016</t>
        </is>
      </c>
      <c r="C297" s="11" t="inlineStr">
        <is>
          <t>Escavadeira Hidráulica 22t</t>
        </is>
      </c>
      <c r="D297" s="18" t="inlineStr">
        <is>
          <t>—</t>
        </is>
      </c>
      <c r="E297" s="16" t="n">
        <v>1</v>
      </c>
      <c r="F297" s="17" t="n">
        <v>35639.3</v>
      </c>
      <c r="G297" s="17">
        <f>E297*F297</f>
        <v/>
      </c>
      <c r="H297" s="16" t="n">
        <v>0.23</v>
      </c>
      <c r="I297" s="17">
        <f>G297*H297</f>
        <v/>
      </c>
    </row>
    <row r="298">
      <c r="A298" s="11" t="inlineStr">
        <is>
          <t>EQUIPAMENTO</t>
        </is>
      </c>
      <c r="B298" s="11" t="inlineStr">
        <is>
          <t>EQ-E0007</t>
        </is>
      </c>
      <c r="C298" s="11" t="inlineStr">
        <is>
          <t>Caminhão Basculante 14m³</t>
        </is>
      </c>
      <c r="D298" s="18" t="inlineStr">
        <is>
          <t>—</t>
        </is>
      </c>
      <c r="E298" s="16" t="n">
        <v>3</v>
      </c>
      <c r="F298" s="17" t="n">
        <v>25132.8</v>
      </c>
      <c r="G298" s="17">
        <f>E298*F298</f>
        <v/>
      </c>
      <c r="H298" s="16" t="n">
        <v>0.23</v>
      </c>
      <c r="I298" s="17">
        <f>G298*H298</f>
        <v/>
      </c>
    </row>
    <row r="299">
      <c r="A299" s="19" t="inlineStr">
        <is>
          <t>COMBUSTÍVEL</t>
        </is>
      </c>
      <c r="B299" s="11" t="inlineStr">
        <is>
          <t>EQ-E0007</t>
        </is>
      </c>
      <c r="C299" s="11" t="inlineStr">
        <is>
          <t>Diesel S-10 (7.3 L/h)</t>
        </is>
      </c>
      <c r="D299" s="18" t="inlineStr">
        <is>
          <t>—</t>
        </is>
      </c>
      <c r="E299" s="16" t="n">
        <v>3</v>
      </c>
      <c r="F299" s="17" t="n">
        <v>9259.610000000001</v>
      </c>
      <c r="G299" s="17">
        <f>E299*F299</f>
        <v/>
      </c>
      <c r="H299" s="16" t="n">
        <v>0.23</v>
      </c>
      <c r="I299" s="17">
        <f>G299*H299</f>
        <v/>
      </c>
    </row>
    <row r="300">
      <c r="A300" s="20" t="inlineStr">
        <is>
          <t>Subtotal eap-5_15</t>
        </is>
      </c>
      <c r="B300" s="21" t="n"/>
      <c r="C300" s="21" t="n"/>
      <c r="D300" s="21" t="n"/>
      <c r="E300" s="21" t="n"/>
      <c r="F300" s="21" t="n"/>
      <c r="G300" s="22">
        <f>SUM(G293:G299)</f>
        <v/>
      </c>
      <c r="H300" s="23" t="n">
        <v>0.23</v>
      </c>
      <c r="I300" s="22">
        <f>SUM(I293:I299)</f>
        <v/>
      </c>
    </row>
    <row r="301">
      <c r="A301" s="9" t="inlineStr">
        <is>
          <t>eap-5_17 — Eegularização de bota-fora com espalhamento e compactação</t>
        </is>
      </c>
    </row>
    <row r="302">
      <c r="A302" s="13" t="inlineStr">
        <is>
          <t>MÃO DE OBRA</t>
        </is>
      </c>
      <c r="B302" s="13" t="inlineStr">
        <is>
          <t>MO-OPER-MOTO</t>
        </is>
      </c>
      <c r="C302" s="13" t="inlineStr">
        <is>
          <t>Operador de Motoniveladora</t>
        </is>
      </c>
      <c r="D302" s="24" t="inlineStr">
        <is>
          <t>DIRETO</t>
        </is>
      </c>
      <c r="E302" s="25" t="n">
        <v>1</v>
      </c>
      <c r="F302" s="26" t="n">
        <v>17356.25</v>
      </c>
      <c r="G302" s="26">
        <f>E302*F302</f>
        <v/>
      </c>
      <c r="H302" s="25" t="n">
        <v>0.23</v>
      </c>
      <c r="I302" s="26">
        <f>G302*H302</f>
        <v/>
      </c>
    </row>
    <row r="303">
      <c r="A303" s="13" t="inlineStr">
        <is>
          <t>MÃO DE OBRA</t>
        </is>
      </c>
      <c r="B303" s="13" t="inlineStr">
        <is>
          <t>MO-OPER-ROLO-COMP</t>
        </is>
      </c>
      <c r="C303" s="13" t="inlineStr">
        <is>
          <t>Operador de Rolo Compactador</t>
        </is>
      </c>
      <c r="D303" s="24" t="inlineStr">
        <is>
          <t>DIRETO</t>
        </is>
      </c>
      <c r="E303" s="25" t="n">
        <v>1</v>
      </c>
      <c r="F303" s="26" t="n">
        <v>10685.34</v>
      </c>
      <c r="G303" s="26">
        <f>E303*F303</f>
        <v/>
      </c>
      <c r="H303" s="25" t="n">
        <v>0.23</v>
      </c>
      <c r="I303" s="26">
        <f>G303*H303</f>
        <v/>
      </c>
    </row>
    <row r="304">
      <c r="A304" s="13" t="inlineStr">
        <is>
          <t>MÃO DE OBRA</t>
        </is>
      </c>
      <c r="B304" s="13" t="inlineStr">
        <is>
          <t>MO-MOTOR-CAM-BASC</t>
        </is>
      </c>
      <c r="C304" s="13" t="inlineStr">
        <is>
          <t>Motorista de Caminhão Basculante</t>
        </is>
      </c>
      <c r="D304" s="24" t="inlineStr">
        <is>
          <t>DIRETO</t>
        </is>
      </c>
      <c r="E304" s="25" t="n">
        <v>2</v>
      </c>
      <c r="F304" s="26" t="n">
        <v>10685.34</v>
      </c>
      <c r="G304" s="26">
        <f>E304*F304</f>
        <v/>
      </c>
      <c r="H304" s="25" t="n">
        <v>0.23</v>
      </c>
      <c r="I304" s="26">
        <f>G304*H304</f>
        <v/>
      </c>
    </row>
    <row r="305">
      <c r="A305" s="13" t="inlineStr">
        <is>
          <t>MÃO DE OBRA</t>
        </is>
      </c>
      <c r="B305" s="13" t="inlineStr">
        <is>
          <t>MO-SERV-GERAL</t>
        </is>
      </c>
      <c r="C305" s="13" t="inlineStr">
        <is>
          <t>Servente</t>
        </is>
      </c>
      <c r="D305" s="24" t="inlineStr">
        <is>
          <t>DIRETO</t>
        </is>
      </c>
      <c r="E305" s="25" t="n">
        <v>1</v>
      </c>
      <c r="F305" s="26" t="n">
        <v>7093.01</v>
      </c>
      <c r="G305" s="26">
        <f>E305*F305</f>
        <v/>
      </c>
      <c r="H305" s="25" t="n">
        <v>0.23</v>
      </c>
      <c r="I305" s="26">
        <f>G305*H305</f>
        <v/>
      </c>
    </row>
    <row r="306">
      <c r="A306" s="13" t="inlineStr">
        <is>
          <t>EQUIPAMENTO</t>
        </is>
      </c>
      <c r="B306" s="13" t="inlineStr">
        <is>
          <t>EQ-MOTONIVEL-140K</t>
        </is>
      </c>
      <c r="C306" s="13" t="inlineStr">
        <is>
          <t>Motoniveladora 140K</t>
        </is>
      </c>
      <c r="D306" s="27" t="inlineStr">
        <is>
          <t>—</t>
        </is>
      </c>
      <c r="E306" s="25" t="n">
        <v>1</v>
      </c>
      <c r="F306" s="26" t="n">
        <v>44816.64</v>
      </c>
      <c r="G306" s="26">
        <f>E306*F306</f>
        <v/>
      </c>
      <c r="H306" s="25" t="n">
        <v>0.23</v>
      </c>
      <c r="I306" s="26">
        <f>G306*H306</f>
        <v/>
      </c>
    </row>
    <row r="307">
      <c r="A307" s="28" t="inlineStr">
        <is>
          <t>COMBUSTÍVEL</t>
        </is>
      </c>
      <c r="B307" s="13" t="inlineStr">
        <is>
          <t>EQ-MOTONIVEL-140K</t>
        </is>
      </c>
      <c r="C307" s="13" t="inlineStr">
        <is>
          <t>Diesel S-10 (11.0 L/h)</t>
        </is>
      </c>
      <c r="D307" s="27" t="inlineStr">
        <is>
          <t>—</t>
        </is>
      </c>
      <c r="E307" s="25" t="n">
        <v>1</v>
      </c>
      <c r="F307" s="26" t="n">
        <v>14029.71</v>
      </c>
      <c r="G307" s="26">
        <f>E307*F307</f>
        <v/>
      </c>
      <c r="H307" s="25" t="n">
        <v>0.23</v>
      </c>
      <c r="I307" s="26">
        <f>G307*H307</f>
        <v/>
      </c>
    </row>
    <row r="308">
      <c r="A308" s="13" t="inlineStr">
        <is>
          <t>EQUIPAMENTO</t>
        </is>
      </c>
      <c r="B308" s="13" t="inlineStr">
        <is>
          <t>EQ-ROLO-PE-CARNEIRO</t>
        </is>
      </c>
      <c r="C308" s="13" t="inlineStr">
        <is>
          <t>Rolo compactador pé de carneiro 10T</t>
        </is>
      </c>
      <c r="D308" s="27" t="inlineStr">
        <is>
          <t>—</t>
        </is>
      </c>
      <c r="E308" s="25" t="n">
        <v>1</v>
      </c>
      <c r="F308" s="26" t="n">
        <v>19360</v>
      </c>
      <c r="G308" s="26">
        <f>E308*F308</f>
        <v/>
      </c>
      <c r="H308" s="25" t="n">
        <v>0.23</v>
      </c>
      <c r="I308" s="26">
        <f>G308*H308</f>
        <v/>
      </c>
    </row>
    <row r="309">
      <c r="A309" s="28" t="inlineStr">
        <is>
          <t>COMBUSTÍVEL</t>
        </is>
      </c>
      <c r="B309" s="13" t="inlineStr">
        <is>
          <t>EQ-ROLO-PE-CARNEIRO</t>
        </is>
      </c>
      <c r="C309" s="13" t="inlineStr">
        <is>
          <t>Diesel S-10 (8.0 L/h)</t>
        </is>
      </c>
      <c r="D309" s="27" t="inlineStr">
        <is>
          <t>—</t>
        </is>
      </c>
      <c r="E309" s="25" t="n">
        <v>1</v>
      </c>
      <c r="F309" s="26" t="n">
        <v>10203.43</v>
      </c>
      <c r="G309" s="26">
        <f>E309*F309</f>
        <v/>
      </c>
      <c r="H309" s="25" t="n">
        <v>0.23</v>
      </c>
      <c r="I309" s="26">
        <f>G309*H309</f>
        <v/>
      </c>
    </row>
    <row r="310">
      <c r="A310" s="13" t="inlineStr">
        <is>
          <t>EQUIPAMENTO</t>
        </is>
      </c>
      <c r="B310" s="13" t="inlineStr">
        <is>
          <t>EQ-CAM-BASC-14M3</t>
        </is>
      </c>
      <c r="C310" s="13" t="inlineStr">
        <is>
          <t>Caminhão basculante 14 m³</t>
        </is>
      </c>
      <c r="D310" s="27" t="inlineStr">
        <is>
          <t>—</t>
        </is>
      </c>
      <c r="E310" s="25" t="n">
        <v>2</v>
      </c>
      <c r="F310" s="26" t="n">
        <v>19360</v>
      </c>
      <c r="G310" s="26">
        <f>E310*F310</f>
        <v/>
      </c>
      <c r="H310" s="25" t="n">
        <v>0.23</v>
      </c>
      <c r="I310" s="26">
        <f>G310*H310</f>
        <v/>
      </c>
    </row>
    <row r="311">
      <c r="A311" s="28" t="inlineStr">
        <is>
          <t>COMBUSTÍVEL</t>
        </is>
      </c>
      <c r="B311" s="13" t="inlineStr">
        <is>
          <t>EQ-CAM-BASC-14M3</t>
        </is>
      </c>
      <c r="C311" s="13" t="inlineStr">
        <is>
          <t>Diesel S-10 (3.2 L/h)</t>
        </is>
      </c>
      <c r="D311" s="27" t="inlineStr">
        <is>
          <t>—</t>
        </is>
      </c>
      <c r="E311" s="25" t="n">
        <v>2</v>
      </c>
      <c r="F311" s="26" t="n">
        <v>4114.29</v>
      </c>
      <c r="G311" s="26">
        <f>E311*F311</f>
        <v/>
      </c>
      <c r="H311" s="25" t="n">
        <v>0.23</v>
      </c>
      <c r="I311" s="26">
        <f>G311*H311</f>
        <v/>
      </c>
    </row>
    <row r="312">
      <c r="A312" s="20" t="inlineStr">
        <is>
          <t>Subtotal eap-5_17</t>
        </is>
      </c>
      <c r="B312" s="21" t="n"/>
      <c r="C312" s="21" t="n"/>
      <c r="D312" s="21" t="n"/>
      <c r="E312" s="21" t="n"/>
      <c r="F312" s="21" t="n"/>
      <c r="G312" s="22">
        <f>SUM(G302:G311)</f>
        <v/>
      </c>
      <c r="H312" s="23" t="n">
        <v>0.23</v>
      </c>
      <c r="I312" s="22">
        <f>SUM(I302:I311)</f>
        <v/>
      </c>
    </row>
    <row r="313">
      <c r="A313" s="9" t="inlineStr">
        <is>
          <t>eap-5_19 — manutenção de cobertura de gramíneas por hidrossemeadura</t>
        </is>
      </c>
    </row>
    <row r="314">
      <c r="A314" s="11" t="inlineStr">
        <is>
          <t>MÃO DE OBRA</t>
        </is>
      </c>
      <c r="B314" s="11" t="inlineStr">
        <is>
          <t>MO-AJUDANTE</t>
        </is>
      </c>
      <c r="C314" s="11" t="inlineStr">
        <is>
          <t>Ajudante</t>
        </is>
      </c>
      <c r="D314" s="15" t="inlineStr">
        <is>
          <t>DIRETO</t>
        </is>
      </c>
      <c r="E314" s="16" t="n">
        <v>4</v>
      </c>
      <c r="F314" s="17" t="n">
        <v>5261.65</v>
      </c>
      <c r="G314" s="17">
        <f>E314*F314</f>
        <v/>
      </c>
      <c r="H314" s="16" t="n">
        <v>0.23</v>
      </c>
      <c r="I314" s="17">
        <f>G314*H314</f>
        <v/>
      </c>
    </row>
    <row r="315">
      <c r="A315" s="11" t="inlineStr">
        <is>
          <t>EQUIPAMENTO</t>
        </is>
      </c>
      <c r="B315" s="11" t="inlineStr">
        <is>
          <t>EQ-HIDROSSEMEADORA</t>
        </is>
      </c>
      <c r="C315" s="11" t="inlineStr">
        <is>
          <t>Hidrossemeadora rebocável</t>
        </is>
      </c>
      <c r="D315" s="18" t="inlineStr">
        <is>
          <t>—</t>
        </is>
      </c>
      <c r="E315" s="16" t="n">
        <v>1</v>
      </c>
      <c r="F315" s="17" t="n">
        <v>6160</v>
      </c>
      <c r="G315" s="17">
        <f>E315*F315</f>
        <v/>
      </c>
      <c r="H315" s="16" t="n">
        <v>0.23</v>
      </c>
      <c r="I315" s="17">
        <f>G315*H315</f>
        <v/>
      </c>
    </row>
    <row r="316">
      <c r="A316" s="20" t="inlineStr">
        <is>
          <t>Subtotal eap-5_19</t>
        </is>
      </c>
      <c r="B316" s="21" t="n"/>
      <c r="C316" s="21" t="n"/>
      <c r="D316" s="21" t="n"/>
      <c r="E316" s="21" t="n"/>
      <c r="F316" s="21" t="n"/>
      <c r="G316" s="22">
        <f>SUM(G314:G315)</f>
        <v/>
      </c>
      <c r="H316" s="23" t="n">
        <v>0.23</v>
      </c>
      <c r="I316" s="22">
        <f>SUM(I314:I315)</f>
        <v/>
      </c>
    </row>
    <row r="317">
      <c r="A317" s="9" t="inlineStr">
        <is>
          <t>eap-5_11 — Regularização de valas com apiloamento do fundo</t>
        </is>
      </c>
    </row>
    <row r="318">
      <c r="A318" s="13" t="inlineStr">
        <is>
          <t>MÃO DE OBRA</t>
        </is>
      </c>
      <c r="B318" s="13" t="inlineStr">
        <is>
          <t>MO-OPER-MOTO</t>
        </is>
      </c>
      <c r="C318" s="13" t="inlineStr">
        <is>
          <t>Operador de Motoniveladora</t>
        </is>
      </c>
      <c r="D318" s="24" t="inlineStr">
        <is>
          <t>DIRETO</t>
        </is>
      </c>
      <c r="E318" s="25" t="n">
        <v>1</v>
      </c>
      <c r="F318" s="26" t="n">
        <v>17356.25</v>
      </c>
      <c r="G318" s="26">
        <f>E318*F318</f>
        <v/>
      </c>
      <c r="H318" s="25" t="n">
        <v>0.23</v>
      </c>
      <c r="I318" s="26">
        <f>G318*H318</f>
        <v/>
      </c>
    </row>
    <row r="319">
      <c r="A319" s="13" t="inlineStr">
        <is>
          <t>MÃO DE OBRA</t>
        </is>
      </c>
      <c r="B319" s="13" t="inlineStr">
        <is>
          <t>MO-ENCARREG-TERRA</t>
        </is>
      </c>
      <c r="C319" s="13" t="inlineStr">
        <is>
          <t>Encarregado de Terraplenagem</t>
        </is>
      </c>
      <c r="D319" s="24" t="inlineStr">
        <is>
          <t>DIRETO</t>
        </is>
      </c>
      <c r="E319" s="25" t="n">
        <v>1</v>
      </c>
      <c r="F319" s="26" t="n">
        <v>11549.8</v>
      </c>
      <c r="G319" s="26">
        <f>E319*F319</f>
        <v/>
      </c>
      <c r="H319" s="25" t="n">
        <v>0.23</v>
      </c>
      <c r="I319" s="26">
        <f>G319*H319</f>
        <v/>
      </c>
    </row>
    <row r="320">
      <c r="A320" s="13" t="inlineStr">
        <is>
          <t>EQUIPAMENTO</t>
        </is>
      </c>
      <c r="B320" s="13" t="inlineStr">
        <is>
          <t>EQ-E0029</t>
        </is>
      </c>
      <c r="C320" s="13" t="inlineStr">
        <is>
          <t>Motoniveladora 140HP</t>
        </is>
      </c>
      <c r="D320" s="27" t="inlineStr">
        <is>
          <t>—</t>
        </is>
      </c>
      <c r="E320" s="25" t="n">
        <v>1</v>
      </c>
      <c r="F320" s="26" t="n">
        <v>43326.98</v>
      </c>
      <c r="G320" s="26">
        <f>E320*F320</f>
        <v/>
      </c>
      <c r="H320" s="25" t="n">
        <v>0.23</v>
      </c>
      <c r="I320" s="26">
        <f>G320*H320</f>
        <v/>
      </c>
    </row>
    <row r="321">
      <c r="A321" s="28" t="inlineStr">
        <is>
          <t>COMBUSTÍVEL</t>
        </is>
      </c>
      <c r="B321" s="13" t="inlineStr">
        <is>
          <t>EQ-E0029</t>
        </is>
      </c>
      <c r="C321" s="13" t="inlineStr">
        <is>
          <t>Diesel S-10 (11.0 L/h)</t>
        </is>
      </c>
      <c r="D321" s="27" t="inlineStr">
        <is>
          <t>—</t>
        </is>
      </c>
      <c r="E321" s="25" t="n">
        <v>1</v>
      </c>
      <c r="F321" s="26" t="n">
        <v>14029.71</v>
      </c>
      <c r="G321" s="26">
        <f>E321*F321</f>
        <v/>
      </c>
      <c r="H321" s="25" t="n">
        <v>0.23</v>
      </c>
      <c r="I321" s="26">
        <f>G321*H321</f>
        <v/>
      </c>
    </row>
    <row r="322">
      <c r="A322" s="20" t="inlineStr">
        <is>
          <t>Subtotal eap-5_11</t>
        </is>
      </c>
      <c r="B322" s="21" t="n"/>
      <c r="C322" s="21" t="n"/>
      <c r="D322" s="21" t="n"/>
      <c r="E322" s="21" t="n"/>
      <c r="F322" s="21" t="n"/>
      <c r="G322" s="22">
        <f>SUM(G318:G321)</f>
        <v/>
      </c>
      <c r="H322" s="23" t="n">
        <v>0.23</v>
      </c>
      <c r="I322" s="22">
        <f>SUM(I318:I321)</f>
        <v/>
      </c>
    </row>
    <row r="323">
      <c r="A323" s="9" t="inlineStr">
        <is>
          <t>eap-5_13 — Hidrossemeadura para cobertura de taludes</t>
        </is>
      </c>
    </row>
    <row r="324">
      <c r="A324" s="11" t="inlineStr">
        <is>
          <t>MÃO DE OBRA</t>
        </is>
      </c>
      <c r="B324" s="11" t="inlineStr">
        <is>
          <t>MO-AJUDANTE</t>
        </is>
      </c>
      <c r="C324" s="11" t="inlineStr">
        <is>
          <t>Ajudante</t>
        </is>
      </c>
      <c r="D324" s="15" t="inlineStr">
        <is>
          <t>DIRETO</t>
        </is>
      </c>
      <c r="E324" s="16" t="n">
        <v>4</v>
      </c>
      <c r="F324" s="17" t="n">
        <v>5261.65</v>
      </c>
      <c r="G324" s="17">
        <f>E324*F324</f>
        <v/>
      </c>
      <c r="H324" s="16" t="n">
        <v>0.23</v>
      </c>
      <c r="I324" s="17">
        <f>G324*H324</f>
        <v/>
      </c>
    </row>
    <row r="325">
      <c r="A325" s="11" t="inlineStr">
        <is>
          <t>EQUIPAMENTO</t>
        </is>
      </c>
      <c r="B325" s="11" t="inlineStr">
        <is>
          <t>EQ-HIDROSSEMEADORA</t>
        </is>
      </c>
      <c r="C325" s="11" t="inlineStr">
        <is>
          <t>Hidrossemeadora rebocável</t>
        </is>
      </c>
      <c r="D325" s="18" t="inlineStr">
        <is>
          <t>—</t>
        </is>
      </c>
      <c r="E325" s="16" t="n">
        <v>1</v>
      </c>
      <c r="F325" s="17" t="n">
        <v>6160</v>
      </c>
      <c r="G325" s="17">
        <f>E325*F325</f>
        <v/>
      </c>
      <c r="H325" s="16" t="n">
        <v>0.23</v>
      </c>
      <c r="I325" s="17">
        <f>G325*H325</f>
        <v/>
      </c>
    </row>
    <row r="326">
      <c r="A326" s="20" t="inlineStr">
        <is>
          <t>Subtotal eap-5_13</t>
        </is>
      </c>
      <c r="B326" s="21" t="n"/>
      <c r="C326" s="21" t="n"/>
      <c r="D326" s="21" t="n"/>
      <c r="E326" s="21" t="n"/>
      <c r="F326" s="21" t="n"/>
      <c r="G326" s="22">
        <f>SUM(G324:G325)</f>
        <v/>
      </c>
      <c r="H326" s="23" t="n">
        <v>0.23</v>
      </c>
      <c r="I326" s="22">
        <f>SUM(I324:I325)</f>
        <v/>
      </c>
    </row>
    <row r="327">
      <c r="A327" s="9" t="inlineStr">
        <is>
          <t>eap-5_10 — Escavação mecanizada de cavas ou valas de solo local - volume geométrico</t>
        </is>
      </c>
    </row>
    <row r="328">
      <c r="A328" s="13" t="inlineStr">
        <is>
          <t>MÃO DE OBRA</t>
        </is>
      </c>
      <c r="B328" s="13" t="inlineStr">
        <is>
          <t>MO-OPER-ESCAV</t>
        </is>
      </c>
      <c r="C328" s="13" t="inlineStr">
        <is>
          <t>Operador de Escavadeira</t>
        </is>
      </c>
      <c r="D328" s="24" t="inlineStr">
        <is>
          <t>DIRETO</t>
        </is>
      </c>
      <c r="E328" s="25" t="n">
        <v>1</v>
      </c>
      <c r="F328" s="26" t="n">
        <v>12875</v>
      </c>
      <c r="G328" s="26">
        <f>E328*F328</f>
        <v/>
      </c>
      <c r="H328" s="25" t="n">
        <v>0.23</v>
      </c>
      <c r="I328" s="26">
        <f>G328*H328</f>
        <v/>
      </c>
    </row>
    <row r="329">
      <c r="A329" s="13" t="inlineStr">
        <is>
          <t>MÃO DE OBRA</t>
        </is>
      </c>
      <c r="B329" s="13" t="inlineStr">
        <is>
          <t>MO-MOTOR-CAM-BASC</t>
        </is>
      </c>
      <c r="C329" s="13" t="inlineStr">
        <is>
          <t>Motorista de Caminhão Basculante</t>
        </is>
      </c>
      <c r="D329" s="24" t="inlineStr">
        <is>
          <t>DIRETO</t>
        </is>
      </c>
      <c r="E329" s="25" t="n">
        <v>3</v>
      </c>
      <c r="F329" s="26" t="n">
        <v>10685.34</v>
      </c>
      <c r="G329" s="26">
        <f>E329*F329</f>
        <v/>
      </c>
      <c r="H329" s="25" t="n">
        <v>0.23</v>
      </c>
      <c r="I329" s="26">
        <f>G329*H329</f>
        <v/>
      </c>
    </row>
    <row r="330">
      <c r="A330" s="13" t="inlineStr">
        <is>
          <t>MÃO DE OBRA</t>
        </is>
      </c>
      <c r="B330" s="13" t="inlineStr">
        <is>
          <t>MO-MOTOR-CAM-BASC</t>
        </is>
      </c>
      <c r="C330" s="13" t="inlineStr">
        <is>
          <t>Motorista de Caminhão Basculante</t>
        </is>
      </c>
      <c r="D330" s="24" t="inlineStr">
        <is>
          <t>DIRETO</t>
        </is>
      </c>
      <c r="E330" s="25" t="n">
        <v>1</v>
      </c>
      <c r="F330" s="26" t="n">
        <v>10685.34</v>
      </c>
      <c r="G330" s="26">
        <f>E330*F330</f>
        <v/>
      </c>
      <c r="H330" s="25" t="n">
        <v>0.23</v>
      </c>
      <c r="I330" s="26">
        <f>G330*H330</f>
        <v/>
      </c>
    </row>
    <row r="331">
      <c r="A331" s="13" t="inlineStr">
        <is>
          <t>MÃO DE OBRA</t>
        </is>
      </c>
      <c r="B331" s="13" t="inlineStr">
        <is>
          <t>MO-ENCARREG-TERRA</t>
        </is>
      </c>
      <c r="C331" s="13" t="inlineStr">
        <is>
          <t>Encarregado de Terraplenagem</t>
        </is>
      </c>
      <c r="D331" s="24" t="inlineStr">
        <is>
          <t>DIRETO</t>
        </is>
      </c>
      <c r="E331" s="25" t="n">
        <v>1</v>
      </c>
      <c r="F331" s="26" t="n">
        <v>11549.8</v>
      </c>
      <c r="G331" s="26">
        <f>E331*F331</f>
        <v/>
      </c>
      <c r="H331" s="25" t="n">
        <v>0.23</v>
      </c>
      <c r="I331" s="26">
        <f>G331*H331</f>
        <v/>
      </c>
    </row>
    <row r="332">
      <c r="A332" s="13" t="inlineStr">
        <is>
          <t>EQUIPAMENTO</t>
        </is>
      </c>
      <c r="B332" s="13" t="inlineStr">
        <is>
          <t>EQ-E0016</t>
        </is>
      </c>
      <c r="C332" s="13" t="inlineStr">
        <is>
          <t>Escavadeira Hidráulica 22t</t>
        </is>
      </c>
      <c r="D332" s="27" t="inlineStr">
        <is>
          <t>—</t>
        </is>
      </c>
      <c r="E332" s="25" t="n">
        <v>1</v>
      </c>
      <c r="F332" s="26" t="n">
        <v>35639.3</v>
      </c>
      <c r="G332" s="26">
        <f>E332*F332</f>
        <v/>
      </c>
      <c r="H332" s="25" t="n">
        <v>0.23</v>
      </c>
      <c r="I332" s="26">
        <f>G332*H332</f>
        <v/>
      </c>
    </row>
    <row r="333">
      <c r="A333" s="13" t="inlineStr">
        <is>
          <t>EQUIPAMENTO</t>
        </is>
      </c>
      <c r="B333" s="13" t="inlineStr">
        <is>
          <t>EQ-E0007</t>
        </is>
      </c>
      <c r="C333" s="13" t="inlineStr">
        <is>
          <t>Caminhão Basculante 14m³</t>
        </is>
      </c>
      <c r="D333" s="27" t="inlineStr">
        <is>
          <t>—</t>
        </is>
      </c>
      <c r="E333" s="25" t="n">
        <v>3</v>
      </c>
      <c r="F333" s="26" t="n">
        <v>25132.8</v>
      </c>
      <c r="G333" s="26">
        <f>E333*F333</f>
        <v/>
      </c>
      <c r="H333" s="25" t="n">
        <v>0.23</v>
      </c>
      <c r="I333" s="26">
        <f>G333*H333</f>
        <v/>
      </c>
    </row>
    <row r="334">
      <c r="A334" s="28" t="inlineStr">
        <is>
          <t>COMBUSTÍVEL</t>
        </is>
      </c>
      <c r="B334" s="13" t="inlineStr">
        <is>
          <t>EQ-E0007</t>
        </is>
      </c>
      <c r="C334" s="13" t="inlineStr">
        <is>
          <t>Diesel S-10 (7.3 L/h)</t>
        </is>
      </c>
      <c r="D334" s="27" t="inlineStr">
        <is>
          <t>—</t>
        </is>
      </c>
      <c r="E334" s="25" t="n">
        <v>3</v>
      </c>
      <c r="F334" s="26" t="n">
        <v>9259.610000000001</v>
      </c>
      <c r="G334" s="26">
        <f>E334*F334</f>
        <v/>
      </c>
      <c r="H334" s="25" t="n">
        <v>0.23</v>
      </c>
      <c r="I334" s="26">
        <f>G334*H334</f>
        <v/>
      </c>
    </row>
    <row r="335">
      <c r="A335" s="20" t="inlineStr">
        <is>
          <t>Subtotal eap-5_10</t>
        </is>
      </c>
      <c r="B335" s="21" t="n"/>
      <c r="C335" s="21" t="n"/>
      <c r="D335" s="21" t="n"/>
      <c r="E335" s="21" t="n"/>
      <c r="F335" s="21" t="n"/>
      <c r="G335" s="22">
        <f>SUM(G328:G334)</f>
        <v/>
      </c>
      <c r="H335" s="23" t="n">
        <v>0.23</v>
      </c>
      <c r="I335" s="22">
        <f>SUM(I328:I334)</f>
        <v/>
      </c>
    </row>
    <row r="336">
      <c r="A336" s="9" t="inlineStr">
        <is>
          <t>eap-5_12 — Regularização de bota-fora com espalhamento e compactação</t>
        </is>
      </c>
    </row>
    <row r="337">
      <c r="A337" s="11" t="inlineStr">
        <is>
          <t>MÃO DE OBRA</t>
        </is>
      </c>
      <c r="B337" s="11" t="inlineStr">
        <is>
          <t>MO-OPER-MOTO</t>
        </is>
      </c>
      <c r="C337" s="11" t="inlineStr">
        <is>
          <t>Operador de Motoniveladora</t>
        </is>
      </c>
      <c r="D337" s="15" t="inlineStr">
        <is>
          <t>DIRETO</t>
        </is>
      </c>
      <c r="E337" s="16" t="n">
        <v>1</v>
      </c>
      <c r="F337" s="17" t="n">
        <v>17356.25</v>
      </c>
      <c r="G337" s="17">
        <f>E337*F337</f>
        <v/>
      </c>
      <c r="H337" s="16" t="n">
        <v>0.23</v>
      </c>
      <c r="I337" s="17">
        <f>G337*H337</f>
        <v/>
      </c>
    </row>
    <row r="338">
      <c r="A338" s="11" t="inlineStr">
        <is>
          <t>MÃO DE OBRA</t>
        </is>
      </c>
      <c r="B338" s="11" t="inlineStr">
        <is>
          <t>MO-OPER-ROLO-COMP</t>
        </is>
      </c>
      <c r="C338" s="11" t="inlineStr">
        <is>
          <t>Operador de Rolo Compactador</t>
        </is>
      </c>
      <c r="D338" s="15" t="inlineStr">
        <is>
          <t>DIRETO</t>
        </is>
      </c>
      <c r="E338" s="16" t="n">
        <v>1</v>
      </c>
      <c r="F338" s="17" t="n">
        <v>10685.34</v>
      </c>
      <c r="G338" s="17">
        <f>E338*F338</f>
        <v/>
      </c>
      <c r="H338" s="16" t="n">
        <v>0.23</v>
      </c>
      <c r="I338" s="17">
        <f>G338*H338</f>
        <v/>
      </c>
    </row>
    <row r="339">
      <c r="A339" s="11" t="inlineStr">
        <is>
          <t>MÃO DE OBRA</t>
        </is>
      </c>
      <c r="B339" s="11" t="inlineStr">
        <is>
          <t>MO-OPER-ROLO-COMP</t>
        </is>
      </c>
      <c r="C339" s="11" t="inlineStr">
        <is>
          <t>Operador de Rolo Compactador</t>
        </is>
      </c>
      <c r="D339" s="15" t="inlineStr">
        <is>
          <t>DIRETO</t>
        </is>
      </c>
      <c r="E339" s="16" t="n">
        <v>1</v>
      </c>
      <c r="F339" s="17" t="n">
        <v>10685.34</v>
      </c>
      <c r="G339" s="17">
        <f>E339*F339</f>
        <v/>
      </c>
      <c r="H339" s="16" t="n">
        <v>0.23</v>
      </c>
      <c r="I339" s="17">
        <f>G339*H339</f>
        <v/>
      </c>
    </row>
    <row r="340">
      <c r="A340" s="11" t="inlineStr">
        <is>
          <t>MÃO DE OBRA</t>
        </is>
      </c>
      <c r="B340" s="11" t="inlineStr">
        <is>
          <t>MO-ENCARREG-TERRA</t>
        </is>
      </c>
      <c r="C340" s="11" t="inlineStr">
        <is>
          <t>Encarregado de Terraplenagem</t>
        </is>
      </c>
      <c r="D340" s="15" t="inlineStr">
        <is>
          <t>DIRETO</t>
        </is>
      </c>
      <c r="E340" s="16" t="n">
        <v>1</v>
      </c>
      <c r="F340" s="17" t="n">
        <v>11549.8</v>
      </c>
      <c r="G340" s="17">
        <f>E340*F340</f>
        <v/>
      </c>
      <c r="H340" s="16" t="n">
        <v>0.23</v>
      </c>
      <c r="I340" s="17">
        <f>G340*H340</f>
        <v/>
      </c>
    </row>
    <row r="341">
      <c r="A341" s="11" t="inlineStr">
        <is>
          <t>EQUIPAMENTO</t>
        </is>
      </c>
      <c r="B341" s="11" t="inlineStr">
        <is>
          <t>EQ-E0029</t>
        </is>
      </c>
      <c r="C341" s="11" t="inlineStr">
        <is>
          <t>Motoniveladora 140HP</t>
        </is>
      </c>
      <c r="D341" s="18" t="inlineStr">
        <is>
          <t>—</t>
        </is>
      </c>
      <c r="E341" s="16" t="n">
        <v>1</v>
      </c>
      <c r="F341" s="17" t="n">
        <v>43326.98</v>
      </c>
      <c r="G341" s="17">
        <f>E341*F341</f>
        <v/>
      </c>
      <c r="H341" s="16" t="n">
        <v>0.23</v>
      </c>
      <c r="I341" s="17">
        <f>G341*H341</f>
        <v/>
      </c>
    </row>
    <row r="342">
      <c r="A342" s="19" t="inlineStr">
        <is>
          <t>COMBUSTÍVEL</t>
        </is>
      </c>
      <c r="B342" s="11" t="inlineStr">
        <is>
          <t>EQ-E0029</t>
        </is>
      </c>
      <c r="C342" s="11" t="inlineStr">
        <is>
          <t>Diesel S-10 (11.0 L/h)</t>
        </is>
      </c>
      <c r="D342" s="18" t="inlineStr">
        <is>
          <t>—</t>
        </is>
      </c>
      <c r="E342" s="16" t="n">
        <v>1</v>
      </c>
      <c r="F342" s="17" t="n">
        <v>14029.71</v>
      </c>
      <c r="G342" s="17">
        <f>E342*F342</f>
        <v/>
      </c>
      <c r="H342" s="16" t="n">
        <v>0.23</v>
      </c>
      <c r="I342" s="17">
        <f>G342*H342</f>
        <v/>
      </c>
    </row>
    <row r="343">
      <c r="A343" s="11" t="inlineStr">
        <is>
          <t>EQUIPAMENTO</t>
        </is>
      </c>
      <c r="B343" s="11" t="inlineStr">
        <is>
          <t>EQ-E0035</t>
        </is>
      </c>
      <c r="C343" s="11" t="inlineStr">
        <is>
          <t>Trator de esteiras 20T</t>
        </is>
      </c>
      <c r="D343" s="18" t="inlineStr">
        <is>
          <t>—</t>
        </is>
      </c>
      <c r="E343" s="16" t="n">
        <v>1</v>
      </c>
      <c r="F343" s="17" t="n">
        <v>21683.2</v>
      </c>
      <c r="G343" s="17">
        <f>E343*F343</f>
        <v/>
      </c>
      <c r="H343" s="16" t="n">
        <v>0.23</v>
      </c>
      <c r="I343" s="17">
        <f>G343*H343</f>
        <v/>
      </c>
    </row>
    <row r="344">
      <c r="A344" s="19" t="inlineStr">
        <is>
          <t>COMBUSTÍVEL</t>
        </is>
      </c>
      <c r="B344" s="11" t="inlineStr">
        <is>
          <t>EQ-E0035</t>
        </is>
      </c>
      <c r="C344" s="11" t="inlineStr">
        <is>
          <t>Diesel S-10 (18.0 L/h)</t>
        </is>
      </c>
      <c r="D344" s="18" t="inlineStr">
        <is>
          <t>—</t>
        </is>
      </c>
      <c r="E344" s="16" t="n">
        <v>1</v>
      </c>
      <c r="F344" s="17" t="n">
        <v>22957.71</v>
      </c>
      <c r="G344" s="17">
        <f>E344*F344</f>
        <v/>
      </c>
      <c r="H344" s="16" t="n">
        <v>0.23</v>
      </c>
      <c r="I344" s="17">
        <f>G344*H344</f>
        <v/>
      </c>
    </row>
    <row r="345">
      <c r="A345" s="11" t="inlineStr">
        <is>
          <t>EQUIPAMENTO</t>
        </is>
      </c>
      <c r="B345" s="11" t="inlineStr">
        <is>
          <t>EQ-E0010</t>
        </is>
      </c>
      <c r="C345" s="11" t="inlineStr">
        <is>
          <t>Caminhão Pipa 10.000L</t>
        </is>
      </c>
      <c r="D345" s="18" t="inlineStr">
        <is>
          <t>—</t>
        </is>
      </c>
      <c r="E345" s="16" t="n">
        <v>1</v>
      </c>
      <c r="F345" s="17" t="n">
        <v>19360</v>
      </c>
      <c r="G345" s="17">
        <f>E345*F345</f>
        <v/>
      </c>
      <c r="H345" s="16" t="n">
        <v>0.23</v>
      </c>
      <c r="I345" s="17">
        <f>G345*H345</f>
        <v/>
      </c>
    </row>
    <row r="346">
      <c r="A346" s="19" t="inlineStr">
        <is>
          <t>COMBUSTÍVEL</t>
        </is>
      </c>
      <c r="B346" s="11" t="inlineStr">
        <is>
          <t>EQ-E0010</t>
        </is>
      </c>
      <c r="C346" s="11" t="inlineStr">
        <is>
          <t>Diesel S-10 (2.0 L/h)</t>
        </is>
      </c>
      <c r="D346" s="18" t="inlineStr">
        <is>
          <t>—</t>
        </is>
      </c>
      <c r="E346" s="16" t="n">
        <v>1</v>
      </c>
      <c r="F346" s="17" t="n">
        <v>2550.86</v>
      </c>
      <c r="G346" s="17">
        <f>E346*F346</f>
        <v/>
      </c>
      <c r="H346" s="16" t="n">
        <v>0.23</v>
      </c>
      <c r="I346" s="17">
        <f>G346*H346</f>
        <v/>
      </c>
    </row>
    <row r="347">
      <c r="A347" s="20" t="inlineStr">
        <is>
          <t>Subtotal eap-5_12</t>
        </is>
      </c>
      <c r="B347" s="21" t="n"/>
      <c r="C347" s="21" t="n"/>
      <c r="D347" s="21" t="n"/>
      <c r="E347" s="21" t="n"/>
      <c r="F347" s="21" t="n"/>
      <c r="G347" s="22">
        <f>SUM(G337:G346)</f>
        <v/>
      </c>
      <c r="H347" s="23" t="n">
        <v>0.23</v>
      </c>
      <c r="I347" s="22">
        <f>SUM(I337:I346)</f>
        <v/>
      </c>
    </row>
    <row r="348">
      <c r="A348" s="9" t="inlineStr">
        <is>
          <t>eap-5_14 — manutenção de cobertura de gramíneas por hidrossemeadura</t>
        </is>
      </c>
    </row>
    <row r="349">
      <c r="A349" s="13" t="inlineStr">
        <is>
          <t>MÃO DE OBRA</t>
        </is>
      </c>
      <c r="B349" s="13" t="inlineStr">
        <is>
          <t>MO-AJUDANTE</t>
        </is>
      </c>
      <c r="C349" s="13" t="inlineStr">
        <is>
          <t>Ajudante</t>
        </is>
      </c>
      <c r="D349" s="24" t="inlineStr">
        <is>
          <t>DIRETO</t>
        </is>
      </c>
      <c r="E349" s="25" t="n">
        <v>4</v>
      </c>
      <c r="F349" s="26" t="n">
        <v>5261.65</v>
      </c>
      <c r="G349" s="26">
        <f>E349*F349</f>
        <v/>
      </c>
      <c r="H349" s="25" t="n">
        <v>0.23</v>
      </c>
      <c r="I349" s="26">
        <f>G349*H349</f>
        <v/>
      </c>
    </row>
    <row r="350">
      <c r="A350" s="13" t="inlineStr">
        <is>
          <t>EQUIPAMENTO</t>
        </is>
      </c>
      <c r="B350" s="13" t="inlineStr">
        <is>
          <t>EQ-HIDROSSEMEADORA</t>
        </is>
      </c>
      <c r="C350" s="13" t="inlineStr">
        <is>
          <t>Hidrossemeadora rebocável</t>
        </is>
      </c>
      <c r="D350" s="27" t="inlineStr">
        <is>
          <t>—</t>
        </is>
      </c>
      <c r="E350" s="25" t="n">
        <v>1</v>
      </c>
      <c r="F350" s="26" t="n">
        <v>6160</v>
      </c>
      <c r="G350" s="26">
        <f>E350*F350</f>
        <v/>
      </c>
      <c r="H350" s="25" t="n">
        <v>0.23</v>
      </c>
      <c r="I350" s="26">
        <f>G350*H350</f>
        <v/>
      </c>
    </row>
    <row r="351">
      <c r="A351" s="20" t="inlineStr">
        <is>
          <t>Subtotal eap-5_14</t>
        </is>
      </c>
      <c r="B351" s="21" t="n"/>
      <c r="C351" s="21" t="n"/>
      <c r="D351" s="21" t="n"/>
      <c r="E351" s="21" t="n"/>
      <c r="F351" s="21" t="n"/>
      <c r="G351" s="22">
        <f>SUM(G349:G350)</f>
        <v/>
      </c>
      <c r="H351" s="23" t="n">
        <v>0.23</v>
      </c>
      <c r="I351" s="22">
        <f>SUM(I349:I350)</f>
        <v/>
      </c>
    </row>
    <row r="353">
      <c r="A353" s="29" t="inlineStr">
        <is>
          <t>TOTAL DIRETO</t>
        </is>
      </c>
      <c r="I353" s="30">
        <f>I12+I18+I33+I37+I45+I60+I73+I83+I89+I98+I106+I115+I125+I137+I145+I151+I160+I166+I176+I184+I199+I203+I215+I220+I235+I243+I252+I261+I273+I283+I287+I291+I300+I312+I316+I322+I326+I335+I347+I351</f>
        <v/>
      </c>
    </row>
  </sheetData>
  <mergeCells count="42">
    <mergeCell ref="A221:I221"/>
    <mergeCell ref="A90:I90"/>
    <mergeCell ref="A99:I99"/>
    <mergeCell ref="A46:I46"/>
    <mergeCell ref="A84:I84"/>
    <mergeCell ref="A177:I177"/>
    <mergeCell ref="A292:I292"/>
    <mergeCell ref="A317:I317"/>
    <mergeCell ref="A3:I3"/>
    <mergeCell ref="A236:I236"/>
    <mergeCell ref="A74:I74"/>
    <mergeCell ref="A301:I301"/>
    <mergeCell ref="A204:I204"/>
    <mergeCell ref="A313:I313"/>
    <mergeCell ref="A185:I185"/>
    <mergeCell ref="A116:I116"/>
    <mergeCell ref="A126:I126"/>
    <mergeCell ref="A253:I253"/>
    <mergeCell ref="A200:I200"/>
    <mergeCell ref="A244:I244"/>
    <mergeCell ref="A262:I262"/>
    <mergeCell ref="A327:I327"/>
    <mergeCell ref="A38:I38"/>
    <mergeCell ref="A336:I336"/>
    <mergeCell ref="A274:I274"/>
    <mergeCell ref="A19:I19"/>
    <mergeCell ref="A152:I152"/>
    <mergeCell ref="A323:I323"/>
    <mergeCell ref="A348:I348"/>
    <mergeCell ref="A161:I161"/>
    <mergeCell ref="A13:I13"/>
    <mergeCell ref="A288:I288"/>
    <mergeCell ref="A34:I34"/>
    <mergeCell ref="A167:I167"/>
    <mergeCell ref="A107:I107"/>
    <mergeCell ref="A284:I284"/>
    <mergeCell ref="A216:I216"/>
    <mergeCell ref="A138:I138"/>
    <mergeCell ref="A1:I1"/>
    <mergeCell ref="A146:I146"/>
    <mergeCell ref="A61:I61"/>
    <mergeCell ref="A353:H3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eap-4_7</t>
        </is>
      </c>
      <c r="B3" s="31" t="inlineStr">
        <is>
          <t>Binder - camada de ligação (FAIXA B)</t>
        </is>
      </c>
      <c r="C3" s="31" t="inlineStr">
        <is>
          <t>m3</t>
        </is>
      </c>
      <c r="D3" s="32" t="n">
        <v>2438.0876</v>
      </c>
      <c r="E3" s="33" t="n">
        <v>43351.03</v>
      </c>
      <c r="F3" s="33" t="n">
        <v>139036.66</v>
      </c>
      <c r="G3" s="33" t="n">
        <v>31178.11</v>
      </c>
      <c r="H3" s="33" t="n">
        <v>8640.360000000001</v>
      </c>
      <c r="I3" s="33" t="n">
        <v>222206.15</v>
      </c>
      <c r="J3" s="33" t="n">
        <v>58305.18</v>
      </c>
      <c r="K3" s="33" t="n">
        <v>186998.05</v>
      </c>
      <c r="L3" s="33" t="n">
        <v>41933.15</v>
      </c>
      <c r="M3" s="33" t="n">
        <v>10368.43</v>
      </c>
      <c r="N3" s="33" t="n">
        <v>297604.81</v>
      </c>
    </row>
    <row r="4">
      <c r="A4" s="34" t="inlineStr">
        <is>
          <t>eap-4_8</t>
        </is>
      </c>
      <c r="B4" s="34" t="inlineStr">
        <is>
          <t>Cbuq - concreto betuminoso usinado a quente</t>
        </is>
      </c>
      <c r="C4" s="34" t="inlineStr">
        <is>
          <t>m3</t>
        </is>
      </c>
      <c r="D4" s="35" t="n">
        <v>2250.5424</v>
      </c>
      <c r="E4" s="36" t="n">
        <v>18976.52</v>
      </c>
      <c r="F4" s="36" t="n">
        <v>1781.12</v>
      </c>
      <c r="G4" s="36" t="n">
        <v>435.82</v>
      </c>
      <c r="H4" s="36" t="n">
        <v>0</v>
      </c>
      <c r="I4" s="36" t="n">
        <v>21193.47</v>
      </c>
      <c r="J4" s="36" t="n">
        <v>25522.57</v>
      </c>
      <c r="K4" s="36" t="n">
        <v>2395.53</v>
      </c>
      <c r="L4" s="36" t="n">
        <v>586.16</v>
      </c>
      <c r="M4" s="36" t="n">
        <v>0</v>
      </c>
      <c r="N4" s="36" t="n">
        <v>28504.26</v>
      </c>
    </row>
    <row r="5">
      <c r="A5" s="31" t="inlineStr">
        <is>
          <t>eap-4_4</t>
        </is>
      </c>
      <c r="B5" s="31" t="inlineStr">
        <is>
          <t>Base ou sub-base de brita graduada executada com vibroacabadora - brita comercial</t>
        </is>
      </c>
      <c r="C5" s="31" t="inlineStr">
        <is>
          <t>m3</t>
        </is>
      </c>
      <c r="D5" s="32" t="n">
        <v>5501.33</v>
      </c>
      <c r="E5" s="33" t="n">
        <v>69614.03</v>
      </c>
      <c r="F5" s="33" t="n">
        <v>145246.12</v>
      </c>
      <c r="G5" s="33" t="n">
        <v>34195.35</v>
      </c>
      <c r="H5" s="33" t="n">
        <v>467613.13</v>
      </c>
      <c r="I5" s="33" t="n">
        <v>716668.63</v>
      </c>
      <c r="J5" s="33" t="n">
        <v>93627.73</v>
      </c>
      <c r="K5" s="33" t="n">
        <v>195349.5</v>
      </c>
      <c r="L5" s="33" t="n">
        <v>45991.21</v>
      </c>
      <c r="M5" s="33" t="n">
        <v>561135.76</v>
      </c>
      <c r="N5" s="33" t="n">
        <v>896104.2</v>
      </c>
    </row>
    <row r="6">
      <c r="A6" s="34" t="inlineStr">
        <is>
          <t>eap-7_1</t>
        </is>
      </c>
      <c r="B6" s="34" t="inlineStr">
        <is>
          <t>Hidrossemeadura para cobertura de taludes</t>
        </is>
      </c>
      <c r="C6" s="34" t="inlineStr">
        <is>
          <t>m2</t>
        </is>
      </c>
      <c r="D6" s="35" t="n">
        <v>85475.66</v>
      </c>
      <c r="E6" s="36" t="n">
        <v>33885.03</v>
      </c>
      <c r="F6" s="36" t="n">
        <v>9917.6</v>
      </c>
      <c r="G6" s="36" t="n">
        <v>0</v>
      </c>
      <c r="H6" s="36" t="n">
        <v>0</v>
      </c>
      <c r="I6" s="36" t="n">
        <v>43802.63</v>
      </c>
      <c r="J6" s="36" t="n">
        <v>45573.84</v>
      </c>
      <c r="K6" s="36" t="n">
        <v>13338.73</v>
      </c>
      <c r="L6" s="36" t="n">
        <v>0</v>
      </c>
      <c r="M6" s="36" t="n">
        <v>0</v>
      </c>
      <c r="N6" s="36" t="n">
        <v>58912.56</v>
      </c>
    </row>
    <row r="7">
      <c r="A7" s="31" t="inlineStr">
        <is>
          <t>eap-2_2</t>
        </is>
      </c>
      <c r="B7" s="31" t="inlineStr">
        <is>
          <t>Escavação, carga e transporte de material de 1° cat. - dmt: 4700m (importação solo de jazida interna ao TBR070)</t>
        </is>
      </c>
      <c r="C7" s="31" t="inlineStr">
        <is>
          <t>m3</t>
        </is>
      </c>
      <c r="D7" s="32" t="n">
        <v>51353.781</v>
      </c>
      <c r="E7" s="33" t="n">
        <v>268587.67</v>
      </c>
      <c r="F7" s="33" t="n">
        <v>814410.62</v>
      </c>
      <c r="G7" s="33" t="n">
        <v>42429.55</v>
      </c>
      <c r="H7" s="33" t="n">
        <v>43182</v>
      </c>
      <c r="I7" s="33" t="n">
        <v>1168609.84</v>
      </c>
      <c r="J7" s="33" t="n">
        <v>361238.34</v>
      </c>
      <c r="K7" s="33" t="n">
        <v>1095345.64</v>
      </c>
      <c r="L7" s="33" t="n">
        <v>57065.83</v>
      </c>
      <c r="M7" s="33" t="n">
        <v>51818.4</v>
      </c>
      <c r="N7" s="33" t="n">
        <v>1565468.21</v>
      </c>
    </row>
    <row r="8">
      <c r="A8" s="34" t="inlineStr">
        <is>
          <t>eap-4_3</t>
        </is>
      </c>
      <c r="B8" s="34" t="inlineStr">
        <is>
          <t>Sub-base estabilizada granulometricamente com mistura solo brita (70% - 30%) na pista com material de jazida e brita comercial - volume geométrico</t>
        </is>
      </c>
      <c r="C8" s="34" t="inlineStr">
        <is>
          <t>m3</t>
        </is>
      </c>
      <c r="D8" s="35" t="n">
        <v>5626.356</v>
      </c>
      <c r="E8" s="36" t="n">
        <v>69614.03</v>
      </c>
      <c r="F8" s="36" t="n">
        <v>145246.12</v>
      </c>
      <c r="G8" s="36" t="n">
        <v>34195.35</v>
      </c>
      <c r="H8" s="36" t="n">
        <v>478240.34</v>
      </c>
      <c r="I8" s="36" t="n">
        <v>727295.84</v>
      </c>
      <c r="J8" s="36" t="n">
        <v>93627.73</v>
      </c>
      <c r="K8" s="36" t="n">
        <v>195349.5</v>
      </c>
      <c r="L8" s="36" t="n">
        <v>45991.21</v>
      </c>
      <c r="M8" s="36" t="n">
        <v>573888.41</v>
      </c>
      <c r="N8" s="36" t="n">
        <v>908856.85</v>
      </c>
    </row>
    <row r="9">
      <c r="A9" s="31" t="inlineStr">
        <is>
          <t>eap-2_3</t>
        </is>
      </c>
      <c r="B9" s="31" t="inlineStr">
        <is>
          <t>Compactação de aterros a 100% do proctor intermediário (camada final) - volume homogeneizado (vol. geométrico x 1,25)</t>
        </is>
      </c>
      <c r="C9" s="31" t="inlineStr">
        <is>
          <t>m3</t>
        </is>
      </c>
      <c r="D9" s="32" t="n">
        <v>40421.87</v>
      </c>
      <c r="E9" s="33" t="n">
        <v>126191.48</v>
      </c>
      <c r="F9" s="33" t="n">
        <v>174646.27</v>
      </c>
      <c r="G9" s="33" t="n">
        <v>64954.32</v>
      </c>
      <c r="H9" s="33" t="n">
        <v>0</v>
      </c>
      <c r="I9" s="33" t="n">
        <v>365792.08</v>
      </c>
      <c r="J9" s="33" t="n">
        <v>169721.87</v>
      </c>
      <c r="K9" s="33" t="n">
        <v>234891.38</v>
      </c>
      <c r="L9" s="33" t="n">
        <v>87360.64</v>
      </c>
      <c r="M9" s="33" t="n">
        <v>0</v>
      </c>
      <c r="N9" s="33" t="n">
        <v>491973.89</v>
      </c>
    </row>
    <row r="10">
      <c r="A10" s="34" t="inlineStr">
        <is>
          <t>eap-3_1</t>
        </is>
      </c>
      <c r="B10" s="34" t="inlineStr">
        <is>
          <t>Demolição mecânica de pavimento</t>
        </is>
      </c>
      <c r="C10" s="34" t="inlineStr">
        <is>
          <t>m3</t>
        </is>
      </c>
      <c r="D10" s="35" t="n">
        <v>4200</v>
      </c>
      <c r="E10" s="36" t="n">
        <v>65026.54</v>
      </c>
      <c r="F10" s="36" t="n">
        <v>208554.98</v>
      </c>
      <c r="G10" s="36" t="n">
        <v>45468.12</v>
      </c>
      <c r="H10" s="36" t="n">
        <v>14884.42</v>
      </c>
      <c r="I10" s="36" t="n">
        <v>333934.05</v>
      </c>
      <c r="J10" s="36" t="n">
        <v>87457.77</v>
      </c>
      <c r="K10" s="36" t="n">
        <v>280497.07</v>
      </c>
      <c r="L10" s="36" t="n">
        <v>61152.57</v>
      </c>
      <c r="M10" s="36" t="n">
        <v>17861.3</v>
      </c>
      <c r="N10" s="36" t="n">
        <v>446968.7</v>
      </c>
    </row>
    <row r="11">
      <c r="A11" s="31" t="inlineStr">
        <is>
          <t>eap-4_1</t>
        </is>
      </c>
      <c r="B11" s="31" t="inlineStr">
        <is>
          <t>Regularização do subleito</t>
        </is>
      </c>
      <c r="C11" s="31" t="inlineStr">
        <is>
          <t>m2</t>
        </is>
      </c>
      <c r="D11" s="32" t="n">
        <v>37509.04</v>
      </c>
      <c r="E11" s="33" t="n">
        <v>39890.35</v>
      </c>
      <c r="F11" s="33" t="n">
        <v>59791.23</v>
      </c>
      <c r="G11" s="33" t="n">
        <v>16133.84</v>
      </c>
      <c r="H11" s="33" t="n">
        <v>0</v>
      </c>
      <c r="I11" s="33" t="n">
        <v>115815.42</v>
      </c>
      <c r="J11" s="33" t="n">
        <v>53650.72</v>
      </c>
      <c r="K11" s="33" t="n">
        <v>80416.52</v>
      </c>
      <c r="L11" s="33" t="n">
        <v>21699.29</v>
      </c>
      <c r="M11" s="33" t="n">
        <v>0</v>
      </c>
      <c r="N11" s="33" t="n">
        <v>155766.53</v>
      </c>
    </row>
    <row r="12">
      <c r="A12" s="34" t="inlineStr">
        <is>
          <t>eap-4_5</t>
        </is>
      </c>
      <c r="B12" s="34" t="inlineStr">
        <is>
          <t>Imprimação com asfalto diluído (EAI)</t>
        </is>
      </c>
      <c r="C12" s="34" t="inlineStr">
        <is>
          <t>m2</t>
        </is>
      </c>
      <c r="D12" s="35" t="n">
        <v>35842.04</v>
      </c>
      <c r="E12" s="36" t="n">
        <v>6989.63</v>
      </c>
      <c r="F12" s="36" t="n">
        <v>8419.84</v>
      </c>
      <c r="G12" s="36" t="n">
        <v>1131.43</v>
      </c>
      <c r="H12" s="36" t="n">
        <v>110393.48</v>
      </c>
      <c r="I12" s="36" t="n">
        <v>126934.38</v>
      </c>
      <c r="J12" s="36" t="n">
        <v>9400.74</v>
      </c>
      <c r="K12" s="36" t="n">
        <v>11324.31</v>
      </c>
      <c r="L12" s="36" t="n">
        <v>1521.73</v>
      </c>
      <c r="M12" s="36" t="n">
        <v>132472.18</v>
      </c>
      <c r="N12" s="36" t="n">
        <v>154718.95</v>
      </c>
    </row>
    <row r="13">
      <c r="A13" s="31" t="inlineStr">
        <is>
          <t>eap-4_2</t>
        </is>
      </c>
      <c r="B13" s="31" t="inlineStr">
        <is>
          <t>Reforço de subleito com solo de jazida selecionada - volume geométrico</t>
        </is>
      </c>
      <c r="C13" s="31" t="inlineStr">
        <is>
          <t>m3</t>
        </is>
      </c>
      <c r="D13" s="32" t="n">
        <v>22505.424</v>
      </c>
      <c r="E13" s="33" t="n">
        <v>143246.76</v>
      </c>
      <c r="F13" s="33" t="n">
        <v>434352.33</v>
      </c>
      <c r="G13" s="33" t="n">
        <v>23572.02</v>
      </c>
      <c r="H13" s="33" t="n">
        <v>18924.2</v>
      </c>
      <c r="I13" s="33" t="n">
        <v>620095.3100000001</v>
      </c>
      <c r="J13" s="33" t="n">
        <v>192660.45</v>
      </c>
      <c r="K13" s="33" t="n">
        <v>584184.34</v>
      </c>
      <c r="L13" s="33" t="n">
        <v>31703.31</v>
      </c>
      <c r="M13" s="33" t="n">
        <v>22709.04</v>
      </c>
      <c r="N13" s="33" t="n">
        <v>831257.13</v>
      </c>
    </row>
    <row r="14">
      <c r="A14" s="34" t="inlineStr">
        <is>
          <t>eap-4_6</t>
        </is>
      </c>
      <c r="B14" s="34" t="inlineStr">
        <is>
          <t>Pintura de ligação (RR1C)</t>
        </is>
      </c>
      <c r="C14" s="34" t="inlineStr">
        <is>
          <t>m2</t>
        </is>
      </c>
      <c r="D14" s="35" t="n">
        <v>71684.08</v>
      </c>
      <c r="E14" s="36" t="n">
        <v>27958.51</v>
      </c>
      <c r="F14" s="36" t="n">
        <v>33679.36</v>
      </c>
      <c r="G14" s="36" t="n">
        <v>4525.86</v>
      </c>
      <c r="H14" s="36" t="n">
        <v>107633.65</v>
      </c>
      <c r="I14" s="36" t="n">
        <v>173797.38</v>
      </c>
      <c r="J14" s="36" t="n">
        <v>37602.94</v>
      </c>
      <c r="K14" s="36" t="n">
        <v>45297.22</v>
      </c>
      <c r="L14" s="36" t="n">
        <v>6087.07</v>
      </c>
      <c r="M14" s="36" t="n">
        <v>129160.38</v>
      </c>
      <c r="N14" s="36" t="n">
        <v>218147.62</v>
      </c>
    </row>
    <row r="15">
      <c r="A15" s="31" t="inlineStr">
        <is>
          <t>eap-1_2</t>
        </is>
      </c>
      <c r="B15" s="31" t="inlineStr">
        <is>
          <t>Transporte de solo excedente com caminhão basculante de 14 m3 (peso específico de transporte de 1,8 g/cm3) - dmt de até 3,0 km (interno à planta)</t>
        </is>
      </c>
      <c r="C15" s="31" t="inlineStr">
        <is>
          <t>m3</t>
        </is>
      </c>
      <c r="D15" s="32" t="n">
        <v>15600</v>
      </c>
      <c r="E15" s="33" t="n">
        <v>45995.51</v>
      </c>
      <c r="F15" s="33" t="n">
        <v>0</v>
      </c>
      <c r="G15" s="33" t="n">
        <v>73474.02</v>
      </c>
      <c r="H15" s="33" t="n">
        <v>0</v>
      </c>
      <c r="I15" s="33" t="n">
        <v>119469.53</v>
      </c>
      <c r="J15" s="33" t="n">
        <v>61861.89</v>
      </c>
      <c r="K15" s="33" t="n">
        <v>0</v>
      </c>
      <c r="L15" s="33" t="n">
        <v>98819.25</v>
      </c>
      <c r="M15" s="33" t="n">
        <v>0</v>
      </c>
      <c r="N15" s="33" t="n">
        <v>160681.14</v>
      </c>
    </row>
    <row r="16">
      <c r="A16" s="34" t="inlineStr">
        <is>
          <t>eap-1_3</t>
        </is>
      </c>
      <c r="B16" s="34" t="inlineStr">
        <is>
          <t>Regularização de bota-fora com espalhamento e compactação</t>
        </is>
      </c>
      <c r="C16" s="34" t="inlineStr">
        <is>
          <t>m3</t>
        </is>
      </c>
      <c r="D16" s="35" t="n">
        <v>15600</v>
      </c>
      <c r="E16" s="36" t="n">
        <v>34690.94</v>
      </c>
      <c r="F16" s="36" t="n">
        <v>58215.42</v>
      </c>
      <c r="G16" s="36" t="n">
        <v>24682.4</v>
      </c>
      <c r="H16" s="36" t="n">
        <v>5616780</v>
      </c>
      <c r="I16" s="36" t="n">
        <v>5734368.77</v>
      </c>
      <c r="J16" s="36" t="n">
        <v>46657.76</v>
      </c>
      <c r="K16" s="36" t="n">
        <v>78297.13</v>
      </c>
      <c r="L16" s="36" t="n">
        <v>33196.72</v>
      </c>
      <c r="M16" s="36" t="n">
        <v>6740136</v>
      </c>
      <c r="N16" s="36" t="n">
        <v>6898287.61</v>
      </c>
    </row>
    <row r="17">
      <c r="A17" s="31" t="inlineStr">
        <is>
          <t>eap-1_1</t>
        </is>
      </c>
      <c r="B17" s="31" t="inlineStr">
        <is>
          <t>Limpeza mecanizada da camada vegetal (espessura média de 30 cm) - volume geométrico</t>
        </is>
      </c>
      <c r="C17" s="31" t="inlineStr">
        <is>
          <t>m2</t>
        </is>
      </c>
      <c r="D17" s="32" t="n">
        <v>52000</v>
      </c>
      <c r="E17" s="33" t="n">
        <v>30131.3</v>
      </c>
      <c r="F17" s="33" t="n">
        <v>0</v>
      </c>
      <c r="G17" s="33" t="n">
        <v>15297.36</v>
      </c>
      <c r="H17" s="33" t="n">
        <v>0</v>
      </c>
      <c r="I17" s="33" t="n">
        <v>45428.66</v>
      </c>
      <c r="J17" s="33" t="n">
        <v>40525.24</v>
      </c>
      <c r="K17" s="33" t="n">
        <v>0</v>
      </c>
      <c r="L17" s="33" t="n">
        <v>20574.26</v>
      </c>
      <c r="M17" s="33" t="n">
        <v>0</v>
      </c>
      <c r="N17" s="33" t="n">
        <v>61099.5</v>
      </c>
    </row>
    <row r="18">
      <c r="A18" s="34" t="inlineStr">
        <is>
          <t>eap-5_6</t>
        </is>
      </c>
      <c r="B18" s="34" t="inlineStr">
        <is>
          <t>Regularização de valas com apiloamento do fundo</t>
        </is>
      </c>
      <c r="C18" s="34" t="inlineStr">
        <is>
          <t>m²</t>
        </is>
      </c>
      <c r="D18" s="35" t="n">
        <v>2408.34</v>
      </c>
      <c r="E18" s="36" t="n">
        <v>6648.39</v>
      </c>
      <c r="F18" s="36" t="n">
        <v>9965.209999999999</v>
      </c>
      <c r="G18" s="36" t="n">
        <v>2765.72</v>
      </c>
      <c r="H18" s="36" t="n">
        <v>0</v>
      </c>
      <c r="I18" s="36" t="n">
        <v>19379.31</v>
      </c>
      <c r="J18" s="36" t="n">
        <v>8941.790000000001</v>
      </c>
      <c r="K18" s="36" t="n">
        <v>13402.75</v>
      </c>
      <c r="L18" s="36" t="n">
        <v>3719.77</v>
      </c>
      <c r="M18" s="36" t="n">
        <v>0</v>
      </c>
      <c r="N18" s="36" t="n">
        <v>26064.31</v>
      </c>
    </row>
    <row r="19">
      <c r="A19" s="31" t="inlineStr">
        <is>
          <t>eap-6_5</t>
        </is>
      </c>
      <c r="B19" s="31" t="inlineStr">
        <is>
          <t>Pintura de faixa com tinta acrílica - espessura de 0,6 mm</t>
        </is>
      </c>
      <c r="C19" s="31" t="inlineStr">
        <is>
          <t>m2</t>
        </is>
      </c>
      <c r="D19" s="32" t="n">
        <v>1476.64</v>
      </c>
      <c r="E19" s="33" t="n">
        <v>6989.63</v>
      </c>
      <c r="F19" s="33" t="n">
        <v>8419.84</v>
      </c>
      <c r="G19" s="33" t="n">
        <v>1131.43</v>
      </c>
      <c r="H19" s="33" t="n">
        <v>2217.17</v>
      </c>
      <c r="I19" s="33" t="n">
        <v>18758.08</v>
      </c>
      <c r="J19" s="33" t="n">
        <v>9400.74</v>
      </c>
      <c r="K19" s="33" t="n">
        <v>11324.31</v>
      </c>
      <c r="L19" s="33" t="n">
        <v>1521.73</v>
      </c>
      <c r="M19" s="33" t="n">
        <v>2660.61</v>
      </c>
      <c r="N19" s="33" t="n">
        <v>24907.38</v>
      </c>
    </row>
    <row r="20">
      <c r="A20" s="34" t="inlineStr">
        <is>
          <t>eap-6_11</t>
        </is>
      </c>
      <c r="B20" s="34" t="inlineStr">
        <is>
          <t>Ancoragem de defensa semimaleável simples - fornecimento e implantação</t>
        </is>
      </c>
      <c r="C20" s="34" t="inlineStr">
        <is>
          <t>m</t>
        </is>
      </c>
      <c r="D20" s="35" t="n">
        <v>96</v>
      </c>
      <c r="E20" s="36" t="n">
        <v>9488.26</v>
      </c>
      <c r="F20" s="36" t="n">
        <v>890.5599999999999</v>
      </c>
      <c r="G20" s="36" t="n">
        <v>201.14</v>
      </c>
      <c r="H20" s="36" t="n">
        <v>0</v>
      </c>
      <c r="I20" s="36" t="n">
        <v>10579.96</v>
      </c>
      <c r="J20" s="36" t="n">
        <v>12761.28</v>
      </c>
      <c r="K20" s="36" t="n">
        <v>1197.76</v>
      </c>
      <c r="L20" s="36" t="n">
        <v>270.53</v>
      </c>
      <c r="M20" s="36" t="n">
        <v>0</v>
      </c>
      <c r="N20" s="36" t="n">
        <v>14229.57</v>
      </c>
    </row>
    <row r="21">
      <c r="A21" s="31" t="inlineStr">
        <is>
          <t>eap-3_2</t>
        </is>
      </c>
      <c r="B21" s="31" t="inlineStr">
        <is>
          <t>Carregamento e transporte de material de demolição para bota fora interno ao TBR070 em basculante de 14m³ - DMT até 4 km</t>
        </is>
      </c>
      <c r="C21" s="31" t="inlineStr">
        <is>
          <t>m3</t>
        </is>
      </c>
      <c r="D21" s="32" t="n">
        <v>4200</v>
      </c>
      <c r="E21" s="33" t="n">
        <v>12383.41</v>
      </c>
      <c r="F21" s="33" t="n">
        <v>0</v>
      </c>
      <c r="G21" s="33" t="n">
        <v>19781.47</v>
      </c>
      <c r="H21" s="33" t="n">
        <v>0</v>
      </c>
      <c r="I21" s="33" t="n">
        <v>32164.87</v>
      </c>
      <c r="J21" s="33" t="n">
        <v>16655.12</v>
      </c>
      <c r="K21" s="33" t="n">
        <v>0</v>
      </c>
      <c r="L21" s="33" t="n">
        <v>26605.18</v>
      </c>
      <c r="M21" s="33" t="n">
        <v>0</v>
      </c>
      <c r="N21" s="33" t="n">
        <v>43260.31</v>
      </c>
    </row>
    <row r="22">
      <c r="A22" s="34" t="inlineStr">
        <is>
          <t>eap-6_4</t>
        </is>
      </c>
      <c r="B22" s="34" t="inlineStr">
        <is>
          <t>Pintura de setas e zebrados com termoplástico por extrusão - espessura de 3,0 mm</t>
        </is>
      </c>
      <c r="C22" s="34" t="inlineStr">
        <is>
          <t>m2</t>
        </is>
      </c>
      <c r="D22" s="35" t="n">
        <v>339.96</v>
      </c>
      <c r="E22" s="36" t="n">
        <v>6449.57</v>
      </c>
      <c r="F22" s="36" t="n">
        <v>13951.03</v>
      </c>
      <c r="G22" s="36" t="n">
        <v>4525.72</v>
      </c>
      <c r="H22" s="36" t="n">
        <v>0</v>
      </c>
      <c r="I22" s="36" t="n">
        <v>24926.31</v>
      </c>
      <c r="J22" s="36" t="n">
        <v>8674.379999999999</v>
      </c>
      <c r="K22" s="36" t="n">
        <v>18763.5</v>
      </c>
      <c r="L22" s="36" t="n">
        <v>6086.89</v>
      </c>
      <c r="M22" s="36" t="n">
        <v>0</v>
      </c>
      <c r="N22" s="36" t="n">
        <v>33524.77</v>
      </c>
    </row>
    <row r="23">
      <c r="A23" s="31" t="inlineStr">
        <is>
          <t>eap-6_6</t>
        </is>
      </c>
      <c r="B23" s="31" t="inlineStr">
        <is>
          <t>Placa em alumínio composto, espessura de 3,0 mm, modulada, aérea - película retrorrefletiva tipo III + III - fornecimento e implantação</t>
        </is>
      </c>
      <c r="C23" s="31" t="inlineStr">
        <is>
          <t>m2</t>
        </is>
      </c>
      <c r="D23" s="32" t="n">
        <v>37.45</v>
      </c>
      <c r="E23" s="33" t="n">
        <v>13532.41</v>
      </c>
      <c r="F23" s="33" t="n">
        <v>22303.83</v>
      </c>
      <c r="G23" s="33" t="n">
        <v>13702.88</v>
      </c>
      <c r="H23" s="33" t="n">
        <v>14290.92</v>
      </c>
      <c r="I23" s="33" t="n">
        <v>63830.05</v>
      </c>
      <c r="J23" s="33" t="n">
        <v>18200.49</v>
      </c>
      <c r="K23" s="33" t="n">
        <v>29997.65</v>
      </c>
      <c r="L23" s="33" t="n">
        <v>18429.76</v>
      </c>
      <c r="M23" s="33" t="n">
        <v>17149.1</v>
      </c>
      <c r="N23" s="33" t="n">
        <v>83777</v>
      </c>
    </row>
    <row r="24">
      <c r="A24" s="34" t="inlineStr">
        <is>
          <t>eap-5_8</t>
        </is>
      </c>
      <c r="B24" s="34" t="inlineStr">
        <is>
          <t>Hidrossemeadura para cobertura de taludes</t>
        </is>
      </c>
      <c r="C24" s="34" t="inlineStr">
        <is>
          <t>m²</t>
        </is>
      </c>
      <c r="D24" s="35" t="n">
        <v>2408.34</v>
      </c>
      <c r="E24" s="36" t="n">
        <v>4840.72</v>
      </c>
      <c r="F24" s="36" t="n">
        <v>1416.8</v>
      </c>
      <c r="G24" s="36" t="n">
        <v>0</v>
      </c>
      <c r="H24" s="36" t="n">
        <v>0</v>
      </c>
      <c r="I24" s="36" t="n">
        <v>6257.52</v>
      </c>
      <c r="J24" s="36" t="n">
        <v>6510.55</v>
      </c>
      <c r="K24" s="36" t="n">
        <v>1905.53</v>
      </c>
      <c r="L24" s="36" t="n">
        <v>0</v>
      </c>
      <c r="M24" s="36" t="n">
        <v>0</v>
      </c>
      <c r="N24" s="36" t="n">
        <v>8416.08</v>
      </c>
    </row>
    <row r="25">
      <c r="A25" s="31" t="inlineStr">
        <is>
          <t>eap-3_3</t>
        </is>
      </c>
      <c r="B25" s="31" t="inlineStr">
        <is>
          <t>Regularização de bota-fora com espalhamento e compactação</t>
        </is>
      </c>
      <c r="C25" s="31" t="inlineStr">
        <is>
          <t>m3</t>
        </is>
      </c>
      <c r="D25" s="32" t="n">
        <v>4200</v>
      </c>
      <c r="E25" s="33" t="n">
        <v>11563.65</v>
      </c>
      <c r="F25" s="33" t="n">
        <v>19405.14</v>
      </c>
      <c r="G25" s="33" t="n">
        <v>7794.3</v>
      </c>
      <c r="H25" s="33" t="n">
        <v>1512210</v>
      </c>
      <c r="I25" s="33" t="n">
        <v>1550973.09</v>
      </c>
      <c r="J25" s="33" t="n">
        <v>15552.59</v>
      </c>
      <c r="K25" s="33" t="n">
        <v>26099.04</v>
      </c>
      <c r="L25" s="33" t="n">
        <v>10482.98</v>
      </c>
      <c r="M25" s="33" t="n">
        <v>1814652</v>
      </c>
      <c r="N25" s="33" t="n">
        <v>1866786.61</v>
      </c>
    </row>
    <row r="26">
      <c r="A26" s="34" t="inlineStr">
        <is>
          <t>eap-6_3</t>
        </is>
      </c>
      <c r="B26" s="34" t="inlineStr">
        <is>
          <t>Tachão refletivo em plástico injetado - bidirecional - fornecimento e colocação</t>
        </is>
      </c>
      <c r="C26" s="34" t="inlineStr">
        <is>
          <t>und</t>
        </is>
      </c>
      <c r="D26" s="35" t="n">
        <v>220</v>
      </c>
      <c r="E26" s="36" t="n">
        <v>148868.44</v>
      </c>
      <c r="F26" s="36" t="n">
        <v>13358.4</v>
      </c>
      <c r="G26" s="36" t="n">
        <v>0</v>
      </c>
      <c r="H26" s="36" t="n">
        <v>0</v>
      </c>
      <c r="I26" s="36" t="n">
        <v>162226.84</v>
      </c>
      <c r="J26" s="36" t="n">
        <v>200221.35</v>
      </c>
      <c r="K26" s="36" t="n">
        <v>17966.45</v>
      </c>
      <c r="L26" s="36" t="n">
        <v>0</v>
      </c>
      <c r="M26" s="36" t="n">
        <v>0</v>
      </c>
      <c r="N26" s="36" t="n">
        <v>218187.8</v>
      </c>
    </row>
    <row r="27">
      <c r="A27" s="31" t="inlineStr">
        <is>
          <t>eap-6_7</t>
        </is>
      </c>
      <c r="B27" s="31" t="inlineStr">
        <is>
          <t>Placa em aço - película III + III - fornecimento e implantação</t>
        </is>
      </c>
      <c r="C27" s="31" t="inlineStr">
        <is>
          <t>m2</t>
        </is>
      </c>
      <c r="D27" s="32" t="n">
        <v>27.39</v>
      </c>
      <c r="E27" s="33" t="n">
        <v>13532.41</v>
      </c>
      <c r="F27" s="33" t="n">
        <v>22303.83</v>
      </c>
      <c r="G27" s="33" t="n">
        <v>13702.88</v>
      </c>
      <c r="H27" s="33" t="n">
        <v>10452.02</v>
      </c>
      <c r="I27" s="33" t="n">
        <v>59991.15</v>
      </c>
      <c r="J27" s="33" t="n">
        <v>18200.49</v>
      </c>
      <c r="K27" s="33" t="n">
        <v>29997.65</v>
      </c>
      <c r="L27" s="33" t="n">
        <v>18429.76</v>
      </c>
      <c r="M27" s="33" t="n">
        <v>12542.43</v>
      </c>
      <c r="N27" s="33" t="n">
        <v>79170.33</v>
      </c>
    </row>
    <row r="28">
      <c r="A28" s="34" t="inlineStr">
        <is>
          <t>eap-5_16</t>
        </is>
      </c>
      <c r="B28" s="34" t="inlineStr">
        <is>
          <t>Eegularização de valas com apiloamento do fundo</t>
        </is>
      </c>
      <c r="C28" s="34" t="inlineStr">
        <is>
          <t>m²</t>
        </is>
      </c>
      <c r="D28" s="35" t="n">
        <v>537.8160000000001</v>
      </c>
      <c r="E28" s="36" t="n">
        <v>6449.57</v>
      </c>
      <c r="F28" s="36" t="n">
        <v>13951.03</v>
      </c>
      <c r="G28" s="36" t="n">
        <v>4525.72</v>
      </c>
      <c r="H28" s="36" t="n">
        <v>0</v>
      </c>
      <c r="I28" s="36" t="n">
        <v>24926.31</v>
      </c>
      <c r="J28" s="36" t="n">
        <v>8674.379999999999</v>
      </c>
      <c r="K28" s="36" t="n">
        <v>18763.5</v>
      </c>
      <c r="L28" s="36" t="n">
        <v>6086.89</v>
      </c>
      <c r="M28" s="36" t="n">
        <v>0</v>
      </c>
      <c r="N28" s="36" t="n">
        <v>33524.77</v>
      </c>
    </row>
    <row r="29">
      <c r="A29" s="31" t="inlineStr">
        <is>
          <t>eap-5_5</t>
        </is>
      </c>
      <c r="B29" s="31" t="inlineStr">
        <is>
          <t>Escavação mecanizada de cavas ou valas de solo local - volume geométrico</t>
        </is>
      </c>
      <c r="C29" s="31" t="inlineStr">
        <is>
          <t>m³</t>
        </is>
      </c>
      <c r="D29" s="32" t="n">
        <v>1445.004</v>
      </c>
      <c r="E29" s="33" t="n">
        <v>15448.22</v>
      </c>
      <c r="F29" s="33" t="n">
        <v>25538.67</v>
      </c>
      <c r="G29" s="33" t="n">
        <v>5476.13</v>
      </c>
      <c r="H29" s="33" t="n">
        <v>1244.64</v>
      </c>
      <c r="I29" s="33" t="n">
        <v>47707.66</v>
      </c>
      <c r="J29" s="33" t="n">
        <v>20777.16</v>
      </c>
      <c r="K29" s="33" t="n">
        <v>34348.36</v>
      </c>
      <c r="L29" s="33" t="n">
        <v>7365.14</v>
      </c>
      <c r="M29" s="33" t="n">
        <v>1493.57</v>
      </c>
      <c r="N29" s="33" t="n">
        <v>63984.23</v>
      </c>
    </row>
    <row r="30">
      <c r="A30" s="34" t="inlineStr">
        <is>
          <t>eap-2_1</t>
        </is>
      </c>
      <c r="B30" s="34" t="inlineStr">
        <is>
          <t>Escavação, carga e transporte de material de 1ª categoria - dmt de 400 a 600 m - caminho de serviço em leito natural - com carregadeira e caminhão basculante de 14 m³ - volume geométrico</t>
        </is>
      </c>
      <c r="C30" s="34" t="inlineStr">
        <is>
          <t>m3</t>
        </is>
      </c>
      <c r="D30" s="35" t="n">
        <v>1194.65</v>
      </c>
      <c r="E30" s="36" t="n">
        <v>15448.22</v>
      </c>
      <c r="F30" s="36" t="n">
        <v>25538.67</v>
      </c>
      <c r="G30" s="36" t="n">
        <v>5476.13</v>
      </c>
      <c r="H30" s="36" t="n">
        <v>1029</v>
      </c>
      <c r="I30" s="36" t="n">
        <v>47492.02</v>
      </c>
      <c r="J30" s="36" t="n">
        <v>20777.16</v>
      </c>
      <c r="K30" s="36" t="n">
        <v>34348.36</v>
      </c>
      <c r="L30" s="36" t="n">
        <v>7365.14</v>
      </c>
      <c r="M30" s="36" t="n">
        <v>1234.8</v>
      </c>
      <c r="N30" s="36" t="n">
        <v>63725.46</v>
      </c>
    </row>
    <row r="31">
      <c r="A31" s="31" t="inlineStr">
        <is>
          <t>eap-5_7</t>
        </is>
      </c>
      <c r="B31" s="31" t="inlineStr">
        <is>
          <t>Regularização de bota-fora com espalhamento e compactação</t>
        </is>
      </c>
      <c r="C31" s="31" t="inlineStr">
        <is>
          <t>m³</t>
        </is>
      </c>
      <c r="D31" s="32" t="n">
        <v>1445.004</v>
      </c>
      <c r="E31" s="33" t="n">
        <v>11563.65</v>
      </c>
      <c r="F31" s="33" t="n">
        <v>19405.14</v>
      </c>
      <c r="G31" s="33" t="n">
        <v>7794.3</v>
      </c>
      <c r="H31" s="33" t="n">
        <v>520273.69</v>
      </c>
      <c r="I31" s="33" t="n">
        <v>559036.78</v>
      </c>
      <c r="J31" s="33" t="n">
        <v>15552.59</v>
      </c>
      <c r="K31" s="33" t="n">
        <v>26099.04</v>
      </c>
      <c r="L31" s="33" t="n">
        <v>10482.98</v>
      </c>
      <c r="M31" s="33" t="n">
        <v>624328.4300000001</v>
      </c>
      <c r="N31" s="33" t="n">
        <v>676463.04</v>
      </c>
    </row>
    <row r="32">
      <c r="A32" s="34" t="inlineStr">
        <is>
          <t>eap-4_9</t>
        </is>
      </c>
      <c r="B32" s="34" t="inlineStr">
        <is>
          <t>Fresagem de pavimento esp=10cm (Para encaixes novas alças)</t>
        </is>
      </c>
      <c r="C32" s="34" t="inlineStr">
        <is>
          <t>m3</t>
        </is>
      </c>
      <c r="D32" s="35" t="n">
        <v>60</v>
      </c>
      <c r="E32" s="36" t="n">
        <v>10837.76</v>
      </c>
      <c r="F32" s="36" t="n">
        <v>34759.16</v>
      </c>
      <c r="G32" s="36" t="n">
        <v>7794.3</v>
      </c>
      <c r="H32" s="36" t="n">
        <v>212.63</v>
      </c>
      <c r="I32" s="36" t="n">
        <v>53603.85</v>
      </c>
      <c r="J32" s="36" t="n">
        <v>14576.29</v>
      </c>
      <c r="K32" s="36" t="n">
        <v>46749.51</v>
      </c>
      <c r="L32" s="36" t="n">
        <v>10482.98</v>
      </c>
      <c r="M32" s="36" t="n">
        <v>255.16</v>
      </c>
      <c r="N32" s="36" t="n">
        <v>72063.95</v>
      </c>
    </row>
    <row r="33">
      <c r="A33" s="31" t="inlineStr">
        <is>
          <t>eap-5_18</t>
        </is>
      </c>
      <c r="B33" s="31" t="inlineStr">
        <is>
          <t>Hidrossemeadura para cobertura de taludes</t>
        </is>
      </c>
      <c r="C33" s="31" t="inlineStr">
        <is>
          <t>m²</t>
        </is>
      </c>
      <c r="D33" s="32" t="n">
        <v>537.8160000000001</v>
      </c>
      <c r="E33" s="33" t="n">
        <v>4840.72</v>
      </c>
      <c r="F33" s="33" t="n">
        <v>1416.8</v>
      </c>
      <c r="G33" s="33" t="n">
        <v>0</v>
      </c>
      <c r="H33" s="33" t="n">
        <v>0</v>
      </c>
      <c r="I33" s="33" t="n">
        <v>6257.52</v>
      </c>
      <c r="J33" s="33" t="n">
        <v>6510.55</v>
      </c>
      <c r="K33" s="33" t="n">
        <v>1905.53</v>
      </c>
      <c r="L33" s="33" t="n">
        <v>0</v>
      </c>
      <c r="M33" s="33" t="n">
        <v>0</v>
      </c>
      <c r="N33" s="33" t="n">
        <v>8416.08</v>
      </c>
    </row>
    <row r="34">
      <c r="A34" s="34" t="inlineStr">
        <is>
          <t>eap-5_9</t>
        </is>
      </c>
      <c r="B34" s="34" t="inlineStr">
        <is>
          <t>Manutenção de cobertura de gramíneas por hidrossemeadura</t>
        </is>
      </c>
      <c r="C34" s="34" t="inlineStr">
        <is>
          <t>m²</t>
        </is>
      </c>
      <c r="D34" s="35" t="n">
        <v>2408.34</v>
      </c>
      <c r="E34" s="36" t="n">
        <v>4840.72</v>
      </c>
      <c r="F34" s="36" t="n">
        <v>1416.8</v>
      </c>
      <c r="G34" s="36" t="n">
        <v>0</v>
      </c>
      <c r="H34" s="36" t="n">
        <v>0</v>
      </c>
      <c r="I34" s="36" t="n">
        <v>6257.52</v>
      </c>
      <c r="J34" s="36" t="n">
        <v>6510.55</v>
      </c>
      <c r="K34" s="36" t="n">
        <v>1905.53</v>
      </c>
      <c r="L34" s="36" t="n">
        <v>0</v>
      </c>
      <c r="M34" s="36" t="n">
        <v>0</v>
      </c>
      <c r="N34" s="36" t="n">
        <v>8416.08</v>
      </c>
    </row>
    <row r="35">
      <c r="A35" s="31" t="inlineStr">
        <is>
          <t>eap-5_15</t>
        </is>
      </c>
      <c r="B35" s="31" t="inlineStr">
        <is>
          <t>Escavação mecanizada de cavas ou valas de solo local - volume geométrico</t>
        </is>
      </c>
      <c r="C35" s="31" t="inlineStr">
        <is>
          <t>m³</t>
        </is>
      </c>
      <c r="D35" s="32" t="n">
        <v>268.9080000000001</v>
      </c>
      <c r="E35" s="33" t="n">
        <v>15448.22</v>
      </c>
      <c r="F35" s="33" t="n">
        <v>25538.67</v>
      </c>
      <c r="G35" s="33" t="n">
        <v>5476.13</v>
      </c>
      <c r="H35" s="33" t="n">
        <v>231.62</v>
      </c>
      <c r="I35" s="33" t="n">
        <v>46694.63</v>
      </c>
      <c r="J35" s="33" t="n">
        <v>20777.16</v>
      </c>
      <c r="K35" s="33" t="n">
        <v>34348.36</v>
      </c>
      <c r="L35" s="33" t="n">
        <v>7365.14</v>
      </c>
      <c r="M35" s="33" t="n">
        <v>277.95</v>
      </c>
      <c r="N35" s="33" t="n">
        <v>62768.61</v>
      </c>
    </row>
    <row r="36">
      <c r="A36" s="34" t="inlineStr">
        <is>
          <t>eap-5_17</t>
        </is>
      </c>
      <c r="B36" s="34" t="inlineStr">
        <is>
          <t>Eegularização de bota-fora com espalhamento e compactação</t>
        </is>
      </c>
      <c r="C36" s="34" t="inlineStr">
        <is>
          <t>m³</t>
        </is>
      </c>
      <c r="D36" s="35" t="n">
        <v>268.9080000000001</v>
      </c>
      <c r="E36" s="36" t="n">
        <v>12996.21</v>
      </c>
      <c r="F36" s="36" t="n">
        <v>23666.23</v>
      </c>
      <c r="G36" s="36" t="n">
        <v>6399.28</v>
      </c>
      <c r="H36" s="36" t="n">
        <v>26117.69</v>
      </c>
      <c r="I36" s="36" t="n">
        <v>69179.41</v>
      </c>
      <c r="J36" s="36" t="n">
        <v>17479.32</v>
      </c>
      <c r="K36" s="36" t="n">
        <v>31830.01</v>
      </c>
      <c r="L36" s="36" t="n">
        <v>8606.74</v>
      </c>
      <c r="M36" s="36" t="n">
        <v>31341.23</v>
      </c>
      <c r="N36" s="36" t="n">
        <v>89257.3</v>
      </c>
    </row>
    <row r="37">
      <c r="A37" s="31" t="inlineStr">
        <is>
          <t>eap-5_19</t>
        </is>
      </c>
      <c r="B37" s="31" t="inlineStr">
        <is>
          <t>manutenção de cobertura de gramíneas por hidrossemeadura</t>
        </is>
      </c>
      <c r="C37" s="31" t="inlineStr">
        <is>
          <t>m²</t>
        </is>
      </c>
      <c r="D37" s="32" t="n">
        <v>537.8160000000001</v>
      </c>
      <c r="E37" s="33" t="n">
        <v>4840.72</v>
      </c>
      <c r="F37" s="33" t="n">
        <v>1416.8</v>
      </c>
      <c r="G37" s="33" t="n">
        <v>0</v>
      </c>
      <c r="H37" s="33" t="n">
        <v>0</v>
      </c>
      <c r="I37" s="33" t="n">
        <v>6257.52</v>
      </c>
      <c r="J37" s="33" t="n">
        <v>6510.55</v>
      </c>
      <c r="K37" s="33" t="n">
        <v>1905.53</v>
      </c>
      <c r="L37" s="33" t="n">
        <v>0</v>
      </c>
      <c r="M37" s="33" t="n">
        <v>0</v>
      </c>
      <c r="N37" s="33" t="n">
        <v>8416.08</v>
      </c>
    </row>
    <row r="38">
      <c r="A38" s="34" t="inlineStr">
        <is>
          <t>eap-5_11</t>
        </is>
      </c>
      <c r="B38" s="34" t="inlineStr">
        <is>
          <t>Regularização de valas com apiloamento do fundo</t>
        </is>
      </c>
      <c r="C38" s="34" t="inlineStr">
        <is>
          <t>m²</t>
        </is>
      </c>
      <c r="D38" s="35" t="n">
        <v>30.948</v>
      </c>
      <c r="E38" s="36" t="n">
        <v>6648.39</v>
      </c>
      <c r="F38" s="36" t="n">
        <v>9965.209999999999</v>
      </c>
      <c r="G38" s="36" t="n">
        <v>2765.72</v>
      </c>
      <c r="H38" s="36" t="n">
        <v>0</v>
      </c>
      <c r="I38" s="36" t="n">
        <v>19379.31</v>
      </c>
      <c r="J38" s="36" t="n">
        <v>8941.790000000001</v>
      </c>
      <c r="K38" s="36" t="n">
        <v>13402.75</v>
      </c>
      <c r="L38" s="36" t="n">
        <v>3719.77</v>
      </c>
      <c r="M38" s="36" t="n">
        <v>0</v>
      </c>
      <c r="N38" s="36" t="n">
        <v>26064.31</v>
      </c>
    </row>
    <row r="39">
      <c r="A39" s="31" t="inlineStr">
        <is>
          <t>eap-5_13</t>
        </is>
      </c>
      <c r="B39" s="31" t="inlineStr">
        <is>
          <t>Hidrossemeadura para cobertura de taludes</t>
        </is>
      </c>
      <c r="C39" s="31" t="inlineStr">
        <is>
          <t>m²</t>
        </is>
      </c>
      <c r="D39" s="32" t="n">
        <v>30.948</v>
      </c>
      <c r="E39" s="33" t="n">
        <v>4840.72</v>
      </c>
      <c r="F39" s="33" t="n">
        <v>1416.8</v>
      </c>
      <c r="G39" s="33" t="n">
        <v>0</v>
      </c>
      <c r="H39" s="33" t="n">
        <v>0</v>
      </c>
      <c r="I39" s="33" t="n">
        <v>6257.52</v>
      </c>
      <c r="J39" s="33" t="n">
        <v>6510.55</v>
      </c>
      <c r="K39" s="33" t="n">
        <v>1905.53</v>
      </c>
      <c r="L39" s="33" t="n">
        <v>0</v>
      </c>
      <c r="M39" s="33" t="n">
        <v>0</v>
      </c>
      <c r="N39" s="33" t="n">
        <v>8416.08</v>
      </c>
    </row>
    <row r="40">
      <c r="A40" s="34" t="inlineStr">
        <is>
          <t>eap-5_10</t>
        </is>
      </c>
      <c r="B40" s="34" t="inlineStr">
        <is>
          <t>Escavação mecanizada de cavas ou valas de solo local - volume geométrico</t>
        </is>
      </c>
      <c r="C40" s="34" t="inlineStr">
        <is>
          <t>m³</t>
        </is>
      </c>
      <c r="D40" s="35" t="n">
        <v>18.5688</v>
      </c>
      <c r="E40" s="36" t="n">
        <v>15448.22</v>
      </c>
      <c r="F40" s="36" t="n">
        <v>25538.67</v>
      </c>
      <c r="G40" s="36" t="n">
        <v>5476.13</v>
      </c>
      <c r="H40" s="36" t="n">
        <v>15.99</v>
      </c>
      <c r="I40" s="36" t="n">
        <v>46479.01</v>
      </c>
      <c r="J40" s="36" t="n">
        <v>20777.16</v>
      </c>
      <c r="K40" s="36" t="n">
        <v>34348.36</v>
      </c>
      <c r="L40" s="36" t="n">
        <v>7365.14</v>
      </c>
      <c r="M40" s="36" t="n">
        <v>19.19</v>
      </c>
      <c r="N40" s="36" t="n">
        <v>62509.85</v>
      </c>
    </row>
    <row r="41">
      <c r="A41" s="31" t="inlineStr">
        <is>
          <t>eap-5_12</t>
        </is>
      </c>
      <c r="B41" s="31" t="inlineStr">
        <is>
          <t>Regularização de bota-fora com espalhamento e compactação</t>
        </is>
      </c>
      <c r="C41" s="31" t="inlineStr">
        <is>
          <t>m³</t>
        </is>
      </c>
      <c r="D41" s="32" t="n">
        <v>18.5688</v>
      </c>
      <c r="E41" s="33" t="n">
        <v>11563.65</v>
      </c>
      <c r="F41" s="33" t="n">
        <v>19405.14</v>
      </c>
      <c r="G41" s="33" t="n">
        <v>7794.3</v>
      </c>
      <c r="H41" s="33" t="n">
        <v>6685.7</v>
      </c>
      <c r="I41" s="33" t="n">
        <v>45448.79</v>
      </c>
      <c r="J41" s="33" t="n">
        <v>15552.59</v>
      </c>
      <c r="K41" s="33" t="n">
        <v>26099.04</v>
      </c>
      <c r="L41" s="33" t="n">
        <v>10482.98</v>
      </c>
      <c r="M41" s="33" t="n">
        <v>8022.84</v>
      </c>
      <c r="N41" s="33" t="n">
        <v>60157.45</v>
      </c>
    </row>
    <row r="42">
      <c r="A42" s="34" t="inlineStr">
        <is>
          <t>eap-5_14</t>
        </is>
      </c>
      <c r="B42" s="34" t="inlineStr">
        <is>
          <t>manutenção de cobertura de gramíneas por hidrossemeadura</t>
        </is>
      </c>
      <c r="C42" s="34" t="inlineStr">
        <is>
          <t>m²</t>
        </is>
      </c>
      <c r="D42" s="35" t="n">
        <v>30.948</v>
      </c>
      <c r="E42" s="36" t="n">
        <v>4840.72</v>
      </c>
      <c r="F42" s="36" t="n">
        <v>1416.8</v>
      </c>
      <c r="G42" s="36" t="n">
        <v>0</v>
      </c>
      <c r="H42" s="36" t="n">
        <v>0</v>
      </c>
      <c r="I42" s="36" t="n">
        <v>6257.52</v>
      </c>
      <c r="J42" s="36" t="n">
        <v>6510.55</v>
      </c>
      <c r="K42" s="36" t="n">
        <v>1905.53</v>
      </c>
      <c r="L42" s="36" t="n">
        <v>0</v>
      </c>
      <c r="M42" s="36" t="n">
        <v>0</v>
      </c>
      <c r="N42" s="36" t="n">
        <v>8416.08</v>
      </c>
    </row>
    <row r="44">
      <c r="A44" s="29" t="inlineStr">
        <is>
          <t>TOTAL DIRETO</t>
        </is>
      </c>
      <c r="E44" s="30">
        <f>SUM(E3:E43)</f>
        <v/>
      </c>
      <c r="F44" s="30">
        <f>SUM(F3:F43)</f>
        <v/>
      </c>
      <c r="G44" s="30">
        <f>SUM(G3:G43)</f>
        <v/>
      </c>
      <c r="H44" s="30">
        <f>SUM(H3:H43)</f>
        <v/>
      </c>
      <c r="I44" s="30">
        <f>SUM(I3:I43)</f>
        <v/>
      </c>
      <c r="J44" s="30">
        <f>SUM(J3:J43)</f>
        <v/>
      </c>
      <c r="K44" s="30">
        <f>SUM(K3:K43)</f>
        <v/>
      </c>
      <c r="L44" s="30">
        <f>SUM(L3:L43)</f>
        <v/>
      </c>
      <c r="M44" s="30">
        <f>SUM(M3:M43)</f>
        <v/>
      </c>
      <c r="N44" s="30">
        <f>SUM(N3:N43)</f>
        <v/>
      </c>
    </row>
  </sheetData>
  <mergeCells count="2">
    <mergeCell ref="A44:D4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6.24</v>
      </c>
      <c r="H4" s="17" t="n">
        <v>2451504.96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6.24</v>
      </c>
      <c r="H7" s="26" t="n">
        <v>299373.84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6.24</v>
      </c>
      <c r="H10" s="17" t="n">
        <v>274986.9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6.24</v>
      </c>
      <c r="H13" s="26" t="n">
        <v>454820.13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8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580114.3100000001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580114.3100000001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580114.3100000001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580114.3100000001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580114.3100000001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580114.3100000001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2451504.96</v>
      </c>
      <c r="D3" s="4" t="n">
        <v>22.37</v>
      </c>
      <c r="E3" s="17" t="n">
        <v>2999994.87</v>
      </c>
      <c r="F3" s="4" t="n">
        <v>70.43000000000001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299373.84</v>
      </c>
      <c r="D4" s="7" t="n">
        <v>22.37</v>
      </c>
      <c r="E4" s="26" t="n">
        <v>366354.55</v>
      </c>
      <c r="F4" s="7" t="n">
        <v>8.6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274986.9</v>
      </c>
      <c r="D5" s="4" t="n">
        <v>22.37</v>
      </c>
      <c r="E5" s="17" t="n">
        <v>336511.37</v>
      </c>
      <c r="F5" s="4" t="n">
        <v>7.9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454820.13</v>
      </c>
      <c r="D6" s="7" t="n">
        <v>22.37</v>
      </c>
      <c r="E6" s="26" t="n">
        <v>556579.77</v>
      </c>
      <c r="F6" s="7" t="n">
        <v>13.07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13475734.69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3480685.83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24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21084716.04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15.34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eap-4_7</t>
        </is>
      </c>
      <c r="B3" s="43" t="inlineStr">
        <is>
          <t>Binder - camada de ligação (FAIXA B)</t>
        </is>
      </c>
      <c r="C3" s="43" t="inlineStr">
        <is>
          <t>m3</t>
        </is>
      </c>
      <c r="D3" s="44" t="n">
        <v>2438.0876</v>
      </c>
      <c r="E3" s="45" t="n">
        <v>43351.03</v>
      </c>
      <c r="F3" s="45" t="n">
        <v>139036.66</v>
      </c>
      <c r="G3" s="45" t="n">
        <v>31178.11</v>
      </c>
      <c r="H3" s="45" t="n">
        <v>8640.360000000001</v>
      </c>
      <c r="I3" s="45" t="n">
        <v>222206.15</v>
      </c>
      <c r="J3" s="45" t="n">
        <v>58305.18</v>
      </c>
      <c r="K3" s="45" t="n">
        <v>186998.05</v>
      </c>
      <c r="L3" s="45" t="n">
        <v>41933.15</v>
      </c>
      <c r="M3" s="45" t="n">
        <v>10368.43</v>
      </c>
      <c r="N3" s="45" t="n">
        <v>297604.81</v>
      </c>
      <c r="O3" s="43" t="inlineStr">
        <is>
          <t>A</t>
        </is>
      </c>
    </row>
    <row r="4">
      <c r="A4" s="34" t="inlineStr">
        <is>
          <t>eap-4_8</t>
        </is>
      </c>
      <c r="B4" s="34" t="inlineStr">
        <is>
          <t>Cbuq - concreto betuminoso usinado a quente</t>
        </is>
      </c>
      <c r="C4" s="34" t="inlineStr">
        <is>
          <t>m3</t>
        </is>
      </c>
      <c r="D4" s="35" t="n">
        <v>2250.5424</v>
      </c>
      <c r="E4" s="36" t="n">
        <v>18976.52</v>
      </c>
      <c r="F4" s="36" t="n">
        <v>1781.12</v>
      </c>
      <c r="G4" s="36" t="n">
        <v>435.82</v>
      </c>
      <c r="H4" s="36" t="n">
        <v>0</v>
      </c>
      <c r="I4" s="36" t="n">
        <v>21193.47</v>
      </c>
      <c r="J4" s="36" t="n">
        <v>25522.57</v>
      </c>
      <c r="K4" s="36" t="n">
        <v>2395.53</v>
      </c>
      <c r="L4" s="36" t="n">
        <v>586.16</v>
      </c>
      <c r="M4" s="36" t="n">
        <v>0</v>
      </c>
      <c r="N4" s="36" t="n">
        <v>28504.26</v>
      </c>
      <c r="O4" s="34" t="inlineStr">
        <is>
          <t>C</t>
        </is>
      </c>
    </row>
    <row r="5">
      <c r="A5" s="43" t="inlineStr">
        <is>
          <t>eap-4_4</t>
        </is>
      </c>
      <c r="B5" s="43" t="inlineStr">
        <is>
          <t>Base ou sub-base de brita graduada executada com vibroacabadora - brita comercial</t>
        </is>
      </c>
      <c r="C5" s="43" t="inlineStr">
        <is>
          <t>m3</t>
        </is>
      </c>
      <c r="D5" s="44" t="n">
        <v>5501.33</v>
      </c>
      <c r="E5" s="45" t="n">
        <v>69614.03</v>
      </c>
      <c r="F5" s="45" t="n">
        <v>145246.12</v>
      </c>
      <c r="G5" s="45" t="n">
        <v>34195.35</v>
      </c>
      <c r="H5" s="45" t="n">
        <v>467613.13</v>
      </c>
      <c r="I5" s="45" t="n">
        <v>716668.63</v>
      </c>
      <c r="J5" s="45" t="n">
        <v>93627.73</v>
      </c>
      <c r="K5" s="45" t="n">
        <v>195349.5</v>
      </c>
      <c r="L5" s="45" t="n">
        <v>45991.21</v>
      </c>
      <c r="M5" s="45" t="n">
        <v>561135.76</v>
      </c>
      <c r="N5" s="45" t="n">
        <v>896104.2</v>
      </c>
      <c r="O5" s="43" t="inlineStr">
        <is>
          <t>A</t>
        </is>
      </c>
    </row>
    <row r="6">
      <c r="A6" s="34" t="inlineStr">
        <is>
          <t>eap-7_1</t>
        </is>
      </c>
      <c r="B6" s="34" t="inlineStr">
        <is>
          <t>Hidrossemeadura para cobertura de taludes</t>
        </is>
      </c>
      <c r="C6" s="34" t="inlineStr">
        <is>
          <t>m2</t>
        </is>
      </c>
      <c r="D6" s="35" t="n">
        <v>85475.66</v>
      </c>
      <c r="E6" s="36" t="n">
        <v>33885.03</v>
      </c>
      <c r="F6" s="36" t="n">
        <v>9917.6</v>
      </c>
      <c r="G6" s="36" t="n">
        <v>0</v>
      </c>
      <c r="H6" s="36" t="n">
        <v>0</v>
      </c>
      <c r="I6" s="36" t="n">
        <v>43802.63</v>
      </c>
      <c r="J6" s="36" t="n">
        <v>45573.84</v>
      </c>
      <c r="K6" s="36" t="n">
        <v>13338.73</v>
      </c>
      <c r="L6" s="36" t="n">
        <v>0</v>
      </c>
      <c r="M6" s="36" t="n">
        <v>0</v>
      </c>
      <c r="N6" s="36" t="n">
        <v>58912.56</v>
      </c>
      <c r="O6" s="34" t="inlineStr">
        <is>
          <t>C</t>
        </is>
      </c>
    </row>
    <row r="7">
      <c r="A7" s="43" t="inlineStr">
        <is>
          <t>eap-2_2</t>
        </is>
      </c>
      <c r="B7" s="43" t="inlineStr">
        <is>
          <t>Escavação, carga e transporte de material de 1° cat. - dmt: 4700m (importação solo de jazida interna ao TBR070)</t>
        </is>
      </c>
      <c r="C7" s="43" t="inlineStr">
        <is>
          <t>m3</t>
        </is>
      </c>
      <c r="D7" s="44" t="n">
        <v>51353.781</v>
      </c>
      <c r="E7" s="45" t="n">
        <v>268587.67</v>
      </c>
      <c r="F7" s="45" t="n">
        <v>814410.62</v>
      </c>
      <c r="G7" s="45" t="n">
        <v>42429.55</v>
      </c>
      <c r="H7" s="45" t="n">
        <v>43182</v>
      </c>
      <c r="I7" s="45" t="n">
        <v>1168609.84</v>
      </c>
      <c r="J7" s="45" t="n">
        <v>361238.34</v>
      </c>
      <c r="K7" s="45" t="n">
        <v>1095345.64</v>
      </c>
      <c r="L7" s="45" t="n">
        <v>57065.83</v>
      </c>
      <c r="M7" s="45" t="n">
        <v>51818.4</v>
      </c>
      <c r="N7" s="45" t="n">
        <v>1565468.21</v>
      </c>
      <c r="O7" s="43" t="inlineStr">
        <is>
          <t>A</t>
        </is>
      </c>
    </row>
    <row r="8">
      <c r="A8" s="43" t="inlineStr">
        <is>
          <t>eap-4_3</t>
        </is>
      </c>
      <c r="B8" s="43" t="inlineStr">
        <is>
          <t>Sub-base estabilizada granulometricamente com mistura solo brita (70% - 30%) na pista com material de jazida e brita comercial - volume geométrico</t>
        </is>
      </c>
      <c r="C8" s="43" t="inlineStr">
        <is>
          <t>m3</t>
        </is>
      </c>
      <c r="D8" s="44" t="n">
        <v>5626.356</v>
      </c>
      <c r="E8" s="45" t="n">
        <v>69614.03</v>
      </c>
      <c r="F8" s="45" t="n">
        <v>145246.12</v>
      </c>
      <c r="G8" s="45" t="n">
        <v>34195.35</v>
      </c>
      <c r="H8" s="45" t="n">
        <v>478240.34</v>
      </c>
      <c r="I8" s="45" t="n">
        <v>727295.84</v>
      </c>
      <c r="J8" s="45" t="n">
        <v>93627.73</v>
      </c>
      <c r="K8" s="45" t="n">
        <v>195349.5</v>
      </c>
      <c r="L8" s="45" t="n">
        <v>45991.21</v>
      </c>
      <c r="M8" s="45" t="n">
        <v>573888.41</v>
      </c>
      <c r="N8" s="45" t="n">
        <v>908856.85</v>
      </c>
      <c r="O8" s="43" t="inlineStr">
        <is>
          <t>A</t>
        </is>
      </c>
    </row>
    <row r="9">
      <c r="A9" s="43" t="inlineStr">
        <is>
          <t>eap-2_3</t>
        </is>
      </c>
      <c r="B9" s="43" t="inlineStr">
        <is>
          <t>Compactação de aterros a 100% do proctor intermediário (camada final) - volume homogeneizado (vol. geométrico x 1,25)</t>
        </is>
      </c>
      <c r="C9" s="43" t="inlineStr">
        <is>
          <t>m3</t>
        </is>
      </c>
      <c r="D9" s="44" t="n">
        <v>40421.87</v>
      </c>
      <c r="E9" s="45" t="n">
        <v>126191.48</v>
      </c>
      <c r="F9" s="45" t="n">
        <v>174646.27</v>
      </c>
      <c r="G9" s="45" t="n">
        <v>64954.32</v>
      </c>
      <c r="H9" s="45" t="n">
        <v>0</v>
      </c>
      <c r="I9" s="45" t="n">
        <v>365792.08</v>
      </c>
      <c r="J9" s="45" t="n">
        <v>169721.87</v>
      </c>
      <c r="K9" s="45" t="n">
        <v>234891.38</v>
      </c>
      <c r="L9" s="45" t="n">
        <v>87360.64</v>
      </c>
      <c r="M9" s="45" t="n">
        <v>0</v>
      </c>
      <c r="N9" s="45" t="n">
        <v>491973.89</v>
      </c>
      <c r="O9" s="43" t="inlineStr">
        <is>
          <t>A</t>
        </is>
      </c>
    </row>
    <row r="10">
      <c r="A10" s="43" t="inlineStr">
        <is>
          <t>eap-3_1</t>
        </is>
      </c>
      <c r="B10" s="43" t="inlineStr">
        <is>
          <t>Demolição mecânica de pavimento</t>
        </is>
      </c>
      <c r="C10" s="43" t="inlineStr">
        <is>
          <t>m3</t>
        </is>
      </c>
      <c r="D10" s="44" t="n">
        <v>4200</v>
      </c>
      <c r="E10" s="45" t="n">
        <v>65026.54</v>
      </c>
      <c r="F10" s="45" t="n">
        <v>208554.98</v>
      </c>
      <c r="G10" s="45" t="n">
        <v>45468.12</v>
      </c>
      <c r="H10" s="45" t="n">
        <v>14884.42</v>
      </c>
      <c r="I10" s="45" t="n">
        <v>333934.05</v>
      </c>
      <c r="J10" s="45" t="n">
        <v>87457.77</v>
      </c>
      <c r="K10" s="45" t="n">
        <v>280497.07</v>
      </c>
      <c r="L10" s="45" t="n">
        <v>61152.57</v>
      </c>
      <c r="M10" s="45" t="n">
        <v>17861.3</v>
      </c>
      <c r="N10" s="45" t="n">
        <v>446968.7</v>
      </c>
      <c r="O10" s="43" t="inlineStr">
        <is>
          <t>A</t>
        </is>
      </c>
    </row>
    <row r="11">
      <c r="A11" s="46" t="inlineStr">
        <is>
          <t>eap-4_1</t>
        </is>
      </c>
      <c r="B11" s="46" t="inlineStr">
        <is>
          <t>Regularização do subleito</t>
        </is>
      </c>
      <c r="C11" s="46" t="inlineStr">
        <is>
          <t>m2</t>
        </is>
      </c>
      <c r="D11" s="47" t="n">
        <v>37509.04</v>
      </c>
      <c r="E11" s="48" t="n">
        <v>39890.35</v>
      </c>
      <c r="F11" s="48" t="n">
        <v>59791.23</v>
      </c>
      <c r="G11" s="48" t="n">
        <v>16133.84</v>
      </c>
      <c r="H11" s="48" t="n">
        <v>0</v>
      </c>
      <c r="I11" s="48" t="n">
        <v>115815.42</v>
      </c>
      <c r="J11" s="48" t="n">
        <v>53650.72</v>
      </c>
      <c r="K11" s="48" t="n">
        <v>80416.52</v>
      </c>
      <c r="L11" s="48" t="n">
        <v>21699.29</v>
      </c>
      <c r="M11" s="48" t="n">
        <v>0</v>
      </c>
      <c r="N11" s="48" t="n">
        <v>155766.53</v>
      </c>
      <c r="O11" s="46" t="inlineStr">
        <is>
          <t>B</t>
        </is>
      </c>
    </row>
    <row r="12">
      <c r="A12" s="34" t="inlineStr">
        <is>
          <t>eap-4_5</t>
        </is>
      </c>
      <c r="B12" s="34" t="inlineStr">
        <is>
          <t>Imprimação com asfalto diluído (EAI)</t>
        </is>
      </c>
      <c r="C12" s="34" t="inlineStr">
        <is>
          <t>m2</t>
        </is>
      </c>
      <c r="D12" s="35" t="n">
        <v>35842.04</v>
      </c>
      <c r="E12" s="36" t="n">
        <v>6989.63</v>
      </c>
      <c r="F12" s="36" t="n">
        <v>8419.84</v>
      </c>
      <c r="G12" s="36" t="n">
        <v>1131.43</v>
      </c>
      <c r="H12" s="36" t="n">
        <v>110393.48</v>
      </c>
      <c r="I12" s="36" t="n">
        <v>126934.38</v>
      </c>
      <c r="J12" s="36" t="n">
        <v>9400.74</v>
      </c>
      <c r="K12" s="36" t="n">
        <v>11324.31</v>
      </c>
      <c r="L12" s="36" t="n">
        <v>1521.73</v>
      </c>
      <c r="M12" s="36" t="n">
        <v>132472.18</v>
      </c>
      <c r="N12" s="36" t="n">
        <v>154718.95</v>
      </c>
      <c r="O12" s="34" t="inlineStr">
        <is>
          <t>C</t>
        </is>
      </c>
    </row>
    <row r="13">
      <c r="A13" s="43" t="inlineStr">
        <is>
          <t>eap-4_2</t>
        </is>
      </c>
      <c r="B13" s="43" t="inlineStr">
        <is>
          <t>Reforço de subleito com solo de jazida selecionada - volume geométrico</t>
        </is>
      </c>
      <c r="C13" s="43" t="inlineStr">
        <is>
          <t>m3</t>
        </is>
      </c>
      <c r="D13" s="44" t="n">
        <v>22505.424</v>
      </c>
      <c r="E13" s="45" t="n">
        <v>143246.76</v>
      </c>
      <c r="F13" s="45" t="n">
        <v>434352.33</v>
      </c>
      <c r="G13" s="45" t="n">
        <v>23572.02</v>
      </c>
      <c r="H13" s="45" t="n">
        <v>18924.2</v>
      </c>
      <c r="I13" s="45" t="n">
        <v>620095.3100000001</v>
      </c>
      <c r="J13" s="45" t="n">
        <v>192660.45</v>
      </c>
      <c r="K13" s="45" t="n">
        <v>584184.34</v>
      </c>
      <c r="L13" s="45" t="n">
        <v>31703.31</v>
      </c>
      <c r="M13" s="45" t="n">
        <v>22709.04</v>
      </c>
      <c r="N13" s="45" t="n">
        <v>831257.13</v>
      </c>
      <c r="O13" s="43" t="inlineStr">
        <is>
          <t>A</t>
        </is>
      </c>
    </row>
    <row r="14">
      <c r="A14" s="46" t="inlineStr">
        <is>
          <t>eap-4_6</t>
        </is>
      </c>
      <c r="B14" s="46" t="inlineStr">
        <is>
          <t>Pintura de ligação (RR1C)</t>
        </is>
      </c>
      <c r="C14" s="46" t="inlineStr">
        <is>
          <t>m2</t>
        </is>
      </c>
      <c r="D14" s="47" t="n">
        <v>71684.08</v>
      </c>
      <c r="E14" s="48" t="n">
        <v>27958.51</v>
      </c>
      <c r="F14" s="48" t="n">
        <v>33679.36</v>
      </c>
      <c r="G14" s="48" t="n">
        <v>4525.86</v>
      </c>
      <c r="H14" s="48" t="n">
        <v>107633.65</v>
      </c>
      <c r="I14" s="48" t="n">
        <v>173797.38</v>
      </c>
      <c r="J14" s="48" t="n">
        <v>37602.94</v>
      </c>
      <c r="K14" s="48" t="n">
        <v>45297.22</v>
      </c>
      <c r="L14" s="48" t="n">
        <v>6087.07</v>
      </c>
      <c r="M14" s="48" t="n">
        <v>129160.38</v>
      </c>
      <c r="N14" s="48" t="n">
        <v>218147.62</v>
      </c>
      <c r="O14" s="46" t="inlineStr">
        <is>
          <t>B</t>
        </is>
      </c>
    </row>
    <row r="15">
      <c r="A15" s="46" t="inlineStr">
        <is>
          <t>eap-1_2</t>
        </is>
      </c>
      <c r="B15" s="46" t="inlineStr">
        <is>
          <t>Transporte de solo excedente com caminhão basculante de 14 m3 (peso específico de transporte de 1,8 g/cm3) - dmt de até 3,0 km (interno à planta)</t>
        </is>
      </c>
      <c r="C15" s="46" t="inlineStr">
        <is>
          <t>m3</t>
        </is>
      </c>
      <c r="D15" s="47" t="n">
        <v>15600</v>
      </c>
      <c r="E15" s="48" t="n">
        <v>45995.51</v>
      </c>
      <c r="F15" s="48" t="n">
        <v>0</v>
      </c>
      <c r="G15" s="48" t="n">
        <v>73474.02</v>
      </c>
      <c r="H15" s="48" t="n">
        <v>0</v>
      </c>
      <c r="I15" s="48" t="n">
        <v>119469.53</v>
      </c>
      <c r="J15" s="48" t="n">
        <v>61861.89</v>
      </c>
      <c r="K15" s="48" t="n">
        <v>0</v>
      </c>
      <c r="L15" s="48" t="n">
        <v>98819.25</v>
      </c>
      <c r="M15" s="48" t="n">
        <v>0</v>
      </c>
      <c r="N15" s="48" t="n">
        <v>160681.14</v>
      </c>
      <c r="O15" s="46" t="inlineStr">
        <is>
          <t>B</t>
        </is>
      </c>
    </row>
    <row r="16">
      <c r="A16" s="46" t="inlineStr">
        <is>
          <t>eap-1_3</t>
        </is>
      </c>
      <c r="B16" s="46" t="inlineStr">
        <is>
          <t>Regularização de bota-fora com espalhamento e compactação</t>
        </is>
      </c>
      <c r="C16" s="46" t="inlineStr">
        <is>
          <t>m3</t>
        </is>
      </c>
      <c r="D16" s="47" t="n">
        <v>15600</v>
      </c>
      <c r="E16" s="48" t="n">
        <v>34690.94</v>
      </c>
      <c r="F16" s="48" t="n">
        <v>58215.42</v>
      </c>
      <c r="G16" s="48" t="n">
        <v>24682.4</v>
      </c>
      <c r="H16" s="48" t="n">
        <v>5616780</v>
      </c>
      <c r="I16" s="48" t="n">
        <v>5734368.77</v>
      </c>
      <c r="J16" s="48" t="n">
        <v>46657.76</v>
      </c>
      <c r="K16" s="48" t="n">
        <v>78297.13</v>
      </c>
      <c r="L16" s="48" t="n">
        <v>33196.72</v>
      </c>
      <c r="M16" s="48" t="n">
        <v>6740136</v>
      </c>
      <c r="N16" s="48" t="n">
        <v>6898287.61</v>
      </c>
      <c r="O16" s="46" t="inlineStr">
        <is>
          <t>B</t>
        </is>
      </c>
    </row>
    <row r="17">
      <c r="A17" s="46" t="inlineStr">
        <is>
          <t>eap-1_1</t>
        </is>
      </c>
      <c r="B17" s="46" t="inlineStr">
        <is>
          <t>Limpeza mecanizada da camada vegetal (espessura média de 30 cm) - volume geométrico</t>
        </is>
      </c>
      <c r="C17" s="46" t="inlineStr">
        <is>
          <t>m2</t>
        </is>
      </c>
      <c r="D17" s="47" t="n">
        <v>52000</v>
      </c>
      <c r="E17" s="48" t="n">
        <v>30131.3</v>
      </c>
      <c r="F17" s="48" t="n">
        <v>0</v>
      </c>
      <c r="G17" s="48" t="n">
        <v>15297.36</v>
      </c>
      <c r="H17" s="48" t="n">
        <v>0</v>
      </c>
      <c r="I17" s="48" t="n">
        <v>45428.66</v>
      </c>
      <c r="J17" s="48" t="n">
        <v>40525.24</v>
      </c>
      <c r="K17" s="48" t="n">
        <v>0</v>
      </c>
      <c r="L17" s="48" t="n">
        <v>20574.26</v>
      </c>
      <c r="M17" s="48" t="n">
        <v>0</v>
      </c>
      <c r="N17" s="48" t="n">
        <v>61099.5</v>
      </c>
      <c r="O17" s="46" t="inlineStr">
        <is>
          <t>B</t>
        </is>
      </c>
    </row>
    <row r="18">
      <c r="A18" s="34" t="inlineStr">
        <is>
          <t>eap-5_6</t>
        </is>
      </c>
      <c r="B18" s="34" t="inlineStr">
        <is>
          <t>Regularização de valas com apiloamento do fundo</t>
        </is>
      </c>
      <c r="C18" s="34" t="inlineStr">
        <is>
          <t>m²</t>
        </is>
      </c>
      <c r="D18" s="35" t="n">
        <v>2408.34</v>
      </c>
      <c r="E18" s="36" t="n">
        <v>6648.39</v>
      </c>
      <c r="F18" s="36" t="n">
        <v>9965.209999999999</v>
      </c>
      <c r="G18" s="36" t="n">
        <v>2765.72</v>
      </c>
      <c r="H18" s="36" t="n">
        <v>0</v>
      </c>
      <c r="I18" s="36" t="n">
        <v>19379.31</v>
      </c>
      <c r="J18" s="36" t="n">
        <v>8941.790000000001</v>
      </c>
      <c r="K18" s="36" t="n">
        <v>13402.75</v>
      </c>
      <c r="L18" s="36" t="n">
        <v>3719.77</v>
      </c>
      <c r="M18" s="36" t="n">
        <v>0</v>
      </c>
      <c r="N18" s="36" t="n">
        <v>26064.31</v>
      </c>
      <c r="O18" s="34" t="inlineStr">
        <is>
          <t>C</t>
        </is>
      </c>
    </row>
    <row r="19">
      <c r="A19" s="31" t="inlineStr">
        <is>
          <t>eap-6_5</t>
        </is>
      </c>
      <c r="B19" s="31" t="inlineStr">
        <is>
          <t>Pintura de faixa com tinta acrílica - espessura de 0,6 mm</t>
        </is>
      </c>
      <c r="C19" s="31" t="inlineStr">
        <is>
          <t>m2</t>
        </is>
      </c>
      <c r="D19" s="32" t="n">
        <v>1476.64</v>
      </c>
      <c r="E19" s="33" t="n">
        <v>6989.63</v>
      </c>
      <c r="F19" s="33" t="n">
        <v>8419.84</v>
      </c>
      <c r="G19" s="33" t="n">
        <v>1131.43</v>
      </c>
      <c r="H19" s="33" t="n">
        <v>2217.17</v>
      </c>
      <c r="I19" s="33" t="n">
        <v>18758.08</v>
      </c>
      <c r="J19" s="33" t="n">
        <v>9400.74</v>
      </c>
      <c r="K19" s="33" t="n">
        <v>11324.31</v>
      </c>
      <c r="L19" s="33" t="n">
        <v>1521.73</v>
      </c>
      <c r="M19" s="33" t="n">
        <v>2660.61</v>
      </c>
      <c r="N19" s="33" t="n">
        <v>24907.38</v>
      </c>
      <c r="O19" s="31" t="inlineStr">
        <is>
          <t>C</t>
        </is>
      </c>
    </row>
    <row r="20">
      <c r="A20" s="34" t="inlineStr">
        <is>
          <t>eap-6_11</t>
        </is>
      </c>
      <c r="B20" s="34" t="inlineStr">
        <is>
          <t>Ancoragem de defensa semimaleável simples - fornecimento e implantação</t>
        </is>
      </c>
      <c r="C20" s="34" t="inlineStr">
        <is>
          <t>m</t>
        </is>
      </c>
      <c r="D20" s="35" t="n">
        <v>96</v>
      </c>
      <c r="E20" s="36" t="n">
        <v>9488.26</v>
      </c>
      <c r="F20" s="36" t="n">
        <v>890.5599999999999</v>
      </c>
      <c r="G20" s="36" t="n">
        <v>201.14</v>
      </c>
      <c r="H20" s="36" t="n">
        <v>0</v>
      </c>
      <c r="I20" s="36" t="n">
        <v>10579.96</v>
      </c>
      <c r="J20" s="36" t="n">
        <v>12761.28</v>
      </c>
      <c r="K20" s="36" t="n">
        <v>1197.76</v>
      </c>
      <c r="L20" s="36" t="n">
        <v>270.53</v>
      </c>
      <c r="M20" s="36" t="n">
        <v>0</v>
      </c>
      <c r="N20" s="36" t="n">
        <v>14229.57</v>
      </c>
      <c r="O20" s="34" t="inlineStr">
        <is>
          <t>C</t>
        </is>
      </c>
    </row>
    <row r="21">
      <c r="A21" s="31" t="inlineStr">
        <is>
          <t>eap-3_2</t>
        </is>
      </c>
      <c r="B21" s="31" t="inlineStr">
        <is>
          <t>Carregamento e transporte de material de demolição para bota fora interno ao TBR070 em basculante de 14m³ - DMT até 4 km</t>
        </is>
      </c>
      <c r="C21" s="31" t="inlineStr">
        <is>
          <t>m3</t>
        </is>
      </c>
      <c r="D21" s="32" t="n">
        <v>4200</v>
      </c>
      <c r="E21" s="33" t="n">
        <v>12383.41</v>
      </c>
      <c r="F21" s="33" t="n">
        <v>0</v>
      </c>
      <c r="G21" s="33" t="n">
        <v>19781.47</v>
      </c>
      <c r="H21" s="33" t="n">
        <v>0</v>
      </c>
      <c r="I21" s="33" t="n">
        <v>32164.87</v>
      </c>
      <c r="J21" s="33" t="n">
        <v>16655.12</v>
      </c>
      <c r="K21" s="33" t="n">
        <v>0</v>
      </c>
      <c r="L21" s="33" t="n">
        <v>26605.18</v>
      </c>
      <c r="M21" s="33" t="n">
        <v>0</v>
      </c>
      <c r="N21" s="33" t="n">
        <v>43260.31</v>
      </c>
      <c r="O21" s="31" t="inlineStr">
        <is>
          <t>C</t>
        </is>
      </c>
    </row>
    <row r="22">
      <c r="A22" s="34" t="inlineStr">
        <is>
          <t>eap-6_4</t>
        </is>
      </c>
      <c r="B22" s="34" t="inlineStr">
        <is>
          <t>Pintura de setas e zebrados com termoplástico por extrusão - espessura de 3,0 mm</t>
        </is>
      </c>
      <c r="C22" s="34" t="inlineStr">
        <is>
          <t>m2</t>
        </is>
      </c>
      <c r="D22" s="35" t="n">
        <v>339.96</v>
      </c>
      <c r="E22" s="36" t="n">
        <v>6449.57</v>
      </c>
      <c r="F22" s="36" t="n">
        <v>13951.03</v>
      </c>
      <c r="G22" s="36" t="n">
        <v>4525.72</v>
      </c>
      <c r="H22" s="36" t="n">
        <v>0</v>
      </c>
      <c r="I22" s="36" t="n">
        <v>24926.31</v>
      </c>
      <c r="J22" s="36" t="n">
        <v>8674.379999999999</v>
      </c>
      <c r="K22" s="36" t="n">
        <v>18763.5</v>
      </c>
      <c r="L22" s="36" t="n">
        <v>6086.89</v>
      </c>
      <c r="M22" s="36" t="n">
        <v>0</v>
      </c>
      <c r="N22" s="36" t="n">
        <v>33524.77</v>
      </c>
      <c r="O22" s="34" t="inlineStr">
        <is>
          <t>C</t>
        </is>
      </c>
    </row>
    <row r="23">
      <c r="A23" s="46" t="inlineStr">
        <is>
          <t>eap-6_6</t>
        </is>
      </c>
      <c r="B23" s="46" t="inlineStr">
        <is>
          <t>Placa em alumínio composto, espessura de 3,0 mm, modulada, aérea - película retrorrefletiva tipo III + III - fornecimento e implantação</t>
        </is>
      </c>
      <c r="C23" s="46" t="inlineStr">
        <is>
          <t>m2</t>
        </is>
      </c>
      <c r="D23" s="47" t="n">
        <v>37.45</v>
      </c>
      <c r="E23" s="48" t="n">
        <v>13532.41</v>
      </c>
      <c r="F23" s="48" t="n">
        <v>22303.83</v>
      </c>
      <c r="G23" s="48" t="n">
        <v>13702.88</v>
      </c>
      <c r="H23" s="48" t="n">
        <v>14290.92</v>
      </c>
      <c r="I23" s="48" t="n">
        <v>63830.05</v>
      </c>
      <c r="J23" s="48" t="n">
        <v>18200.49</v>
      </c>
      <c r="K23" s="48" t="n">
        <v>29997.65</v>
      </c>
      <c r="L23" s="48" t="n">
        <v>18429.76</v>
      </c>
      <c r="M23" s="48" t="n">
        <v>17149.1</v>
      </c>
      <c r="N23" s="48" t="n">
        <v>83777</v>
      </c>
      <c r="O23" s="46" t="inlineStr">
        <is>
          <t>B</t>
        </is>
      </c>
    </row>
    <row r="24">
      <c r="A24" s="34" t="inlineStr">
        <is>
          <t>eap-5_8</t>
        </is>
      </c>
      <c r="B24" s="34" t="inlineStr">
        <is>
          <t>Hidrossemeadura para cobertura de taludes</t>
        </is>
      </c>
      <c r="C24" s="34" t="inlineStr">
        <is>
          <t>m²</t>
        </is>
      </c>
      <c r="D24" s="35" t="n">
        <v>2408.34</v>
      </c>
      <c r="E24" s="36" t="n">
        <v>4840.72</v>
      </c>
      <c r="F24" s="36" t="n">
        <v>1416.8</v>
      </c>
      <c r="G24" s="36" t="n">
        <v>0</v>
      </c>
      <c r="H24" s="36" t="n">
        <v>0</v>
      </c>
      <c r="I24" s="36" t="n">
        <v>6257.52</v>
      </c>
      <c r="J24" s="36" t="n">
        <v>6510.55</v>
      </c>
      <c r="K24" s="36" t="n">
        <v>1905.53</v>
      </c>
      <c r="L24" s="36" t="n">
        <v>0</v>
      </c>
      <c r="M24" s="36" t="n">
        <v>0</v>
      </c>
      <c r="N24" s="36" t="n">
        <v>8416.08</v>
      </c>
      <c r="O24" s="34" t="inlineStr">
        <is>
          <t>C</t>
        </is>
      </c>
    </row>
    <row r="25">
      <c r="A25" s="31" t="inlineStr">
        <is>
          <t>eap-3_3</t>
        </is>
      </c>
      <c r="B25" s="31" t="inlineStr">
        <is>
          <t>Regularização de bota-fora com espalhamento e compactação</t>
        </is>
      </c>
      <c r="C25" s="31" t="inlineStr">
        <is>
          <t>m3</t>
        </is>
      </c>
      <c r="D25" s="32" t="n">
        <v>4200</v>
      </c>
      <c r="E25" s="33" t="n">
        <v>11563.65</v>
      </c>
      <c r="F25" s="33" t="n">
        <v>19405.14</v>
      </c>
      <c r="G25" s="33" t="n">
        <v>7794.3</v>
      </c>
      <c r="H25" s="33" t="n">
        <v>1512210</v>
      </c>
      <c r="I25" s="33" t="n">
        <v>1550973.09</v>
      </c>
      <c r="J25" s="33" t="n">
        <v>15552.59</v>
      </c>
      <c r="K25" s="33" t="n">
        <v>26099.04</v>
      </c>
      <c r="L25" s="33" t="n">
        <v>10482.98</v>
      </c>
      <c r="M25" s="33" t="n">
        <v>1814652</v>
      </c>
      <c r="N25" s="33" t="n">
        <v>1866786.61</v>
      </c>
      <c r="O25" s="31" t="inlineStr">
        <is>
          <t>C</t>
        </is>
      </c>
    </row>
    <row r="26">
      <c r="A26" s="43" t="inlineStr">
        <is>
          <t>eap-6_3</t>
        </is>
      </c>
      <c r="B26" s="43" t="inlineStr">
        <is>
          <t>Tachão refletivo em plástico injetado - bidirecional - fornecimento e colocação</t>
        </is>
      </c>
      <c r="C26" s="43" t="inlineStr">
        <is>
          <t>und</t>
        </is>
      </c>
      <c r="D26" s="44" t="n">
        <v>220</v>
      </c>
      <c r="E26" s="45" t="n">
        <v>148868.44</v>
      </c>
      <c r="F26" s="45" t="n">
        <v>13358.4</v>
      </c>
      <c r="G26" s="45" t="n">
        <v>0</v>
      </c>
      <c r="H26" s="45" t="n">
        <v>0</v>
      </c>
      <c r="I26" s="45" t="n">
        <v>162226.84</v>
      </c>
      <c r="J26" s="45" t="n">
        <v>200221.35</v>
      </c>
      <c r="K26" s="45" t="n">
        <v>17966.45</v>
      </c>
      <c r="L26" s="45" t="n">
        <v>0</v>
      </c>
      <c r="M26" s="45" t="n">
        <v>0</v>
      </c>
      <c r="N26" s="45" t="n">
        <v>218187.8</v>
      </c>
      <c r="O26" s="43" t="inlineStr">
        <is>
          <t>A</t>
        </is>
      </c>
    </row>
    <row r="27">
      <c r="A27" s="46" t="inlineStr">
        <is>
          <t>eap-6_7</t>
        </is>
      </c>
      <c r="B27" s="46" t="inlineStr">
        <is>
          <t>Placa em aço - película III + III - fornecimento e implantação</t>
        </is>
      </c>
      <c r="C27" s="46" t="inlineStr">
        <is>
          <t>m2</t>
        </is>
      </c>
      <c r="D27" s="47" t="n">
        <v>27.39</v>
      </c>
      <c r="E27" s="48" t="n">
        <v>13532.41</v>
      </c>
      <c r="F27" s="48" t="n">
        <v>22303.83</v>
      </c>
      <c r="G27" s="48" t="n">
        <v>13702.88</v>
      </c>
      <c r="H27" s="48" t="n">
        <v>10452.02</v>
      </c>
      <c r="I27" s="48" t="n">
        <v>59991.15</v>
      </c>
      <c r="J27" s="48" t="n">
        <v>18200.49</v>
      </c>
      <c r="K27" s="48" t="n">
        <v>29997.65</v>
      </c>
      <c r="L27" s="48" t="n">
        <v>18429.76</v>
      </c>
      <c r="M27" s="48" t="n">
        <v>12542.43</v>
      </c>
      <c r="N27" s="48" t="n">
        <v>79170.33</v>
      </c>
      <c r="O27" s="46" t="inlineStr">
        <is>
          <t>B</t>
        </is>
      </c>
    </row>
    <row r="28">
      <c r="A28" s="34" t="inlineStr">
        <is>
          <t>eap-5_16</t>
        </is>
      </c>
      <c r="B28" s="34" t="inlineStr">
        <is>
          <t>Eegularização de valas com apiloamento do fundo</t>
        </is>
      </c>
      <c r="C28" s="34" t="inlineStr">
        <is>
          <t>m²</t>
        </is>
      </c>
      <c r="D28" s="35" t="n">
        <v>537.8160000000001</v>
      </c>
      <c r="E28" s="36" t="n">
        <v>6449.57</v>
      </c>
      <c r="F28" s="36" t="n">
        <v>13951.03</v>
      </c>
      <c r="G28" s="36" t="n">
        <v>4525.72</v>
      </c>
      <c r="H28" s="36" t="n">
        <v>0</v>
      </c>
      <c r="I28" s="36" t="n">
        <v>24926.31</v>
      </c>
      <c r="J28" s="36" t="n">
        <v>8674.379999999999</v>
      </c>
      <c r="K28" s="36" t="n">
        <v>18763.5</v>
      </c>
      <c r="L28" s="36" t="n">
        <v>6086.89</v>
      </c>
      <c r="M28" s="36" t="n">
        <v>0</v>
      </c>
      <c r="N28" s="36" t="n">
        <v>33524.77</v>
      </c>
      <c r="O28" s="34" t="inlineStr">
        <is>
          <t>C</t>
        </is>
      </c>
    </row>
    <row r="29">
      <c r="A29" s="46" t="inlineStr">
        <is>
          <t>eap-5_5</t>
        </is>
      </c>
      <c r="B29" s="46" t="inlineStr">
        <is>
          <t>Escavação mecanizada de cavas ou valas de solo local - volume geométrico</t>
        </is>
      </c>
      <c r="C29" s="46" t="inlineStr">
        <is>
          <t>m³</t>
        </is>
      </c>
      <c r="D29" s="47" t="n">
        <v>1445.004</v>
      </c>
      <c r="E29" s="48" t="n">
        <v>15448.22</v>
      </c>
      <c r="F29" s="48" t="n">
        <v>25538.67</v>
      </c>
      <c r="G29" s="48" t="n">
        <v>5476.13</v>
      </c>
      <c r="H29" s="48" t="n">
        <v>1244.64</v>
      </c>
      <c r="I29" s="48" t="n">
        <v>47707.66</v>
      </c>
      <c r="J29" s="48" t="n">
        <v>20777.16</v>
      </c>
      <c r="K29" s="48" t="n">
        <v>34348.36</v>
      </c>
      <c r="L29" s="48" t="n">
        <v>7365.14</v>
      </c>
      <c r="M29" s="48" t="n">
        <v>1493.57</v>
      </c>
      <c r="N29" s="48" t="n">
        <v>63984.23</v>
      </c>
      <c r="O29" s="46" t="inlineStr">
        <is>
          <t>B</t>
        </is>
      </c>
    </row>
    <row r="30">
      <c r="A30" s="46" t="inlineStr">
        <is>
          <t>eap-2_1</t>
        </is>
      </c>
      <c r="B30" s="46" t="inlineStr">
        <is>
          <t>Escavação, carga e transporte de material de 1ª categoria - dmt de 400 a 600 m - caminho de serviço em leito natural - com carregadeira e caminhão basculante de 14 m³ - volume geométrico</t>
        </is>
      </c>
      <c r="C30" s="46" t="inlineStr">
        <is>
          <t>m3</t>
        </is>
      </c>
      <c r="D30" s="47" t="n">
        <v>1194.65</v>
      </c>
      <c r="E30" s="48" t="n">
        <v>15448.22</v>
      </c>
      <c r="F30" s="48" t="n">
        <v>25538.67</v>
      </c>
      <c r="G30" s="48" t="n">
        <v>5476.13</v>
      </c>
      <c r="H30" s="48" t="n">
        <v>1029</v>
      </c>
      <c r="I30" s="48" t="n">
        <v>47492.02</v>
      </c>
      <c r="J30" s="48" t="n">
        <v>20777.16</v>
      </c>
      <c r="K30" s="48" t="n">
        <v>34348.36</v>
      </c>
      <c r="L30" s="48" t="n">
        <v>7365.14</v>
      </c>
      <c r="M30" s="48" t="n">
        <v>1234.8</v>
      </c>
      <c r="N30" s="48" t="n">
        <v>63725.46</v>
      </c>
      <c r="O30" s="46" t="inlineStr">
        <is>
          <t>B</t>
        </is>
      </c>
    </row>
    <row r="31">
      <c r="A31" s="31" t="inlineStr">
        <is>
          <t>eap-5_7</t>
        </is>
      </c>
      <c r="B31" s="31" t="inlineStr">
        <is>
          <t>Regularização de bota-fora com espalhamento e compactação</t>
        </is>
      </c>
      <c r="C31" s="31" t="inlineStr">
        <is>
          <t>m³</t>
        </is>
      </c>
      <c r="D31" s="32" t="n">
        <v>1445.004</v>
      </c>
      <c r="E31" s="33" t="n">
        <v>11563.65</v>
      </c>
      <c r="F31" s="33" t="n">
        <v>19405.14</v>
      </c>
      <c r="G31" s="33" t="n">
        <v>7794.3</v>
      </c>
      <c r="H31" s="33" t="n">
        <v>520273.69</v>
      </c>
      <c r="I31" s="33" t="n">
        <v>559036.78</v>
      </c>
      <c r="J31" s="33" t="n">
        <v>15552.59</v>
      </c>
      <c r="K31" s="33" t="n">
        <v>26099.04</v>
      </c>
      <c r="L31" s="33" t="n">
        <v>10482.98</v>
      </c>
      <c r="M31" s="33" t="n">
        <v>624328.4300000001</v>
      </c>
      <c r="N31" s="33" t="n">
        <v>676463.04</v>
      </c>
      <c r="O31" s="31" t="inlineStr">
        <is>
          <t>C</t>
        </is>
      </c>
    </row>
    <row r="32">
      <c r="A32" s="46" t="inlineStr">
        <is>
          <t>eap-4_9</t>
        </is>
      </c>
      <c r="B32" s="46" t="inlineStr">
        <is>
          <t>Fresagem de pavimento esp=10cm (Para encaixes novas alças)</t>
        </is>
      </c>
      <c r="C32" s="46" t="inlineStr">
        <is>
          <t>m3</t>
        </is>
      </c>
      <c r="D32" s="47" t="n">
        <v>60</v>
      </c>
      <c r="E32" s="48" t="n">
        <v>10837.76</v>
      </c>
      <c r="F32" s="48" t="n">
        <v>34759.16</v>
      </c>
      <c r="G32" s="48" t="n">
        <v>7794.3</v>
      </c>
      <c r="H32" s="48" t="n">
        <v>212.63</v>
      </c>
      <c r="I32" s="48" t="n">
        <v>53603.85</v>
      </c>
      <c r="J32" s="48" t="n">
        <v>14576.29</v>
      </c>
      <c r="K32" s="48" t="n">
        <v>46749.51</v>
      </c>
      <c r="L32" s="48" t="n">
        <v>10482.98</v>
      </c>
      <c r="M32" s="48" t="n">
        <v>255.16</v>
      </c>
      <c r="N32" s="48" t="n">
        <v>72063.95</v>
      </c>
      <c r="O32" s="46" t="inlineStr">
        <is>
          <t>B</t>
        </is>
      </c>
    </row>
    <row r="33">
      <c r="A33" s="31" t="inlineStr">
        <is>
          <t>eap-5_18</t>
        </is>
      </c>
      <c r="B33" s="31" t="inlineStr">
        <is>
          <t>Hidrossemeadura para cobertura de taludes</t>
        </is>
      </c>
      <c r="C33" s="31" t="inlineStr">
        <is>
          <t>m²</t>
        </is>
      </c>
      <c r="D33" s="32" t="n">
        <v>537.8160000000001</v>
      </c>
      <c r="E33" s="33" t="n">
        <v>4840.72</v>
      </c>
      <c r="F33" s="33" t="n">
        <v>1416.8</v>
      </c>
      <c r="G33" s="33" t="n">
        <v>0</v>
      </c>
      <c r="H33" s="33" t="n">
        <v>0</v>
      </c>
      <c r="I33" s="33" t="n">
        <v>6257.52</v>
      </c>
      <c r="J33" s="33" t="n">
        <v>6510.55</v>
      </c>
      <c r="K33" s="33" t="n">
        <v>1905.53</v>
      </c>
      <c r="L33" s="33" t="n">
        <v>0</v>
      </c>
      <c r="M33" s="33" t="n">
        <v>0</v>
      </c>
      <c r="N33" s="33" t="n">
        <v>8416.08</v>
      </c>
      <c r="O33" s="31" t="inlineStr">
        <is>
          <t>C</t>
        </is>
      </c>
    </row>
    <row r="34">
      <c r="A34" s="34" t="inlineStr">
        <is>
          <t>eap-5_9</t>
        </is>
      </c>
      <c r="B34" s="34" t="inlineStr">
        <is>
          <t>Manutenção de cobertura de gramíneas por hidrossemeadura</t>
        </is>
      </c>
      <c r="C34" s="34" t="inlineStr">
        <is>
          <t>m²</t>
        </is>
      </c>
      <c r="D34" s="35" t="n">
        <v>2408.34</v>
      </c>
      <c r="E34" s="36" t="n">
        <v>4840.72</v>
      </c>
      <c r="F34" s="36" t="n">
        <v>1416.8</v>
      </c>
      <c r="G34" s="36" t="n">
        <v>0</v>
      </c>
      <c r="H34" s="36" t="n">
        <v>0</v>
      </c>
      <c r="I34" s="36" t="n">
        <v>6257.52</v>
      </c>
      <c r="J34" s="36" t="n">
        <v>6510.55</v>
      </c>
      <c r="K34" s="36" t="n">
        <v>1905.53</v>
      </c>
      <c r="L34" s="36" t="n">
        <v>0</v>
      </c>
      <c r="M34" s="36" t="n">
        <v>0</v>
      </c>
      <c r="N34" s="36" t="n">
        <v>8416.08</v>
      </c>
      <c r="O34" s="34" t="inlineStr">
        <is>
          <t>C</t>
        </is>
      </c>
    </row>
    <row r="35">
      <c r="A35" s="46" t="inlineStr">
        <is>
          <t>eap-5_15</t>
        </is>
      </c>
      <c r="B35" s="46" t="inlineStr">
        <is>
          <t>Escavação mecanizada de cavas ou valas de solo local - volume geométrico</t>
        </is>
      </c>
      <c r="C35" s="46" t="inlineStr">
        <is>
          <t>m³</t>
        </is>
      </c>
      <c r="D35" s="47" t="n">
        <v>268.9080000000001</v>
      </c>
      <c r="E35" s="48" t="n">
        <v>15448.22</v>
      </c>
      <c r="F35" s="48" t="n">
        <v>25538.67</v>
      </c>
      <c r="G35" s="48" t="n">
        <v>5476.13</v>
      </c>
      <c r="H35" s="48" t="n">
        <v>231.62</v>
      </c>
      <c r="I35" s="48" t="n">
        <v>46694.63</v>
      </c>
      <c r="J35" s="48" t="n">
        <v>20777.16</v>
      </c>
      <c r="K35" s="48" t="n">
        <v>34348.36</v>
      </c>
      <c r="L35" s="48" t="n">
        <v>7365.14</v>
      </c>
      <c r="M35" s="48" t="n">
        <v>277.95</v>
      </c>
      <c r="N35" s="48" t="n">
        <v>62768.61</v>
      </c>
      <c r="O35" s="46" t="inlineStr">
        <is>
          <t>B</t>
        </is>
      </c>
    </row>
    <row r="36">
      <c r="A36" s="34" t="inlineStr">
        <is>
          <t>eap-5_17</t>
        </is>
      </c>
      <c r="B36" s="34" t="inlineStr">
        <is>
          <t>Eegularização de bota-fora com espalhamento e compactação</t>
        </is>
      </c>
      <c r="C36" s="34" t="inlineStr">
        <is>
          <t>m³</t>
        </is>
      </c>
      <c r="D36" s="35" t="n">
        <v>268.9080000000001</v>
      </c>
      <c r="E36" s="36" t="n">
        <v>12996.21</v>
      </c>
      <c r="F36" s="36" t="n">
        <v>23666.23</v>
      </c>
      <c r="G36" s="36" t="n">
        <v>6399.28</v>
      </c>
      <c r="H36" s="36" t="n">
        <v>26117.69</v>
      </c>
      <c r="I36" s="36" t="n">
        <v>69179.41</v>
      </c>
      <c r="J36" s="36" t="n">
        <v>17479.32</v>
      </c>
      <c r="K36" s="36" t="n">
        <v>31830.01</v>
      </c>
      <c r="L36" s="36" t="n">
        <v>8606.74</v>
      </c>
      <c r="M36" s="36" t="n">
        <v>31341.23</v>
      </c>
      <c r="N36" s="36" t="n">
        <v>89257.3</v>
      </c>
      <c r="O36" s="34" t="inlineStr">
        <is>
          <t>C</t>
        </is>
      </c>
    </row>
    <row r="37">
      <c r="A37" s="31" t="inlineStr">
        <is>
          <t>eap-5_19</t>
        </is>
      </c>
      <c r="B37" s="31" t="inlineStr">
        <is>
          <t>manutenção de cobertura de gramíneas por hidrossemeadura</t>
        </is>
      </c>
      <c r="C37" s="31" t="inlineStr">
        <is>
          <t>m²</t>
        </is>
      </c>
      <c r="D37" s="32" t="n">
        <v>537.8160000000001</v>
      </c>
      <c r="E37" s="33" t="n">
        <v>4840.72</v>
      </c>
      <c r="F37" s="33" t="n">
        <v>1416.8</v>
      </c>
      <c r="G37" s="33" t="n">
        <v>0</v>
      </c>
      <c r="H37" s="33" t="n">
        <v>0</v>
      </c>
      <c r="I37" s="33" t="n">
        <v>6257.52</v>
      </c>
      <c r="J37" s="33" t="n">
        <v>6510.55</v>
      </c>
      <c r="K37" s="33" t="n">
        <v>1905.53</v>
      </c>
      <c r="L37" s="33" t="n">
        <v>0</v>
      </c>
      <c r="M37" s="33" t="n">
        <v>0</v>
      </c>
      <c r="N37" s="33" t="n">
        <v>8416.08</v>
      </c>
      <c r="O37" s="31" t="inlineStr">
        <is>
          <t>C</t>
        </is>
      </c>
    </row>
    <row r="38">
      <c r="A38" s="34" t="inlineStr">
        <is>
          <t>eap-5_11</t>
        </is>
      </c>
      <c r="B38" s="34" t="inlineStr">
        <is>
          <t>Regularização de valas com apiloamento do fundo</t>
        </is>
      </c>
      <c r="C38" s="34" t="inlineStr">
        <is>
          <t>m²</t>
        </is>
      </c>
      <c r="D38" s="35" t="n">
        <v>30.948</v>
      </c>
      <c r="E38" s="36" t="n">
        <v>6648.39</v>
      </c>
      <c r="F38" s="36" t="n">
        <v>9965.209999999999</v>
      </c>
      <c r="G38" s="36" t="n">
        <v>2765.72</v>
      </c>
      <c r="H38" s="36" t="n">
        <v>0</v>
      </c>
      <c r="I38" s="36" t="n">
        <v>19379.31</v>
      </c>
      <c r="J38" s="36" t="n">
        <v>8941.790000000001</v>
      </c>
      <c r="K38" s="36" t="n">
        <v>13402.75</v>
      </c>
      <c r="L38" s="36" t="n">
        <v>3719.77</v>
      </c>
      <c r="M38" s="36" t="n">
        <v>0</v>
      </c>
      <c r="N38" s="36" t="n">
        <v>26064.31</v>
      </c>
      <c r="O38" s="34" t="inlineStr">
        <is>
          <t>C</t>
        </is>
      </c>
    </row>
    <row r="39">
      <c r="A39" s="31" t="inlineStr">
        <is>
          <t>eap-5_13</t>
        </is>
      </c>
      <c r="B39" s="31" t="inlineStr">
        <is>
          <t>Hidrossemeadura para cobertura de taludes</t>
        </is>
      </c>
      <c r="C39" s="31" t="inlineStr">
        <is>
          <t>m²</t>
        </is>
      </c>
      <c r="D39" s="32" t="n">
        <v>30.948</v>
      </c>
      <c r="E39" s="33" t="n">
        <v>4840.72</v>
      </c>
      <c r="F39" s="33" t="n">
        <v>1416.8</v>
      </c>
      <c r="G39" s="33" t="n">
        <v>0</v>
      </c>
      <c r="H39" s="33" t="n">
        <v>0</v>
      </c>
      <c r="I39" s="33" t="n">
        <v>6257.52</v>
      </c>
      <c r="J39" s="33" t="n">
        <v>6510.55</v>
      </c>
      <c r="K39" s="33" t="n">
        <v>1905.53</v>
      </c>
      <c r="L39" s="33" t="n">
        <v>0</v>
      </c>
      <c r="M39" s="33" t="n">
        <v>0</v>
      </c>
      <c r="N39" s="33" t="n">
        <v>8416.08</v>
      </c>
      <c r="O39" s="31" t="inlineStr">
        <is>
          <t>C</t>
        </is>
      </c>
    </row>
    <row r="40">
      <c r="A40" s="46" t="inlineStr">
        <is>
          <t>eap-5_10</t>
        </is>
      </c>
      <c r="B40" s="46" t="inlineStr">
        <is>
          <t>Escavação mecanizada de cavas ou valas de solo local - volume geométrico</t>
        </is>
      </c>
      <c r="C40" s="46" t="inlineStr">
        <is>
          <t>m³</t>
        </is>
      </c>
      <c r="D40" s="47" t="n">
        <v>18.5688</v>
      </c>
      <c r="E40" s="48" t="n">
        <v>15448.22</v>
      </c>
      <c r="F40" s="48" t="n">
        <v>25538.67</v>
      </c>
      <c r="G40" s="48" t="n">
        <v>5476.13</v>
      </c>
      <c r="H40" s="48" t="n">
        <v>15.99</v>
      </c>
      <c r="I40" s="48" t="n">
        <v>46479.01</v>
      </c>
      <c r="J40" s="48" t="n">
        <v>20777.16</v>
      </c>
      <c r="K40" s="48" t="n">
        <v>34348.36</v>
      </c>
      <c r="L40" s="48" t="n">
        <v>7365.14</v>
      </c>
      <c r="M40" s="48" t="n">
        <v>19.19</v>
      </c>
      <c r="N40" s="48" t="n">
        <v>62509.85</v>
      </c>
      <c r="O40" s="46" t="inlineStr">
        <is>
          <t>B</t>
        </is>
      </c>
    </row>
    <row r="41">
      <c r="A41" s="31" t="inlineStr">
        <is>
          <t>eap-5_12</t>
        </is>
      </c>
      <c r="B41" s="31" t="inlineStr">
        <is>
          <t>Regularização de bota-fora com espalhamento e compactação</t>
        </is>
      </c>
      <c r="C41" s="31" t="inlineStr">
        <is>
          <t>m³</t>
        </is>
      </c>
      <c r="D41" s="32" t="n">
        <v>18.5688</v>
      </c>
      <c r="E41" s="33" t="n">
        <v>11563.65</v>
      </c>
      <c r="F41" s="33" t="n">
        <v>19405.14</v>
      </c>
      <c r="G41" s="33" t="n">
        <v>7794.3</v>
      </c>
      <c r="H41" s="33" t="n">
        <v>6685.7</v>
      </c>
      <c r="I41" s="33" t="n">
        <v>45448.79</v>
      </c>
      <c r="J41" s="33" t="n">
        <v>15552.59</v>
      </c>
      <c r="K41" s="33" t="n">
        <v>26099.04</v>
      </c>
      <c r="L41" s="33" t="n">
        <v>10482.98</v>
      </c>
      <c r="M41" s="33" t="n">
        <v>8022.84</v>
      </c>
      <c r="N41" s="33" t="n">
        <v>60157.45</v>
      </c>
      <c r="O41" s="31" t="inlineStr">
        <is>
          <t>C</t>
        </is>
      </c>
    </row>
    <row r="42">
      <c r="A42" s="34" t="inlineStr">
        <is>
          <t>eap-5_14</t>
        </is>
      </c>
      <c r="B42" s="34" t="inlineStr">
        <is>
          <t>manutenção de cobertura de gramíneas por hidrossemeadura</t>
        </is>
      </c>
      <c r="C42" s="34" t="inlineStr">
        <is>
          <t>m²</t>
        </is>
      </c>
      <c r="D42" s="35" t="n">
        <v>30.948</v>
      </c>
      <c r="E42" s="36" t="n">
        <v>4840.72</v>
      </c>
      <c r="F42" s="36" t="n">
        <v>1416.8</v>
      </c>
      <c r="G42" s="36" t="n">
        <v>0</v>
      </c>
      <c r="H42" s="36" t="n">
        <v>0</v>
      </c>
      <c r="I42" s="36" t="n">
        <v>6257.52</v>
      </c>
      <c r="J42" s="36" t="n">
        <v>6510.55</v>
      </c>
      <c r="K42" s="36" t="n">
        <v>1905.53</v>
      </c>
      <c r="L42" s="36" t="n">
        <v>0</v>
      </c>
      <c r="M42" s="36" t="n">
        <v>0</v>
      </c>
      <c r="N42" s="36" t="n">
        <v>8416.08</v>
      </c>
      <c r="O42" s="34" t="inlineStr">
        <is>
          <t>C</t>
        </is>
      </c>
    </row>
    <row r="44">
      <c r="A44" s="29" t="inlineStr">
        <is>
          <t>TOTAL</t>
        </is>
      </c>
      <c r="E44" s="30">
        <f>SUM(E3:E43)</f>
        <v/>
      </c>
      <c r="F44" s="30">
        <f>SUM(F3:F43)</f>
        <v/>
      </c>
      <c r="G44" s="30">
        <f>SUM(G3:G43)</f>
        <v/>
      </c>
      <c r="H44" s="30">
        <f>SUM(H3:H43)</f>
        <v/>
      </c>
      <c r="I44" s="30">
        <f>SUM(I3:I43)</f>
        <v/>
      </c>
      <c r="J44" s="30">
        <f>SUM(J3:J43)</f>
        <v/>
      </c>
      <c r="K44" s="30">
        <f>SUM(K3:K43)</f>
        <v/>
      </c>
      <c r="L44" s="30">
        <f>SUM(L3:L43)</f>
        <v/>
      </c>
      <c r="M44" s="30">
        <f>SUM(M3:M43)</f>
        <v/>
      </c>
      <c r="N44" s="30">
        <f>SUM(N3:N43)</f>
        <v/>
      </c>
      <c r="O44" s="30">
        <f>SUM(O3:O43)</f>
        <v/>
      </c>
    </row>
  </sheetData>
  <mergeCells count="2">
    <mergeCell ref="A1:O1"/>
    <mergeCell ref="A44:D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eap-4_7</t>
        </is>
      </c>
      <c r="B4" s="20" t="inlineStr">
        <is>
          <t>Binder - camada de ligação (FAIXA B)</t>
        </is>
      </c>
      <c r="C4" s="53" t="inlineStr">
        <is>
          <t>m3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56" t="n"/>
      <c r="AB4" s="56" t="n"/>
      <c r="AC4" s="56" t="n"/>
      <c r="AD4" s="56" t="n"/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1</v>
      </c>
      <c r="F5" s="58" t="n">
        <v>1</v>
      </c>
      <c r="G5" s="58" t="n">
        <v>1</v>
      </c>
      <c r="H5" s="58" t="n">
        <v>1</v>
      </c>
      <c r="I5" s="59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  <c r="AD5" s="59" t="n"/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1073.77</v>
      </c>
      <c r="F6" s="33" t="n">
        <v>1252.8</v>
      </c>
      <c r="G6" s="33" t="n">
        <v>111.51</v>
      </c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1073.77</v>
      </c>
      <c r="F7" s="33" t="n">
        <v>2326.57</v>
      </c>
      <c r="G7" s="33" t="n">
        <v>2438.09</v>
      </c>
      <c r="H7" s="33" t="n">
        <v>2438.09</v>
      </c>
      <c r="I7" s="33" t="n">
        <v>2438.09</v>
      </c>
      <c r="J7" s="33" t="n">
        <v>2438.09</v>
      </c>
      <c r="K7" s="33" t="n">
        <v>2438.09</v>
      </c>
      <c r="L7" s="33" t="n">
        <v>2438.09</v>
      </c>
      <c r="M7" s="33" t="n">
        <v>2438.09</v>
      </c>
      <c r="N7" s="33" t="n">
        <v>2438.09</v>
      </c>
      <c r="O7" s="33" t="n">
        <v>2438.09</v>
      </c>
      <c r="P7" s="33" t="n">
        <v>2438.09</v>
      </c>
      <c r="Q7" s="33" t="n">
        <v>2438.09</v>
      </c>
      <c r="R7" s="33" t="n">
        <v>2438.09</v>
      </c>
      <c r="S7" s="33" t="n">
        <v>2438.09</v>
      </c>
      <c r="T7" s="33" t="n">
        <v>2438.09</v>
      </c>
      <c r="U7" s="33" t="n">
        <v>2438.09</v>
      </c>
      <c r="V7" s="33" t="n">
        <v>2438.09</v>
      </c>
      <c r="W7" s="33" t="n">
        <v>2438.09</v>
      </c>
      <c r="X7" s="33" t="n">
        <v>2438.09</v>
      </c>
      <c r="Y7" s="33" t="n">
        <v>2438.09</v>
      </c>
      <c r="Z7" s="33" t="n">
        <v>2438.09</v>
      </c>
      <c r="AA7" s="33" t="n">
        <v>2438.09</v>
      </c>
      <c r="AB7" s="33" t="n">
        <v>2438.09</v>
      </c>
      <c r="AC7" s="33" t="n">
        <v>2438.09</v>
      </c>
      <c r="AD7" s="33" t="n">
        <v>2438.09</v>
      </c>
      <c r="AE7" s="33" t="n">
        <v>2438.09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  <c r="AD8" s="59" t="n"/>
      <c r="AE8" s="59" t="n"/>
    </row>
    <row r="9">
      <c r="A9" s="61" t="inlineStr">
        <is>
          <t>eap-4_8</t>
        </is>
      </c>
      <c r="B9" s="61" t="inlineStr">
        <is>
          <t>Cbuq - concreto betuminoso usinado a quente</t>
        </is>
      </c>
      <c r="C9" s="62" t="inlineStr">
        <is>
          <t>m3</t>
        </is>
      </c>
      <c r="D9" s="63" t="inlineStr">
        <is>
          <t>Dias Trabalhados</t>
        </is>
      </c>
      <c r="E9" s="64" t="n">
        <v>6</v>
      </c>
      <c r="F9" s="64" t="n">
        <v>6</v>
      </c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1</v>
      </c>
      <c r="F10" s="67" t="n">
        <v>1</v>
      </c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2057.04</v>
      </c>
      <c r="F11" s="36" t="n">
        <v>193.5</v>
      </c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2057.04</v>
      </c>
      <c r="F12" s="36" t="n">
        <v>2250.54</v>
      </c>
      <c r="G12" s="36" t="n">
        <v>2250.54</v>
      </c>
      <c r="H12" s="36" t="n">
        <v>2250.54</v>
      </c>
      <c r="I12" s="36" t="n">
        <v>2250.54</v>
      </c>
      <c r="J12" s="36" t="n">
        <v>2250.54</v>
      </c>
      <c r="K12" s="36" t="n">
        <v>2250.54</v>
      </c>
      <c r="L12" s="36" t="n">
        <v>2250.54</v>
      </c>
      <c r="M12" s="36" t="n">
        <v>2250.54</v>
      </c>
      <c r="N12" s="36" t="n">
        <v>2250.54</v>
      </c>
      <c r="O12" s="36" t="n">
        <v>2250.54</v>
      </c>
      <c r="P12" s="36" t="n">
        <v>2250.54</v>
      </c>
      <c r="Q12" s="36" t="n">
        <v>2250.54</v>
      </c>
      <c r="R12" s="36" t="n">
        <v>2250.54</v>
      </c>
      <c r="S12" s="36" t="n">
        <v>2250.54</v>
      </c>
      <c r="T12" s="36" t="n">
        <v>2250.54</v>
      </c>
      <c r="U12" s="36" t="n">
        <v>2250.54</v>
      </c>
      <c r="V12" s="36" t="n">
        <v>2250.54</v>
      </c>
      <c r="W12" s="36" t="n">
        <v>2250.54</v>
      </c>
      <c r="X12" s="36" t="n">
        <v>2250.54</v>
      </c>
      <c r="Y12" s="36" t="n">
        <v>2250.54</v>
      </c>
      <c r="Z12" s="36" t="n">
        <v>2250.54</v>
      </c>
      <c r="AA12" s="36" t="n">
        <v>2250.54</v>
      </c>
      <c r="AB12" s="36" t="n">
        <v>2250.54</v>
      </c>
      <c r="AC12" s="36" t="n">
        <v>2250.54</v>
      </c>
      <c r="AD12" s="36" t="n">
        <v>2250.54</v>
      </c>
      <c r="AE12" s="36" t="n">
        <v>2250.54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</row>
    <row r="14">
      <c r="A14" s="20" t="inlineStr">
        <is>
          <t>eap-4_4</t>
        </is>
      </c>
      <c r="B14" s="20" t="inlineStr">
        <is>
          <t>Base ou sub-base de brita graduada executada com vibroacabadora - brita comercial</t>
        </is>
      </c>
      <c r="C14" s="53" t="inlineStr">
        <is>
          <t>m3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1</v>
      </c>
      <c r="F15" s="58" t="n">
        <v>1</v>
      </c>
      <c r="G15" s="58" t="n">
        <v>1</v>
      </c>
      <c r="H15" s="58" t="n">
        <v>1</v>
      </c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2262.74</v>
      </c>
      <c r="F16" s="33" t="n">
        <v>2640</v>
      </c>
      <c r="G16" s="33" t="n">
        <v>598.59</v>
      </c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2262.74</v>
      </c>
      <c r="F17" s="33" t="n">
        <v>4902.74</v>
      </c>
      <c r="G17" s="33" t="n">
        <v>5501.33</v>
      </c>
      <c r="H17" s="33" t="n">
        <v>5501.33</v>
      </c>
      <c r="I17" s="33" t="n">
        <v>5501.33</v>
      </c>
      <c r="J17" s="33" t="n">
        <v>5501.33</v>
      </c>
      <c r="K17" s="33" t="n">
        <v>5501.33</v>
      </c>
      <c r="L17" s="33" t="n">
        <v>5501.33</v>
      </c>
      <c r="M17" s="33" t="n">
        <v>5501.33</v>
      </c>
      <c r="N17" s="33" t="n">
        <v>5501.33</v>
      </c>
      <c r="O17" s="33" t="n">
        <v>5501.33</v>
      </c>
      <c r="P17" s="33" t="n">
        <v>5501.33</v>
      </c>
      <c r="Q17" s="33" t="n">
        <v>5501.33</v>
      </c>
      <c r="R17" s="33" t="n">
        <v>5501.33</v>
      </c>
      <c r="S17" s="33" t="n">
        <v>5501.33</v>
      </c>
      <c r="T17" s="33" t="n">
        <v>5501.33</v>
      </c>
      <c r="U17" s="33" t="n">
        <v>5501.33</v>
      </c>
      <c r="V17" s="33" t="n">
        <v>5501.33</v>
      </c>
      <c r="W17" s="33" t="n">
        <v>5501.33</v>
      </c>
      <c r="X17" s="33" t="n">
        <v>5501.33</v>
      </c>
      <c r="Y17" s="33" t="n">
        <v>5501.33</v>
      </c>
      <c r="Z17" s="33" t="n">
        <v>5501.33</v>
      </c>
      <c r="AA17" s="33" t="n">
        <v>5501.33</v>
      </c>
      <c r="AB17" s="33" t="n">
        <v>5501.33</v>
      </c>
      <c r="AC17" s="33" t="n">
        <v>5501.33</v>
      </c>
      <c r="AD17" s="33" t="n">
        <v>5501.33</v>
      </c>
      <c r="AE17" s="33" t="n">
        <v>5501.33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  <c r="AD18" s="59" t="n"/>
      <c r="AE18" s="59" t="n"/>
    </row>
    <row r="19">
      <c r="A19" s="61" t="inlineStr">
        <is>
          <t>eap-7_1</t>
        </is>
      </c>
      <c r="B19" s="61" t="inlineStr">
        <is>
          <t>Hidrossemeadura para cobertura de taludes</t>
        </is>
      </c>
      <c r="C19" s="62" t="inlineStr">
        <is>
          <t>m2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4" t="n">
        <v>6</v>
      </c>
      <c r="J19" s="64" t="n">
        <v>6</v>
      </c>
      <c r="K19" s="64" t="n">
        <v>6</v>
      </c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1</v>
      </c>
      <c r="F20" s="67" t="n">
        <v>1</v>
      </c>
      <c r="G20" s="67" t="n">
        <v>1</v>
      </c>
      <c r="H20" s="67" t="n">
        <v>1</v>
      </c>
      <c r="I20" s="67" t="n">
        <v>1</v>
      </c>
      <c r="J20" s="67" t="n">
        <v>1</v>
      </c>
      <c r="K20" s="67" t="n">
        <v>1</v>
      </c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18513.36</v>
      </c>
      <c r="F21" s="36" t="n">
        <v>21600</v>
      </c>
      <c r="G21" s="36" t="n">
        <v>18513.36</v>
      </c>
      <c r="H21" s="36" t="n">
        <v>15428.88</v>
      </c>
      <c r="I21" s="36" t="n">
        <v>11420.06</v>
      </c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18513.36</v>
      </c>
      <c r="F22" s="36" t="n">
        <v>40113.36</v>
      </c>
      <c r="G22" s="36" t="n">
        <v>58626.72</v>
      </c>
      <c r="H22" s="36" t="n">
        <v>74055.60000000001</v>
      </c>
      <c r="I22" s="36" t="n">
        <v>85475.66</v>
      </c>
      <c r="J22" s="36" t="n">
        <v>85475.66</v>
      </c>
      <c r="K22" s="36" t="n">
        <v>85475.66</v>
      </c>
      <c r="L22" s="36" t="n">
        <v>85475.66</v>
      </c>
      <c r="M22" s="36" t="n">
        <v>85475.66</v>
      </c>
      <c r="N22" s="36" t="n">
        <v>85475.66</v>
      </c>
      <c r="O22" s="36" t="n">
        <v>85475.66</v>
      </c>
      <c r="P22" s="36" t="n">
        <v>85475.66</v>
      </c>
      <c r="Q22" s="36" t="n">
        <v>85475.66</v>
      </c>
      <c r="R22" s="36" t="n">
        <v>85475.66</v>
      </c>
      <c r="S22" s="36" t="n">
        <v>85475.66</v>
      </c>
      <c r="T22" s="36" t="n">
        <v>85475.66</v>
      </c>
      <c r="U22" s="36" t="n">
        <v>85475.66</v>
      </c>
      <c r="V22" s="36" t="n">
        <v>85475.66</v>
      </c>
      <c r="W22" s="36" t="n">
        <v>85475.66</v>
      </c>
      <c r="X22" s="36" t="n">
        <v>85475.66</v>
      </c>
      <c r="Y22" s="36" t="n">
        <v>85475.66</v>
      </c>
      <c r="Z22" s="36" t="n">
        <v>85475.66</v>
      </c>
      <c r="AA22" s="36" t="n">
        <v>85475.66</v>
      </c>
      <c r="AB22" s="36" t="n">
        <v>85475.66</v>
      </c>
      <c r="AC22" s="36" t="n">
        <v>85475.66</v>
      </c>
      <c r="AD22" s="36" t="n">
        <v>85475.66</v>
      </c>
      <c r="AE22" s="36" t="n">
        <v>85475.66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9" t="n">
        <v>0.8571</v>
      </c>
      <c r="J23" s="69" t="n">
        <v>0.7143</v>
      </c>
      <c r="K23" s="69" t="n">
        <v>0.8571</v>
      </c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8" t="n"/>
    </row>
    <row r="24">
      <c r="A24" s="20" t="inlineStr">
        <is>
          <t>eap-2_2</t>
        </is>
      </c>
      <c r="B24" s="20" t="inlineStr">
        <is>
          <t>Escavação, carga e transporte de material de 1° cat. - dmt: 4700m (importação solo de jazida interna ao TBR070)</t>
        </is>
      </c>
      <c r="C24" s="53" t="inlineStr">
        <is>
          <t>m3</t>
        </is>
      </c>
      <c r="D24" s="54" t="inlineStr">
        <is>
          <t>Dias Trabalhados</t>
        </is>
      </c>
      <c r="E24" s="55" t="n">
        <v>6</v>
      </c>
      <c r="F24" s="55" t="n">
        <v>6</v>
      </c>
      <c r="G24" s="55" t="n">
        <v>6</v>
      </c>
      <c r="H24" s="55" t="n">
        <v>6</v>
      </c>
      <c r="I24" s="55" t="n">
        <v>6</v>
      </c>
      <c r="J24" s="55" t="n">
        <v>6</v>
      </c>
      <c r="K24" s="55" t="n">
        <v>6</v>
      </c>
      <c r="L24" s="55" t="n">
        <v>6</v>
      </c>
      <c r="M24" s="55" t="n">
        <v>6</v>
      </c>
      <c r="N24" s="55" t="n">
        <v>6</v>
      </c>
      <c r="O24" s="55" t="n">
        <v>6</v>
      </c>
      <c r="P24" s="55" t="n">
        <v>6</v>
      </c>
      <c r="Q24" s="55" t="n">
        <v>6</v>
      </c>
      <c r="R24" s="55" t="n">
        <v>6</v>
      </c>
      <c r="S24" s="55" t="n">
        <v>6</v>
      </c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</row>
    <row r="25">
      <c r="A25" s="11" t="n"/>
      <c r="B25" s="11" t="n"/>
      <c r="C25" s="18" t="n"/>
      <c r="D25" s="57" t="inlineStr">
        <is>
          <t>Nº De Equipes</t>
        </is>
      </c>
      <c r="E25" s="58" t="n">
        <v>1</v>
      </c>
      <c r="F25" s="58" t="n">
        <v>1</v>
      </c>
      <c r="G25" s="58" t="n">
        <v>1</v>
      </c>
      <c r="H25" s="58" t="n">
        <v>1</v>
      </c>
      <c r="I25" s="58" t="n">
        <v>1</v>
      </c>
      <c r="J25" s="58" t="n">
        <v>1</v>
      </c>
      <c r="K25" s="58" t="n">
        <v>1</v>
      </c>
      <c r="L25" s="58" t="n">
        <v>1</v>
      </c>
      <c r="M25" s="58" t="n">
        <v>1</v>
      </c>
      <c r="N25" s="58" t="n">
        <v>1</v>
      </c>
      <c r="O25" s="58" t="n">
        <v>1</v>
      </c>
      <c r="P25" s="58" t="n">
        <v>1</v>
      </c>
      <c r="Q25" s="58" t="n">
        <v>1</v>
      </c>
      <c r="R25" s="58" t="n">
        <v>1</v>
      </c>
      <c r="S25" s="58" t="n">
        <v>1</v>
      </c>
      <c r="T25" s="59" t="n"/>
      <c r="U25" s="59" t="n"/>
      <c r="V25" s="59" t="n"/>
      <c r="W25" s="59" t="n"/>
      <c r="X25" s="59" t="n"/>
      <c r="Y25" s="59" t="n"/>
      <c r="Z25" s="59" t="n"/>
      <c r="AA25" s="59" t="n"/>
      <c r="AB25" s="59" t="n"/>
      <c r="AC25" s="59" t="n"/>
      <c r="AD25" s="59" t="n"/>
      <c r="AE25" s="59" t="n"/>
    </row>
    <row r="26">
      <c r="A26" s="11" t="n"/>
      <c r="B26" s="11" t="n"/>
      <c r="C26" s="18" t="n"/>
      <c r="D26" s="57" t="inlineStr">
        <is>
          <t>Qtd. Planejada</t>
        </is>
      </c>
      <c r="E26" s="33" t="n">
        <v>4525.49</v>
      </c>
      <c r="F26" s="33" t="n">
        <v>5280</v>
      </c>
      <c r="G26" s="33" t="n">
        <v>4525.49</v>
      </c>
      <c r="H26" s="33" t="n">
        <v>3771.5</v>
      </c>
      <c r="I26" s="33" t="n">
        <v>4525.49</v>
      </c>
      <c r="J26" s="33" t="n">
        <v>3771.5</v>
      </c>
      <c r="K26" s="33" t="n">
        <v>4525.49</v>
      </c>
      <c r="L26" s="33" t="n">
        <v>3016.99</v>
      </c>
      <c r="M26" s="33" t="n">
        <v>3771.5</v>
      </c>
      <c r="N26" s="33" t="n">
        <v>3016.99</v>
      </c>
      <c r="O26" s="33" t="n">
        <v>4525.49</v>
      </c>
      <c r="P26" s="33" t="n">
        <v>3016.99</v>
      </c>
      <c r="Q26" s="33" t="n">
        <v>3016.99</v>
      </c>
      <c r="R26" s="33" t="n">
        <v>63.86</v>
      </c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  <c r="AB26" s="59" t="n"/>
      <c r="AC26" s="59" t="n"/>
      <c r="AD26" s="59" t="n"/>
      <c r="AE26" s="59" t="n"/>
    </row>
    <row r="27">
      <c r="A27" s="11" t="n"/>
      <c r="B27" s="11" t="n"/>
      <c r="C27" s="18" t="n"/>
      <c r="D27" s="57" t="inlineStr">
        <is>
          <t>Qtd Plan. Acumulada</t>
        </is>
      </c>
      <c r="E27" s="33" t="n">
        <v>4525.49</v>
      </c>
      <c r="F27" s="33" t="n">
        <v>9805.49</v>
      </c>
      <c r="G27" s="33" t="n">
        <v>14330.98</v>
      </c>
      <c r="H27" s="33" t="n">
        <v>18102.48</v>
      </c>
      <c r="I27" s="33" t="n">
        <v>22627.97</v>
      </c>
      <c r="J27" s="33" t="n">
        <v>26399.47</v>
      </c>
      <c r="K27" s="33" t="n">
        <v>30924.96</v>
      </c>
      <c r="L27" s="33" t="n">
        <v>33941.95</v>
      </c>
      <c r="M27" s="33" t="n">
        <v>37713.46</v>
      </c>
      <c r="N27" s="33" t="n">
        <v>40730.45</v>
      </c>
      <c r="O27" s="33" t="n">
        <v>45255.94</v>
      </c>
      <c r="P27" s="33" t="n">
        <v>48272.93</v>
      </c>
      <c r="Q27" s="33" t="n">
        <v>51289.92</v>
      </c>
      <c r="R27" s="33" t="n">
        <v>51353.78</v>
      </c>
      <c r="S27" s="33" t="n">
        <v>51353.78</v>
      </c>
      <c r="T27" s="33" t="n">
        <v>51353.78</v>
      </c>
      <c r="U27" s="33" t="n">
        <v>51353.78</v>
      </c>
      <c r="V27" s="33" t="n">
        <v>51353.78</v>
      </c>
      <c r="W27" s="33" t="n">
        <v>51353.78</v>
      </c>
      <c r="X27" s="33" t="n">
        <v>51353.78</v>
      </c>
      <c r="Y27" s="33" t="n">
        <v>51353.78</v>
      </c>
      <c r="Z27" s="33" t="n">
        <v>51353.78</v>
      </c>
      <c r="AA27" s="33" t="n">
        <v>51353.78</v>
      </c>
      <c r="AB27" s="33" t="n">
        <v>51353.78</v>
      </c>
      <c r="AC27" s="33" t="n">
        <v>51353.78</v>
      </c>
      <c r="AD27" s="33" t="n">
        <v>51353.78</v>
      </c>
      <c r="AE27" s="33" t="n">
        <v>51353.78</v>
      </c>
    </row>
    <row r="28">
      <c r="A28" s="11" t="n"/>
      <c r="B28" s="11" t="n"/>
      <c r="C28" s="18" t="n"/>
      <c r="D28" s="57" t="inlineStr">
        <is>
          <t>Eficiência</t>
        </is>
      </c>
      <c r="E28" s="60" t="n">
        <v>0.8571</v>
      </c>
      <c r="F28" s="60" t="n">
        <v>1</v>
      </c>
      <c r="G28" s="60" t="n">
        <v>0.8571</v>
      </c>
      <c r="H28" s="60" t="n">
        <v>0.7143</v>
      </c>
      <c r="I28" s="60" t="n">
        <v>0.8571</v>
      </c>
      <c r="J28" s="60" t="n">
        <v>0.7143</v>
      </c>
      <c r="K28" s="60" t="n">
        <v>0.8571</v>
      </c>
      <c r="L28" s="60" t="n">
        <v>0.5714</v>
      </c>
      <c r="M28" s="60" t="n">
        <v>0.7143</v>
      </c>
      <c r="N28" s="60" t="n">
        <v>0.5714</v>
      </c>
      <c r="O28" s="60" t="n">
        <v>0.8571</v>
      </c>
      <c r="P28" s="60" t="n">
        <v>0.5714</v>
      </c>
      <c r="Q28" s="60" t="n">
        <v>0.5714</v>
      </c>
      <c r="R28" s="60" t="n">
        <v>0.8571</v>
      </c>
      <c r="S28" s="60" t="n">
        <v>1</v>
      </c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</row>
    <row r="29">
      <c r="A29" s="61" t="inlineStr">
        <is>
          <t>eap-4_3</t>
        </is>
      </c>
      <c r="B29" s="61" t="inlineStr">
        <is>
          <t>Sub-base estabilizada granulometricamente com mistura solo brita (70% - 30%) na pista com material de jazida e brita comercial - volume geométrico</t>
        </is>
      </c>
      <c r="C29" s="62" t="inlineStr">
        <is>
          <t>m3</t>
        </is>
      </c>
      <c r="D29" s="63" t="inlineStr">
        <is>
          <t>Dias Trabalhados</t>
        </is>
      </c>
      <c r="E29" s="64" t="n">
        <v>6</v>
      </c>
      <c r="F29" s="64" t="n">
        <v>6</v>
      </c>
      <c r="G29" s="64" t="n">
        <v>6</v>
      </c>
      <c r="H29" s="64" t="n">
        <v>6</v>
      </c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</row>
    <row r="30">
      <c r="A30" s="13" t="n"/>
      <c r="B30" s="13" t="n"/>
      <c r="C30" s="27" t="n"/>
      <c r="D30" s="66" t="inlineStr">
        <is>
          <t>Nº De Equipes</t>
        </is>
      </c>
      <c r="E30" s="67" t="n">
        <v>1</v>
      </c>
      <c r="F30" s="67" t="n">
        <v>1</v>
      </c>
      <c r="G30" s="67" t="n">
        <v>1</v>
      </c>
      <c r="H30" s="67" t="n">
        <v>1</v>
      </c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  <c r="AA30" s="68" t="n"/>
      <c r="AB30" s="68" t="n"/>
      <c r="AC30" s="68" t="n"/>
      <c r="AD30" s="68" t="n"/>
      <c r="AE30" s="68" t="n"/>
    </row>
    <row r="31">
      <c r="A31" s="13" t="n"/>
      <c r="B31" s="13" t="n"/>
      <c r="C31" s="27" t="n"/>
      <c r="D31" s="66" t="inlineStr">
        <is>
          <t>Qtd. Planejada</t>
        </is>
      </c>
      <c r="E31" s="36" t="n">
        <v>2262.74</v>
      </c>
      <c r="F31" s="36" t="n">
        <v>2640</v>
      </c>
      <c r="G31" s="36" t="n">
        <v>723.61</v>
      </c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  <c r="AA31" s="68" t="n"/>
      <c r="AB31" s="68" t="n"/>
      <c r="AC31" s="68" t="n"/>
      <c r="AD31" s="68" t="n"/>
      <c r="AE31" s="68" t="n"/>
    </row>
    <row r="32">
      <c r="A32" s="13" t="n"/>
      <c r="B32" s="13" t="n"/>
      <c r="C32" s="27" t="n"/>
      <c r="D32" s="66" t="inlineStr">
        <is>
          <t>Qtd Plan. Acumulada</t>
        </is>
      </c>
      <c r="E32" s="36" t="n">
        <v>2262.74</v>
      </c>
      <c r="F32" s="36" t="n">
        <v>4902.74</v>
      </c>
      <c r="G32" s="36" t="n">
        <v>5626.36</v>
      </c>
      <c r="H32" s="36" t="n">
        <v>5626.36</v>
      </c>
      <c r="I32" s="36" t="n">
        <v>5626.36</v>
      </c>
      <c r="J32" s="36" t="n">
        <v>5626.36</v>
      </c>
      <c r="K32" s="36" t="n">
        <v>5626.36</v>
      </c>
      <c r="L32" s="36" t="n">
        <v>5626.36</v>
      </c>
      <c r="M32" s="36" t="n">
        <v>5626.36</v>
      </c>
      <c r="N32" s="36" t="n">
        <v>5626.36</v>
      </c>
      <c r="O32" s="36" t="n">
        <v>5626.36</v>
      </c>
      <c r="P32" s="36" t="n">
        <v>5626.36</v>
      </c>
      <c r="Q32" s="36" t="n">
        <v>5626.36</v>
      </c>
      <c r="R32" s="36" t="n">
        <v>5626.36</v>
      </c>
      <c r="S32" s="36" t="n">
        <v>5626.36</v>
      </c>
      <c r="T32" s="36" t="n">
        <v>5626.36</v>
      </c>
      <c r="U32" s="36" t="n">
        <v>5626.36</v>
      </c>
      <c r="V32" s="36" t="n">
        <v>5626.36</v>
      </c>
      <c r="W32" s="36" t="n">
        <v>5626.36</v>
      </c>
      <c r="X32" s="36" t="n">
        <v>5626.36</v>
      </c>
      <c r="Y32" s="36" t="n">
        <v>5626.36</v>
      </c>
      <c r="Z32" s="36" t="n">
        <v>5626.36</v>
      </c>
      <c r="AA32" s="36" t="n">
        <v>5626.36</v>
      </c>
      <c r="AB32" s="36" t="n">
        <v>5626.36</v>
      </c>
      <c r="AC32" s="36" t="n">
        <v>5626.36</v>
      </c>
      <c r="AD32" s="36" t="n">
        <v>5626.36</v>
      </c>
      <c r="AE32" s="36" t="n">
        <v>5626.36</v>
      </c>
    </row>
    <row r="33">
      <c r="A33" s="13" t="n"/>
      <c r="B33" s="13" t="n"/>
      <c r="C33" s="27" t="n"/>
      <c r="D33" s="66" t="inlineStr">
        <is>
          <t>Eficiência</t>
        </is>
      </c>
      <c r="E33" s="69" t="n">
        <v>0.8571</v>
      </c>
      <c r="F33" s="69" t="n">
        <v>1</v>
      </c>
      <c r="G33" s="69" t="n">
        <v>0.8571</v>
      </c>
      <c r="H33" s="69" t="n">
        <v>0.7143</v>
      </c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  <c r="AA33" s="68" t="n"/>
      <c r="AB33" s="68" t="n"/>
      <c r="AC33" s="68" t="n"/>
      <c r="AD33" s="68" t="n"/>
      <c r="AE33" s="68" t="n"/>
    </row>
    <row r="34">
      <c r="A34" s="20" t="inlineStr">
        <is>
          <t>eap-2_3</t>
        </is>
      </c>
      <c r="B34" s="20" t="inlineStr">
        <is>
          <t>Compactação de aterros a 100% do proctor intermediário (camada final) - volume homogeneizado (vol. geométrico x 1,25)</t>
        </is>
      </c>
      <c r="C34" s="53" t="inlineStr">
        <is>
          <t>m3</t>
        </is>
      </c>
      <c r="D34" s="54" t="inlineStr">
        <is>
          <t>Dias Trabalhados</t>
        </is>
      </c>
      <c r="E34" s="55" t="n">
        <v>6</v>
      </c>
      <c r="F34" s="55" t="n">
        <v>6</v>
      </c>
      <c r="G34" s="55" t="n">
        <v>6</v>
      </c>
      <c r="H34" s="55" t="n">
        <v>6</v>
      </c>
      <c r="I34" s="55" t="n">
        <v>6</v>
      </c>
      <c r="J34" s="55" t="n">
        <v>6</v>
      </c>
      <c r="K34" s="55" t="n">
        <v>6</v>
      </c>
      <c r="L34" s="55" t="n">
        <v>6</v>
      </c>
      <c r="M34" s="55" t="n">
        <v>6</v>
      </c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</row>
    <row r="35">
      <c r="A35" s="11" t="n"/>
      <c r="B35" s="11" t="n"/>
      <c r="C35" s="18" t="n"/>
      <c r="D35" s="57" t="inlineStr">
        <is>
          <t>Nº De Equipes</t>
        </is>
      </c>
      <c r="E35" s="58" t="n">
        <v>1</v>
      </c>
      <c r="F35" s="58" t="n">
        <v>1</v>
      </c>
      <c r="G35" s="58" t="n">
        <v>1</v>
      </c>
      <c r="H35" s="58" t="n">
        <v>1</v>
      </c>
      <c r="I35" s="58" t="n">
        <v>1</v>
      </c>
      <c r="J35" s="58" t="n">
        <v>1</v>
      </c>
      <c r="K35" s="58" t="n">
        <v>1</v>
      </c>
      <c r="L35" s="58" t="n">
        <v>1</v>
      </c>
      <c r="M35" s="58" t="n">
        <v>1</v>
      </c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</row>
    <row r="36">
      <c r="A36" s="11" t="n"/>
      <c r="B36" s="11" t="n"/>
      <c r="C36" s="18" t="n"/>
      <c r="D36" s="57" t="inlineStr">
        <is>
          <t>Qtd. Planejada</t>
        </is>
      </c>
      <c r="E36" s="33" t="n">
        <v>6669.75</v>
      </c>
      <c r="F36" s="33" t="n">
        <v>7781.76</v>
      </c>
      <c r="G36" s="33" t="n">
        <v>6669.75</v>
      </c>
      <c r="H36" s="33" t="n">
        <v>5558.51</v>
      </c>
      <c r="I36" s="33" t="n">
        <v>6669.75</v>
      </c>
      <c r="J36" s="33" t="n">
        <v>5558.51</v>
      </c>
      <c r="K36" s="33" t="n">
        <v>1513.85</v>
      </c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</row>
    <row r="37">
      <c r="A37" s="11" t="n"/>
      <c r="B37" s="11" t="n"/>
      <c r="C37" s="18" t="n"/>
      <c r="D37" s="57" t="inlineStr">
        <is>
          <t>Qtd Plan. Acumulada</t>
        </is>
      </c>
      <c r="E37" s="33" t="n">
        <v>6669.75</v>
      </c>
      <c r="F37" s="33" t="n">
        <v>14451.51</v>
      </c>
      <c r="G37" s="33" t="n">
        <v>21121.25</v>
      </c>
      <c r="H37" s="33" t="n">
        <v>26679.76</v>
      </c>
      <c r="I37" s="33" t="n">
        <v>33349.51</v>
      </c>
      <c r="J37" s="33" t="n">
        <v>38908.02</v>
      </c>
      <c r="K37" s="33" t="n">
        <v>40421.87</v>
      </c>
      <c r="L37" s="33" t="n">
        <v>40421.87</v>
      </c>
      <c r="M37" s="33" t="n">
        <v>40421.87</v>
      </c>
      <c r="N37" s="33" t="n">
        <v>40421.87</v>
      </c>
      <c r="O37" s="33" t="n">
        <v>40421.87</v>
      </c>
      <c r="P37" s="33" t="n">
        <v>40421.87</v>
      </c>
      <c r="Q37" s="33" t="n">
        <v>40421.87</v>
      </c>
      <c r="R37" s="33" t="n">
        <v>40421.87</v>
      </c>
      <c r="S37" s="33" t="n">
        <v>40421.87</v>
      </c>
      <c r="T37" s="33" t="n">
        <v>40421.87</v>
      </c>
      <c r="U37" s="33" t="n">
        <v>40421.87</v>
      </c>
      <c r="V37" s="33" t="n">
        <v>40421.87</v>
      </c>
      <c r="W37" s="33" t="n">
        <v>40421.87</v>
      </c>
      <c r="X37" s="33" t="n">
        <v>40421.87</v>
      </c>
      <c r="Y37" s="33" t="n">
        <v>40421.87</v>
      </c>
      <c r="Z37" s="33" t="n">
        <v>40421.87</v>
      </c>
      <c r="AA37" s="33" t="n">
        <v>40421.87</v>
      </c>
      <c r="AB37" s="33" t="n">
        <v>40421.87</v>
      </c>
      <c r="AC37" s="33" t="n">
        <v>40421.87</v>
      </c>
      <c r="AD37" s="33" t="n">
        <v>40421.87</v>
      </c>
      <c r="AE37" s="33" t="n">
        <v>40421.87</v>
      </c>
    </row>
    <row r="38">
      <c r="A38" s="11" t="n"/>
      <c r="B38" s="11" t="n"/>
      <c r="C38" s="18" t="n"/>
      <c r="D38" s="57" t="inlineStr">
        <is>
          <t>Eficiência</t>
        </is>
      </c>
      <c r="E38" s="60" t="n">
        <v>0.8571</v>
      </c>
      <c r="F38" s="60" t="n">
        <v>1</v>
      </c>
      <c r="G38" s="60" t="n">
        <v>0.8571</v>
      </c>
      <c r="H38" s="60" t="n">
        <v>0.7143</v>
      </c>
      <c r="I38" s="60" t="n">
        <v>0.8571</v>
      </c>
      <c r="J38" s="60" t="n">
        <v>0.7143</v>
      </c>
      <c r="K38" s="60" t="n">
        <v>0.8571</v>
      </c>
      <c r="L38" s="60" t="n">
        <v>0.5714</v>
      </c>
      <c r="M38" s="60" t="n">
        <v>0.7143</v>
      </c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  <c r="AD38" s="59" t="n"/>
      <c r="AE38" s="59" t="n"/>
    </row>
    <row r="39">
      <c r="A39" s="61" t="inlineStr">
        <is>
          <t>eap-3_1</t>
        </is>
      </c>
      <c r="B39" s="61" t="inlineStr">
        <is>
          <t>Demolição mecânica de pavimento</t>
        </is>
      </c>
      <c r="C39" s="62" t="inlineStr">
        <is>
          <t>m3</t>
        </is>
      </c>
      <c r="D39" s="63" t="inlineStr">
        <is>
          <t>Dias Trabalhados</t>
        </is>
      </c>
      <c r="E39" s="64" t="n">
        <v>6</v>
      </c>
      <c r="F39" s="64" t="n">
        <v>6</v>
      </c>
      <c r="G39" s="64" t="n">
        <v>6</v>
      </c>
      <c r="H39" s="64" t="n">
        <v>6</v>
      </c>
      <c r="I39" s="64" t="n">
        <v>6</v>
      </c>
      <c r="J39" s="64" t="n">
        <v>6</v>
      </c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</row>
    <row r="40">
      <c r="A40" s="13" t="n"/>
      <c r="B40" s="13" t="n"/>
      <c r="C40" s="27" t="n"/>
      <c r="D40" s="66" t="inlineStr">
        <is>
          <t>Nº De Equipes</t>
        </is>
      </c>
      <c r="E40" s="67" t="n">
        <v>1</v>
      </c>
      <c r="F40" s="67" t="n">
        <v>1</v>
      </c>
      <c r="G40" s="67" t="n">
        <v>1</v>
      </c>
      <c r="H40" s="67" t="n">
        <v>1</v>
      </c>
      <c r="I40" s="67" t="n">
        <v>1</v>
      </c>
      <c r="J40" s="67" t="n">
        <v>1</v>
      </c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  <c r="AD40" s="68" t="n"/>
      <c r="AE40" s="68" t="n"/>
    </row>
    <row r="41">
      <c r="A41" s="13" t="n"/>
      <c r="B41" s="13" t="n"/>
      <c r="C41" s="27" t="n"/>
      <c r="D41" s="66" t="inlineStr">
        <is>
          <t>Qtd. Planejada</t>
        </is>
      </c>
      <c r="E41" s="36" t="n">
        <v>1073.77</v>
      </c>
      <c r="F41" s="36" t="n">
        <v>1252.8</v>
      </c>
      <c r="G41" s="36" t="n">
        <v>1073.77</v>
      </c>
      <c r="H41" s="36" t="n">
        <v>799.65</v>
      </c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  <c r="AA41" s="68" t="n"/>
      <c r="AB41" s="68" t="n"/>
      <c r="AC41" s="68" t="n"/>
      <c r="AD41" s="68" t="n"/>
      <c r="AE41" s="68" t="n"/>
    </row>
    <row r="42">
      <c r="A42" s="13" t="n"/>
      <c r="B42" s="13" t="n"/>
      <c r="C42" s="27" t="n"/>
      <c r="D42" s="66" t="inlineStr">
        <is>
          <t>Qtd Plan. Acumulada</t>
        </is>
      </c>
      <c r="E42" s="36" t="n">
        <v>1073.77</v>
      </c>
      <c r="F42" s="36" t="n">
        <v>2326.57</v>
      </c>
      <c r="G42" s="36" t="n">
        <v>3400.35</v>
      </c>
      <c r="H42" s="36" t="n">
        <v>4200</v>
      </c>
      <c r="I42" s="36" t="n">
        <v>4200</v>
      </c>
      <c r="J42" s="36" t="n">
        <v>4200</v>
      </c>
      <c r="K42" s="36" t="n">
        <v>4200</v>
      </c>
      <c r="L42" s="36" t="n">
        <v>4200</v>
      </c>
      <c r="M42" s="36" t="n">
        <v>4200</v>
      </c>
      <c r="N42" s="36" t="n">
        <v>4200</v>
      </c>
      <c r="O42" s="36" t="n">
        <v>4200</v>
      </c>
      <c r="P42" s="36" t="n">
        <v>4200</v>
      </c>
      <c r="Q42" s="36" t="n">
        <v>4200</v>
      </c>
      <c r="R42" s="36" t="n">
        <v>4200</v>
      </c>
      <c r="S42" s="36" t="n">
        <v>4200</v>
      </c>
      <c r="T42" s="36" t="n">
        <v>4200</v>
      </c>
      <c r="U42" s="36" t="n">
        <v>4200</v>
      </c>
      <c r="V42" s="36" t="n">
        <v>4200</v>
      </c>
      <c r="W42" s="36" t="n">
        <v>4200</v>
      </c>
      <c r="X42" s="36" t="n">
        <v>4200</v>
      </c>
      <c r="Y42" s="36" t="n">
        <v>4200</v>
      </c>
      <c r="Z42" s="36" t="n">
        <v>4200</v>
      </c>
      <c r="AA42" s="36" t="n">
        <v>4200</v>
      </c>
      <c r="AB42" s="36" t="n">
        <v>4200</v>
      </c>
      <c r="AC42" s="36" t="n">
        <v>4200</v>
      </c>
      <c r="AD42" s="36" t="n">
        <v>4200</v>
      </c>
      <c r="AE42" s="36" t="n">
        <v>4200</v>
      </c>
    </row>
    <row r="43">
      <c r="A43" s="13" t="n"/>
      <c r="B43" s="13" t="n"/>
      <c r="C43" s="27" t="n"/>
      <c r="D43" s="66" t="inlineStr">
        <is>
          <t>Eficiência</t>
        </is>
      </c>
      <c r="E43" s="69" t="n">
        <v>0.8571</v>
      </c>
      <c r="F43" s="69" t="n">
        <v>1</v>
      </c>
      <c r="G43" s="69" t="n">
        <v>0.8571</v>
      </c>
      <c r="H43" s="69" t="n">
        <v>0.7143</v>
      </c>
      <c r="I43" s="69" t="n">
        <v>0.8571</v>
      </c>
      <c r="J43" s="69" t="n">
        <v>0.7143</v>
      </c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  <c r="AA43" s="68" t="n"/>
      <c r="AB43" s="68" t="n"/>
      <c r="AC43" s="68" t="n"/>
      <c r="AD43" s="68" t="n"/>
      <c r="AE43" s="68" t="n"/>
    </row>
    <row r="44">
      <c r="A44" s="20" t="inlineStr">
        <is>
          <t>eap-4_1</t>
        </is>
      </c>
      <c r="B44" s="20" t="inlineStr">
        <is>
          <t>Regularização do subleito</t>
        </is>
      </c>
      <c r="C44" s="53" t="inlineStr">
        <is>
          <t>m2</t>
        </is>
      </c>
      <c r="D44" s="54" t="inlineStr">
        <is>
          <t>Dias Trabalhados</t>
        </is>
      </c>
      <c r="E44" s="55" t="n">
        <v>6</v>
      </c>
      <c r="F44" s="55" t="n">
        <v>6</v>
      </c>
      <c r="G44" s="55" t="n">
        <v>6</v>
      </c>
      <c r="H44" s="55" t="n">
        <v>6</v>
      </c>
      <c r="I44" s="55" t="n">
        <v>6</v>
      </c>
      <c r="J44" s="55" t="n">
        <v>6</v>
      </c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</row>
    <row r="45">
      <c r="A45" s="11" t="n"/>
      <c r="B45" s="11" t="n"/>
      <c r="C45" s="18" t="n"/>
      <c r="D45" s="57" t="inlineStr">
        <is>
          <t>Nº De Equipes</t>
        </is>
      </c>
      <c r="E45" s="58" t="n">
        <v>1</v>
      </c>
      <c r="F45" s="58" t="n">
        <v>1</v>
      </c>
      <c r="G45" s="58" t="n">
        <v>1</v>
      </c>
      <c r="H45" s="58" t="n">
        <v>1</v>
      </c>
      <c r="I45" s="58" t="n">
        <v>1</v>
      </c>
      <c r="J45" s="58" t="n">
        <v>1</v>
      </c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  <c r="AC45" s="59" t="n"/>
      <c r="AD45" s="59" t="n"/>
      <c r="AE45" s="59" t="n"/>
    </row>
    <row r="46">
      <c r="A46" s="11" t="n"/>
      <c r="B46" s="11" t="n"/>
      <c r="C46" s="18" t="n"/>
      <c r="D46" s="57" t="inlineStr">
        <is>
          <t>Qtd. Planejada</t>
        </is>
      </c>
      <c r="E46" s="33" t="n">
        <v>9050.98</v>
      </c>
      <c r="F46" s="33" t="n">
        <v>10560</v>
      </c>
      <c r="G46" s="33" t="n">
        <v>9050.98</v>
      </c>
      <c r="H46" s="33" t="n">
        <v>7543.01</v>
      </c>
      <c r="I46" s="33" t="n">
        <v>1304.08</v>
      </c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</row>
    <row r="47">
      <c r="A47" s="11" t="n"/>
      <c r="B47" s="11" t="n"/>
      <c r="C47" s="18" t="n"/>
      <c r="D47" s="57" t="inlineStr">
        <is>
          <t>Qtd Plan. Acumulada</t>
        </is>
      </c>
      <c r="E47" s="33" t="n">
        <v>9050.98</v>
      </c>
      <c r="F47" s="33" t="n">
        <v>19610.98</v>
      </c>
      <c r="G47" s="33" t="n">
        <v>28661.95</v>
      </c>
      <c r="H47" s="33" t="n">
        <v>36204.96</v>
      </c>
      <c r="I47" s="33" t="n">
        <v>37509.04</v>
      </c>
      <c r="J47" s="33" t="n">
        <v>37509.04</v>
      </c>
      <c r="K47" s="33" t="n">
        <v>37509.04</v>
      </c>
      <c r="L47" s="33" t="n">
        <v>37509.04</v>
      </c>
      <c r="M47" s="33" t="n">
        <v>37509.04</v>
      </c>
      <c r="N47" s="33" t="n">
        <v>37509.04</v>
      </c>
      <c r="O47" s="33" t="n">
        <v>37509.04</v>
      </c>
      <c r="P47" s="33" t="n">
        <v>37509.04</v>
      </c>
      <c r="Q47" s="33" t="n">
        <v>37509.04</v>
      </c>
      <c r="R47" s="33" t="n">
        <v>37509.04</v>
      </c>
      <c r="S47" s="33" t="n">
        <v>37509.04</v>
      </c>
      <c r="T47" s="33" t="n">
        <v>37509.04</v>
      </c>
      <c r="U47" s="33" t="n">
        <v>37509.04</v>
      </c>
      <c r="V47" s="33" t="n">
        <v>37509.04</v>
      </c>
      <c r="W47" s="33" t="n">
        <v>37509.04</v>
      </c>
      <c r="X47" s="33" t="n">
        <v>37509.04</v>
      </c>
      <c r="Y47" s="33" t="n">
        <v>37509.04</v>
      </c>
      <c r="Z47" s="33" t="n">
        <v>37509.04</v>
      </c>
      <c r="AA47" s="33" t="n">
        <v>37509.04</v>
      </c>
      <c r="AB47" s="33" t="n">
        <v>37509.04</v>
      </c>
      <c r="AC47" s="33" t="n">
        <v>37509.04</v>
      </c>
      <c r="AD47" s="33" t="n">
        <v>37509.04</v>
      </c>
      <c r="AE47" s="33" t="n">
        <v>37509.04</v>
      </c>
    </row>
    <row r="48">
      <c r="A48" s="11" t="n"/>
      <c r="B48" s="11" t="n"/>
      <c r="C48" s="18" t="n"/>
      <c r="D48" s="57" t="inlineStr">
        <is>
          <t>Eficiência</t>
        </is>
      </c>
      <c r="E48" s="60" t="n">
        <v>0.8571</v>
      </c>
      <c r="F48" s="60" t="n">
        <v>1</v>
      </c>
      <c r="G48" s="60" t="n">
        <v>0.8571</v>
      </c>
      <c r="H48" s="60" t="n">
        <v>0.7143</v>
      </c>
      <c r="I48" s="60" t="n">
        <v>0.8571</v>
      </c>
      <c r="J48" s="60" t="n">
        <v>0.7143</v>
      </c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  <c r="AD48" s="59" t="n"/>
      <c r="AE48" s="59" t="n"/>
    </row>
    <row r="49">
      <c r="A49" s="61" t="inlineStr">
        <is>
          <t>eap-4_5</t>
        </is>
      </c>
      <c r="B49" s="61" t="inlineStr">
        <is>
          <t>Imprimação com asfalto diluído (EAI)</t>
        </is>
      </c>
      <c r="C49" s="62" t="inlineStr">
        <is>
          <t>m2</t>
        </is>
      </c>
      <c r="D49" s="63" t="inlineStr">
        <is>
          <t>Dias Trabalhados</t>
        </is>
      </c>
      <c r="E49" s="64" t="n">
        <v>6</v>
      </c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E49" s="65" t="n"/>
    </row>
    <row r="50">
      <c r="A50" s="13" t="n"/>
      <c r="B50" s="13" t="n"/>
      <c r="C50" s="27" t="n"/>
      <c r="D50" s="66" t="inlineStr">
        <is>
          <t>Nº De Equipes</t>
        </is>
      </c>
      <c r="E50" s="67" t="n">
        <v>1</v>
      </c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</row>
    <row r="51">
      <c r="A51" s="13" t="n"/>
      <c r="B51" s="13" t="n"/>
      <c r="C51" s="27" t="n"/>
      <c r="D51" s="66" t="inlineStr">
        <is>
          <t>Qtd. Planejada</t>
        </is>
      </c>
      <c r="E51" s="36" t="n">
        <v>35842.04</v>
      </c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  <c r="AA51" s="68" t="n"/>
      <c r="AB51" s="68" t="n"/>
      <c r="AC51" s="68" t="n"/>
      <c r="AD51" s="68" t="n"/>
      <c r="AE51" s="68" t="n"/>
    </row>
    <row r="52">
      <c r="A52" s="13" t="n"/>
      <c r="B52" s="13" t="n"/>
      <c r="C52" s="27" t="n"/>
      <c r="D52" s="66" t="inlineStr">
        <is>
          <t>Qtd Plan. Acumulada</t>
        </is>
      </c>
      <c r="E52" s="36" t="n">
        <v>35842.04</v>
      </c>
      <c r="F52" s="36" t="n">
        <v>35842.04</v>
      </c>
      <c r="G52" s="36" t="n">
        <v>35842.04</v>
      </c>
      <c r="H52" s="36" t="n">
        <v>35842.04</v>
      </c>
      <c r="I52" s="36" t="n">
        <v>35842.04</v>
      </c>
      <c r="J52" s="36" t="n">
        <v>35842.04</v>
      </c>
      <c r="K52" s="36" t="n">
        <v>35842.04</v>
      </c>
      <c r="L52" s="36" t="n">
        <v>35842.04</v>
      </c>
      <c r="M52" s="36" t="n">
        <v>35842.04</v>
      </c>
      <c r="N52" s="36" t="n">
        <v>35842.04</v>
      </c>
      <c r="O52" s="36" t="n">
        <v>35842.04</v>
      </c>
      <c r="P52" s="36" t="n">
        <v>35842.04</v>
      </c>
      <c r="Q52" s="36" t="n">
        <v>35842.04</v>
      </c>
      <c r="R52" s="36" t="n">
        <v>35842.04</v>
      </c>
      <c r="S52" s="36" t="n">
        <v>35842.04</v>
      </c>
      <c r="T52" s="36" t="n">
        <v>35842.04</v>
      </c>
      <c r="U52" s="36" t="n">
        <v>35842.04</v>
      </c>
      <c r="V52" s="36" t="n">
        <v>35842.04</v>
      </c>
      <c r="W52" s="36" t="n">
        <v>35842.04</v>
      </c>
      <c r="X52" s="36" t="n">
        <v>35842.04</v>
      </c>
      <c r="Y52" s="36" t="n">
        <v>35842.04</v>
      </c>
      <c r="Z52" s="36" t="n">
        <v>35842.04</v>
      </c>
      <c r="AA52" s="36" t="n">
        <v>35842.04</v>
      </c>
      <c r="AB52" s="36" t="n">
        <v>35842.04</v>
      </c>
      <c r="AC52" s="36" t="n">
        <v>35842.04</v>
      </c>
      <c r="AD52" s="36" t="n">
        <v>35842.04</v>
      </c>
      <c r="AE52" s="36" t="n">
        <v>35842.04</v>
      </c>
    </row>
    <row r="53">
      <c r="A53" s="13" t="n"/>
      <c r="B53" s="13" t="n"/>
      <c r="C53" s="27" t="n"/>
      <c r="D53" s="66" t="inlineStr">
        <is>
          <t>Eficiência</t>
        </is>
      </c>
      <c r="E53" s="69" t="n">
        <v>0.8571</v>
      </c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  <c r="AA53" s="68" t="n"/>
      <c r="AB53" s="68" t="n"/>
      <c r="AC53" s="68" t="n"/>
      <c r="AD53" s="68" t="n"/>
      <c r="AE53" s="68" t="n"/>
    </row>
    <row r="54">
      <c r="A54" s="20" t="inlineStr">
        <is>
          <t>eap-4_2</t>
        </is>
      </c>
      <c r="B54" s="20" t="inlineStr">
        <is>
          <t>Reforço de subleito com solo de jazida selecionada - volume geométrico</t>
        </is>
      </c>
      <c r="C54" s="53" t="inlineStr">
        <is>
          <t>m3</t>
        </is>
      </c>
      <c r="D54" s="54" t="inlineStr">
        <is>
          <t>Dias Trabalhados</t>
        </is>
      </c>
      <c r="E54" s="55" t="n">
        <v>6</v>
      </c>
      <c r="F54" s="55" t="n">
        <v>6</v>
      </c>
      <c r="G54" s="55" t="n">
        <v>6</v>
      </c>
      <c r="H54" s="55" t="n">
        <v>6</v>
      </c>
      <c r="I54" s="55" t="n">
        <v>6</v>
      </c>
      <c r="J54" s="55" t="n">
        <v>6</v>
      </c>
      <c r="K54" s="55" t="n">
        <v>6</v>
      </c>
      <c r="L54" s="55" t="n">
        <v>6</v>
      </c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</row>
    <row r="55">
      <c r="A55" s="11" t="n"/>
      <c r="B55" s="11" t="n"/>
      <c r="C55" s="18" t="n"/>
      <c r="D55" s="57" t="inlineStr">
        <is>
          <t>Nº De Equipes</t>
        </is>
      </c>
      <c r="E55" s="58" t="n">
        <v>1</v>
      </c>
      <c r="F55" s="58" t="n">
        <v>1</v>
      </c>
      <c r="G55" s="58" t="n">
        <v>1</v>
      </c>
      <c r="H55" s="58" t="n">
        <v>1</v>
      </c>
      <c r="I55" s="58" t="n">
        <v>1</v>
      </c>
      <c r="J55" s="58" t="n">
        <v>1</v>
      </c>
      <c r="K55" s="58" t="n">
        <v>1</v>
      </c>
      <c r="L55" s="58" t="n">
        <v>1</v>
      </c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  <c r="AC55" s="59" t="n"/>
      <c r="AD55" s="59" t="n"/>
      <c r="AE55" s="59" t="n"/>
    </row>
    <row r="56">
      <c r="A56" s="11" t="n"/>
      <c r="B56" s="11" t="n"/>
      <c r="C56" s="18" t="n"/>
      <c r="D56" s="57" t="inlineStr">
        <is>
          <t>Qtd. Planejada</t>
        </is>
      </c>
      <c r="E56" s="33" t="n">
        <v>4525.49</v>
      </c>
      <c r="F56" s="33" t="n">
        <v>5280</v>
      </c>
      <c r="G56" s="33" t="n">
        <v>4525.49</v>
      </c>
      <c r="H56" s="33" t="n">
        <v>3771.5</v>
      </c>
      <c r="I56" s="33" t="n">
        <v>4402.94</v>
      </c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</row>
    <row r="57">
      <c r="A57" s="11" t="n"/>
      <c r="B57" s="11" t="n"/>
      <c r="C57" s="18" t="n"/>
      <c r="D57" s="57" t="inlineStr">
        <is>
          <t>Qtd Plan. Acumulada</t>
        </is>
      </c>
      <c r="E57" s="33" t="n">
        <v>4525.49</v>
      </c>
      <c r="F57" s="33" t="n">
        <v>9805.49</v>
      </c>
      <c r="G57" s="33" t="n">
        <v>14330.98</v>
      </c>
      <c r="H57" s="33" t="n">
        <v>18102.48</v>
      </c>
      <c r="I57" s="33" t="n">
        <v>22505.42</v>
      </c>
      <c r="J57" s="33" t="n">
        <v>22505.42</v>
      </c>
      <c r="K57" s="33" t="n">
        <v>22505.42</v>
      </c>
      <c r="L57" s="33" t="n">
        <v>22505.42</v>
      </c>
      <c r="M57" s="33" t="n">
        <v>22505.42</v>
      </c>
      <c r="N57" s="33" t="n">
        <v>22505.42</v>
      </c>
      <c r="O57" s="33" t="n">
        <v>22505.42</v>
      </c>
      <c r="P57" s="33" t="n">
        <v>22505.42</v>
      </c>
      <c r="Q57" s="33" t="n">
        <v>22505.42</v>
      </c>
      <c r="R57" s="33" t="n">
        <v>22505.42</v>
      </c>
      <c r="S57" s="33" t="n">
        <v>22505.42</v>
      </c>
      <c r="T57" s="33" t="n">
        <v>22505.42</v>
      </c>
      <c r="U57" s="33" t="n">
        <v>22505.42</v>
      </c>
      <c r="V57" s="33" t="n">
        <v>22505.42</v>
      </c>
      <c r="W57" s="33" t="n">
        <v>22505.42</v>
      </c>
      <c r="X57" s="33" t="n">
        <v>22505.42</v>
      </c>
      <c r="Y57" s="33" t="n">
        <v>22505.42</v>
      </c>
      <c r="Z57" s="33" t="n">
        <v>22505.42</v>
      </c>
      <c r="AA57" s="33" t="n">
        <v>22505.42</v>
      </c>
      <c r="AB57" s="33" t="n">
        <v>22505.42</v>
      </c>
      <c r="AC57" s="33" t="n">
        <v>22505.42</v>
      </c>
      <c r="AD57" s="33" t="n">
        <v>22505.42</v>
      </c>
      <c r="AE57" s="33" t="n">
        <v>22505.42</v>
      </c>
    </row>
    <row r="58">
      <c r="A58" s="11" t="n"/>
      <c r="B58" s="11" t="n"/>
      <c r="C58" s="18" t="n"/>
      <c r="D58" s="57" t="inlineStr">
        <is>
          <t>Eficiência</t>
        </is>
      </c>
      <c r="E58" s="60" t="n">
        <v>0.8571</v>
      </c>
      <c r="F58" s="60" t="n">
        <v>1</v>
      </c>
      <c r="G58" s="60" t="n">
        <v>0.8571</v>
      </c>
      <c r="H58" s="60" t="n">
        <v>0.7143</v>
      </c>
      <c r="I58" s="60" t="n">
        <v>0.8571</v>
      </c>
      <c r="J58" s="60" t="n">
        <v>0.7143</v>
      </c>
      <c r="K58" s="60" t="n">
        <v>0.8571</v>
      </c>
      <c r="L58" s="60" t="n">
        <v>0.5714</v>
      </c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  <c r="AC58" s="59" t="n"/>
      <c r="AD58" s="59" t="n"/>
      <c r="AE58" s="59" t="n"/>
    </row>
    <row r="59">
      <c r="A59" s="61" t="inlineStr">
        <is>
          <t>eap-4_6</t>
        </is>
      </c>
      <c r="B59" s="61" t="inlineStr">
        <is>
          <t>Pintura de ligação (RR1C)</t>
        </is>
      </c>
      <c r="C59" s="62" t="inlineStr">
        <is>
          <t>m2</t>
        </is>
      </c>
      <c r="D59" s="63" t="inlineStr">
        <is>
          <t>Dias Trabalhados</t>
        </is>
      </c>
      <c r="E59" s="64" t="n">
        <v>6</v>
      </c>
      <c r="F59" s="64" t="n">
        <v>6</v>
      </c>
      <c r="G59" s="64" t="n">
        <v>6</v>
      </c>
      <c r="H59" s="64" t="n">
        <v>6</v>
      </c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  <c r="AA59" s="65" t="n"/>
      <c r="AB59" s="65" t="n"/>
      <c r="AC59" s="65" t="n"/>
      <c r="AD59" s="65" t="n"/>
      <c r="AE59" s="65" t="n"/>
    </row>
    <row r="60">
      <c r="A60" s="13" t="n"/>
      <c r="B60" s="13" t="n"/>
      <c r="C60" s="27" t="n"/>
      <c r="D60" s="66" t="inlineStr">
        <is>
          <t>Nº De Equipes</t>
        </is>
      </c>
      <c r="E60" s="67" t="n">
        <v>1</v>
      </c>
      <c r="F60" s="67" t="n">
        <v>1</v>
      </c>
      <c r="G60" s="67" t="n">
        <v>1</v>
      </c>
      <c r="H60" s="67" t="n">
        <v>1</v>
      </c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  <c r="AA60" s="68" t="n"/>
      <c r="AB60" s="68" t="n"/>
      <c r="AC60" s="68" t="n"/>
      <c r="AD60" s="68" t="n"/>
      <c r="AE60" s="68" t="n"/>
    </row>
    <row r="61">
      <c r="A61" s="13" t="n"/>
      <c r="B61" s="13" t="n"/>
      <c r="C61" s="27" t="n"/>
      <c r="D61" s="66" t="inlineStr">
        <is>
          <t>Qtd. Planejada</t>
        </is>
      </c>
      <c r="E61" s="36" t="n">
        <v>33598.46</v>
      </c>
      <c r="F61" s="36" t="n">
        <v>38085.62</v>
      </c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  <c r="AA61" s="68" t="n"/>
      <c r="AB61" s="68" t="n"/>
      <c r="AC61" s="68" t="n"/>
      <c r="AD61" s="68" t="n"/>
      <c r="AE61" s="68" t="n"/>
    </row>
    <row r="62">
      <c r="A62" s="13" t="n"/>
      <c r="B62" s="13" t="n"/>
      <c r="C62" s="27" t="n"/>
      <c r="D62" s="66" t="inlineStr">
        <is>
          <t>Qtd Plan. Acumulada</t>
        </is>
      </c>
      <c r="E62" s="36" t="n">
        <v>33598.46</v>
      </c>
      <c r="F62" s="36" t="n">
        <v>71684.08</v>
      </c>
      <c r="G62" s="36" t="n">
        <v>71684.08</v>
      </c>
      <c r="H62" s="36" t="n">
        <v>71684.08</v>
      </c>
      <c r="I62" s="36" t="n">
        <v>71684.08</v>
      </c>
      <c r="J62" s="36" t="n">
        <v>71684.08</v>
      </c>
      <c r="K62" s="36" t="n">
        <v>71684.08</v>
      </c>
      <c r="L62" s="36" t="n">
        <v>71684.08</v>
      </c>
      <c r="M62" s="36" t="n">
        <v>71684.08</v>
      </c>
      <c r="N62" s="36" t="n">
        <v>71684.08</v>
      </c>
      <c r="O62" s="36" t="n">
        <v>71684.08</v>
      </c>
      <c r="P62" s="36" t="n">
        <v>71684.08</v>
      </c>
      <c r="Q62" s="36" t="n">
        <v>71684.08</v>
      </c>
      <c r="R62" s="36" t="n">
        <v>71684.08</v>
      </c>
      <c r="S62" s="36" t="n">
        <v>71684.08</v>
      </c>
      <c r="T62" s="36" t="n">
        <v>71684.08</v>
      </c>
      <c r="U62" s="36" t="n">
        <v>71684.08</v>
      </c>
      <c r="V62" s="36" t="n">
        <v>71684.08</v>
      </c>
      <c r="W62" s="36" t="n">
        <v>71684.08</v>
      </c>
      <c r="X62" s="36" t="n">
        <v>71684.08</v>
      </c>
      <c r="Y62" s="36" t="n">
        <v>71684.08</v>
      </c>
      <c r="Z62" s="36" t="n">
        <v>71684.08</v>
      </c>
      <c r="AA62" s="36" t="n">
        <v>71684.08</v>
      </c>
      <c r="AB62" s="36" t="n">
        <v>71684.08</v>
      </c>
      <c r="AC62" s="36" t="n">
        <v>71684.08</v>
      </c>
      <c r="AD62" s="36" t="n">
        <v>71684.08</v>
      </c>
      <c r="AE62" s="36" t="n">
        <v>71684.08</v>
      </c>
    </row>
    <row r="63">
      <c r="A63" s="13" t="n"/>
      <c r="B63" s="13" t="n"/>
      <c r="C63" s="27" t="n"/>
      <c r="D63" s="66" t="inlineStr">
        <is>
          <t>Eficiência</t>
        </is>
      </c>
      <c r="E63" s="69" t="n">
        <v>0.8571</v>
      </c>
      <c r="F63" s="69" t="n">
        <v>1</v>
      </c>
      <c r="G63" s="69" t="n">
        <v>0.8571</v>
      </c>
      <c r="H63" s="69" t="n">
        <v>0.7143</v>
      </c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  <c r="AA63" s="68" t="n"/>
      <c r="AB63" s="68" t="n"/>
      <c r="AC63" s="68" t="n"/>
      <c r="AD63" s="68" t="n"/>
      <c r="AE63" s="68" t="n"/>
    </row>
    <row r="64">
      <c r="A64" s="20" t="inlineStr">
        <is>
          <t>eap-1_2</t>
        </is>
      </c>
      <c r="B64" s="20" t="inlineStr">
        <is>
          <t>Transporte de solo excedente com caminhão basculante de 14 m3 (peso específico de transporte de 1,8 g/cm3) - dmt de até 3,0 km (interno à planta)</t>
        </is>
      </c>
      <c r="C64" s="53" t="inlineStr">
        <is>
          <t>m3</t>
        </is>
      </c>
      <c r="D64" s="54" t="inlineStr">
        <is>
          <t>Dias Trabalhados</t>
        </is>
      </c>
      <c r="E64" s="55" t="n">
        <v>6</v>
      </c>
      <c r="F64" s="55" t="n">
        <v>6</v>
      </c>
      <c r="G64" s="55" t="n">
        <v>6</v>
      </c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</row>
    <row r="65">
      <c r="A65" s="11" t="n"/>
      <c r="B65" s="11" t="n"/>
      <c r="C65" s="18" t="n"/>
      <c r="D65" s="57" t="inlineStr">
        <is>
          <t>Nº De Equipes</t>
        </is>
      </c>
      <c r="E65" s="58" t="n">
        <v>1</v>
      </c>
      <c r="F65" s="58" t="n">
        <v>1</v>
      </c>
      <c r="G65" s="58" t="n">
        <v>1</v>
      </c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</row>
    <row r="66">
      <c r="A66" s="11" t="n"/>
      <c r="B66" s="11" t="n"/>
      <c r="C66" s="18" t="n"/>
      <c r="D66" s="57" t="inlineStr">
        <is>
          <t>Qtd. Planejada</t>
        </is>
      </c>
      <c r="E66" s="33" t="n">
        <v>9834.299999999999</v>
      </c>
      <c r="F66" s="33" t="n">
        <v>5765.7</v>
      </c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  <c r="AD66" s="59" t="n"/>
      <c r="AE66" s="59" t="n"/>
    </row>
    <row r="67">
      <c r="A67" s="11" t="n"/>
      <c r="B67" s="11" t="n"/>
      <c r="C67" s="18" t="n"/>
      <c r="D67" s="57" t="inlineStr">
        <is>
          <t>Qtd Plan. Acumulada</t>
        </is>
      </c>
      <c r="E67" s="33" t="n">
        <v>9834.299999999999</v>
      </c>
      <c r="F67" s="33" t="n">
        <v>15600</v>
      </c>
      <c r="G67" s="33" t="n">
        <v>15600</v>
      </c>
      <c r="H67" s="33" t="n">
        <v>15600</v>
      </c>
      <c r="I67" s="33" t="n">
        <v>15600</v>
      </c>
      <c r="J67" s="33" t="n">
        <v>15600</v>
      </c>
      <c r="K67" s="33" t="n">
        <v>15600</v>
      </c>
      <c r="L67" s="33" t="n">
        <v>15600</v>
      </c>
      <c r="M67" s="33" t="n">
        <v>15600</v>
      </c>
      <c r="N67" s="33" t="n">
        <v>15600</v>
      </c>
      <c r="O67" s="33" t="n">
        <v>15600</v>
      </c>
      <c r="P67" s="33" t="n">
        <v>15600</v>
      </c>
      <c r="Q67" s="33" t="n">
        <v>15600</v>
      </c>
      <c r="R67" s="33" t="n">
        <v>15600</v>
      </c>
      <c r="S67" s="33" t="n">
        <v>15600</v>
      </c>
      <c r="T67" s="33" t="n">
        <v>15600</v>
      </c>
      <c r="U67" s="33" t="n">
        <v>15600</v>
      </c>
      <c r="V67" s="33" t="n">
        <v>15600</v>
      </c>
      <c r="W67" s="33" t="n">
        <v>15600</v>
      </c>
      <c r="X67" s="33" t="n">
        <v>15600</v>
      </c>
      <c r="Y67" s="33" t="n">
        <v>15600</v>
      </c>
      <c r="Z67" s="33" t="n">
        <v>15600</v>
      </c>
      <c r="AA67" s="33" t="n">
        <v>15600</v>
      </c>
      <c r="AB67" s="33" t="n">
        <v>15600</v>
      </c>
      <c r="AC67" s="33" t="n">
        <v>15600</v>
      </c>
      <c r="AD67" s="33" t="n">
        <v>15600</v>
      </c>
      <c r="AE67" s="33" t="n">
        <v>15600</v>
      </c>
    </row>
    <row r="68">
      <c r="A68" s="11" t="n"/>
      <c r="B68" s="11" t="n"/>
      <c r="C68" s="18" t="n"/>
      <c r="D68" s="57" t="inlineStr">
        <is>
          <t>Eficiência</t>
        </is>
      </c>
      <c r="E68" s="60" t="n">
        <v>0.8571</v>
      </c>
      <c r="F68" s="60" t="n">
        <v>1</v>
      </c>
      <c r="G68" s="60" t="n">
        <v>0.8571</v>
      </c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  <c r="AD68" s="59" t="n"/>
      <c r="AE68" s="59" t="n"/>
    </row>
    <row r="69">
      <c r="A69" s="61" t="inlineStr">
        <is>
          <t>eap-1_3</t>
        </is>
      </c>
      <c r="B69" s="61" t="inlineStr">
        <is>
          <t>Regularização de bota-fora com espalhamento e compactação</t>
        </is>
      </c>
      <c r="C69" s="62" t="inlineStr">
        <is>
          <t>m3</t>
        </is>
      </c>
      <c r="D69" s="63" t="inlineStr">
        <is>
          <t>Dias Trabalhados</t>
        </is>
      </c>
      <c r="E69" s="64" t="n">
        <v>6</v>
      </c>
      <c r="F69" s="64" t="n">
        <v>6</v>
      </c>
      <c r="G69" s="64" t="n">
        <v>6</v>
      </c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  <c r="AA69" s="65" t="n"/>
      <c r="AB69" s="65" t="n"/>
      <c r="AC69" s="65" t="n"/>
      <c r="AD69" s="65" t="n"/>
      <c r="AE69" s="65" t="n"/>
    </row>
    <row r="70">
      <c r="A70" s="13" t="n"/>
      <c r="B70" s="13" t="n"/>
      <c r="C70" s="27" t="n"/>
      <c r="D70" s="66" t="inlineStr">
        <is>
          <t>Nº De Equipes</t>
        </is>
      </c>
      <c r="E70" s="67" t="n">
        <v>1</v>
      </c>
      <c r="F70" s="67" t="n">
        <v>1</v>
      </c>
      <c r="G70" s="67" t="n">
        <v>1</v>
      </c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  <c r="AA70" s="68" t="n"/>
      <c r="AB70" s="68" t="n"/>
      <c r="AC70" s="68" t="n"/>
      <c r="AD70" s="68" t="n"/>
      <c r="AE70" s="68" t="n"/>
    </row>
    <row r="71">
      <c r="A71" s="13" t="n"/>
      <c r="B71" s="13" t="n"/>
      <c r="C71" s="27" t="n"/>
      <c r="D71" s="66" t="inlineStr">
        <is>
          <t>Qtd. Planejada</t>
        </is>
      </c>
      <c r="E71" s="36" t="n">
        <v>10285.2</v>
      </c>
      <c r="F71" s="36" t="n">
        <v>5314.8</v>
      </c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  <c r="AA71" s="68" t="n"/>
      <c r="AB71" s="68" t="n"/>
      <c r="AC71" s="68" t="n"/>
      <c r="AD71" s="68" t="n"/>
      <c r="AE71" s="68" t="n"/>
    </row>
    <row r="72">
      <c r="A72" s="13" t="n"/>
      <c r="B72" s="13" t="n"/>
      <c r="C72" s="27" t="n"/>
      <c r="D72" s="66" t="inlineStr">
        <is>
          <t>Qtd Plan. Acumulada</t>
        </is>
      </c>
      <c r="E72" s="36" t="n">
        <v>10285.2</v>
      </c>
      <c r="F72" s="36" t="n">
        <v>15600</v>
      </c>
      <c r="G72" s="36" t="n">
        <v>15600</v>
      </c>
      <c r="H72" s="36" t="n">
        <v>15600</v>
      </c>
      <c r="I72" s="36" t="n">
        <v>15600</v>
      </c>
      <c r="J72" s="36" t="n">
        <v>15600</v>
      </c>
      <c r="K72" s="36" t="n">
        <v>15600</v>
      </c>
      <c r="L72" s="36" t="n">
        <v>15600</v>
      </c>
      <c r="M72" s="36" t="n">
        <v>15600</v>
      </c>
      <c r="N72" s="36" t="n">
        <v>15600</v>
      </c>
      <c r="O72" s="36" t="n">
        <v>15600</v>
      </c>
      <c r="P72" s="36" t="n">
        <v>15600</v>
      </c>
      <c r="Q72" s="36" t="n">
        <v>15600</v>
      </c>
      <c r="R72" s="36" t="n">
        <v>15600</v>
      </c>
      <c r="S72" s="36" t="n">
        <v>15600</v>
      </c>
      <c r="T72" s="36" t="n">
        <v>15600</v>
      </c>
      <c r="U72" s="36" t="n">
        <v>15600</v>
      </c>
      <c r="V72" s="36" t="n">
        <v>15600</v>
      </c>
      <c r="W72" s="36" t="n">
        <v>15600</v>
      </c>
      <c r="X72" s="36" t="n">
        <v>15600</v>
      </c>
      <c r="Y72" s="36" t="n">
        <v>15600</v>
      </c>
      <c r="Z72" s="36" t="n">
        <v>15600</v>
      </c>
      <c r="AA72" s="36" t="n">
        <v>15600</v>
      </c>
      <c r="AB72" s="36" t="n">
        <v>15600</v>
      </c>
      <c r="AC72" s="36" t="n">
        <v>15600</v>
      </c>
      <c r="AD72" s="36" t="n">
        <v>15600</v>
      </c>
      <c r="AE72" s="36" t="n">
        <v>15600</v>
      </c>
    </row>
    <row r="73">
      <c r="A73" s="13" t="n"/>
      <c r="B73" s="13" t="n"/>
      <c r="C73" s="27" t="n"/>
      <c r="D73" s="66" t="inlineStr">
        <is>
          <t>Eficiência</t>
        </is>
      </c>
      <c r="E73" s="69" t="n">
        <v>0.8571</v>
      </c>
      <c r="F73" s="69" t="n">
        <v>1</v>
      </c>
      <c r="G73" s="69" t="n">
        <v>0.8571</v>
      </c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  <c r="AA73" s="68" t="n"/>
      <c r="AB73" s="68" t="n"/>
      <c r="AC73" s="68" t="n"/>
      <c r="AD73" s="68" t="n"/>
      <c r="AE73" s="68" t="n"/>
    </row>
    <row r="74">
      <c r="A74" s="20" t="inlineStr">
        <is>
          <t>eap-1_1</t>
        </is>
      </c>
      <c r="B74" s="20" t="inlineStr">
        <is>
          <t>Limpeza mecanizada da camada vegetal (espessura média de 30 cm) - volume geométrico</t>
        </is>
      </c>
      <c r="C74" s="53" t="inlineStr">
        <is>
          <t>m2</t>
        </is>
      </c>
      <c r="D74" s="54" t="inlineStr">
        <is>
          <t>Dias Trabalhados</t>
        </is>
      </c>
      <c r="E74" s="55" t="n">
        <v>6</v>
      </c>
      <c r="F74" s="55" t="n">
        <v>6</v>
      </c>
      <c r="G74" s="55" t="n">
        <v>6</v>
      </c>
      <c r="H74" s="55" t="n">
        <v>6</v>
      </c>
      <c r="I74" s="55" t="n">
        <v>6</v>
      </c>
      <c r="J74" s="55" t="n">
        <v>6</v>
      </c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56" t="n"/>
      <c r="AB74" s="56" t="n"/>
      <c r="AC74" s="56" t="n"/>
      <c r="AD74" s="56" t="n"/>
      <c r="AE74" s="56" t="n"/>
    </row>
    <row r="75">
      <c r="A75" s="11" t="n"/>
      <c r="B75" s="11" t="n"/>
      <c r="C75" s="18" t="n"/>
      <c r="D75" s="57" t="inlineStr">
        <is>
          <t>Nº De Equipes</t>
        </is>
      </c>
      <c r="E75" s="58" t="n">
        <v>1</v>
      </c>
      <c r="F75" s="58" t="n">
        <v>1</v>
      </c>
      <c r="G75" s="58" t="n">
        <v>1</v>
      </c>
      <c r="H75" s="58" t="n">
        <v>1</v>
      </c>
      <c r="I75" s="58" t="n">
        <v>1</v>
      </c>
      <c r="J75" s="58" t="n">
        <v>1</v>
      </c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>
      <c r="A76" s="11" t="n"/>
      <c r="B76" s="11" t="n"/>
      <c r="C76" s="18" t="n"/>
      <c r="D76" s="57" t="inlineStr">
        <is>
          <t>Qtd. Planejada</t>
        </is>
      </c>
      <c r="E76" s="33" t="n">
        <v>30855.6</v>
      </c>
      <c r="F76" s="33" t="n">
        <v>21144.4</v>
      </c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  <c r="AC76" s="59" t="n"/>
      <c r="AD76" s="59" t="n"/>
      <c r="AE76" s="59" t="n"/>
    </row>
    <row r="77">
      <c r="A77" s="11" t="n"/>
      <c r="B77" s="11" t="n"/>
      <c r="C77" s="18" t="n"/>
      <c r="D77" s="57" t="inlineStr">
        <is>
          <t>Qtd Plan. Acumulada</t>
        </is>
      </c>
      <c r="E77" s="33" t="n">
        <v>30855.6</v>
      </c>
      <c r="F77" s="33" t="n">
        <v>52000</v>
      </c>
      <c r="G77" s="33" t="n">
        <v>52000</v>
      </c>
      <c r="H77" s="33" t="n">
        <v>52000</v>
      </c>
      <c r="I77" s="33" t="n">
        <v>52000</v>
      </c>
      <c r="J77" s="33" t="n">
        <v>52000</v>
      </c>
      <c r="K77" s="33" t="n">
        <v>52000</v>
      </c>
      <c r="L77" s="33" t="n">
        <v>52000</v>
      </c>
      <c r="M77" s="33" t="n">
        <v>52000</v>
      </c>
      <c r="N77" s="33" t="n">
        <v>52000</v>
      </c>
      <c r="O77" s="33" t="n">
        <v>52000</v>
      </c>
      <c r="P77" s="33" t="n">
        <v>52000</v>
      </c>
      <c r="Q77" s="33" t="n">
        <v>52000</v>
      </c>
      <c r="R77" s="33" t="n">
        <v>52000</v>
      </c>
      <c r="S77" s="33" t="n">
        <v>52000</v>
      </c>
      <c r="T77" s="33" t="n">
        <v>52000</v>
      </c>
      <c r="U77" s="33" t="n">
        <v>52000</v>
      </c>
      <c r="V77" s="33" t="n">
        <v>52000</v>
      </c>
      <c r="W77" s="33" t="n">
        <v>52000</v>
      </c>
      <c r="X77" s="33" t="n">
        <v>52000</v>
      </c>
      <c r="Y77" s="33" t="n">
        <v>52000</v>
      </c>
      <c r="Z77" s="33" t="n">
        <v>52000</v>
      </c>
      <c r="AA77" s="33" t="n">
        <v>52000</v>
      </c>
      <c r="AB77" s="33" t="n">
        <v>52000</v>
      </c>
      <c r="AC77" s="33" t="n">
        <v>52000</v>
      </c>
      <c r="AD77" s="33" t="n">
        <v>52000</v>
      </c>
      <c r="AE77" s="33" t="n">
        <v>52000</v>
      </c>
    </row>
    <row r="78">
      <c r="A78" s="11" t="n"/>
      <c r="B78" s="11" t="n"/>
      <c r="C78" s="18" t="n"/>
      <c r="D78" s="57" t="inlineStr">
        <is>
          <t>Eficiência</t>
        </is>
      </c>
      <c r="E78" s="60" t="n">
        <v>0.8571</v>
      </c>
      <c r="F78" s="60" t="n">
        <v>1</v>
      </c>
      <c r="G78" s="60" t="n">
        <v>0.8571</v>
      </c>
      <c r="H78" s="60" t="n">
        <v>0.7143</v>
      </c>
      <c r="I78" s="60" t="n">
        <v>0.8571</v>
      </c>
      <c r="J78" s="60" t="n">
        <v>0.7143</v>
      </c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  <c r="AC78" s="59" t="n"/>
      <c r="AD78" s="59" t="n"/>
      <c r="AE78" s="59" t="n"/>
    </row>
    <row r="79">
      <c r="A79" s="61" t="inlineStr">
        <is>
          <t>eap-5_6</t>
        </is>
      </c>
      <c r="B79" s="61" t="inlineStr">
        <is>
          <t>Regularização de valas com apiloamento do fundo</t>
        </is>
      </c>
      <c r="C79" s="62" t="inlineStr">
        <is>
          <t>m²</t>
        </is>
      </c>
      <c r="D79" s="63" t="inlineStr">
        <is>
          <t>Dias Trabalhados</t>
        </is>
      </c>
      <c r="E79" s="64" t="n">
        <v>6</v>
      </c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  <c r="AA79" s="65" t="n"/>
      <c r="AB79" s="65" t="n"/>
      <c r="AC79" s="65" t="n"/>
      <c r="AD79" s="65" t="n"/>
      <c r="AE79" s="65" t="n"/>
    </row>
    <row r="80">
      <c r="A80" s="13" t="n"/>
      <c r="B80" s="13" t="n"/>
      <c r="C80" s="27" t="n"/>
      <c r="D80" s="66" t="inlineStr">
        <is>
          <t>Nº De Equipes</t>
        </is>
      </c>
      <c r="E80" s="67" t="n">
        <v>1</v>
      </c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  <c r="AA80" s="68" t="n"/>
      <c r="AB80" s="68" t="n"/>
      <c r="AC80" s="68" t="n"/>
      <c r="AD80" s="68" t="n"/>
      <c r="AE80" s="68" t="n"/>
    </row>
    <row r="81">
      <c r="A81" s="13" t="n"/>
      <c r="B81" s="13" t="n"/>
      <c r="C81" s="27" t="n"/>
      <c r="D81" s="66" t="inlineStr">
        <is>
          <t>Qtd. Planejada</t>
        </is>
      </c>
      <c r="E81" s="36" t="n">
        <v>2408.34</v>
      </c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  <c r="AA81" s="68" t="n"/>
      <c r="AB81" s="68" t="n"/>
      <c r="AC81" s="68" t="n"/>
      <c r="AD81" s="68" t="n"/>
      <c r="AE81" s="68" t="n"/>
    </row>
    <row r="82">
      <c r="A82" s="13" t="n"/>
      <c r="B82" s="13" t="n"/>
      <c r="C82" s="27" t="n"/>
      <c r="D82" s="66" t="inlineStr">
        <is>
          <t>Qtd Plan. Acumulada</t>
        </is>
      </c>
      <c r="E82" s="36" t="n">
        <v>2408.34</v>
      </c>
      <c r="F82" s="36" t="n">
        <v>2408.34</v>
      </c>
      <c r="G82" s="36" t="n">
        <v>2408.34</v>
      </c>
      <c r="H82" s="36" t="n">
        <v>2408.34</v>
      </c>
      <c r="I82" s="36" t="n">
        <v>2408.34</v>
      </c>
      <c r="J82" s="36" t="n">
        <v>2408.34</v>
      </c>
      <c r="K82" s="36" t="n">
        <v>2408.34</v>
      </c>
      <c r="L82" s="36" t="n">
        <v>2408.34</v>
      </c>
      <c r="M82" s="36" t="n">
        <v>2408.34</v>
      </c>
      <c r="N82" s="36" t="n">
        <v>2408.34</v>
      </c>
      <c r="O82" s="36" t="n">
        <v>2408.34</v>
      </c>
      <c r="P82" s="36" t="n">
        <v>2408.34</v>
      </c>
      <c r="Q82" s="36" t="n">
        <v>2408.34</v>
      </c>
      <c r="R82" s="36" t="n">
        <v>2408.34</v>
      </c>
      <c r="S82" s="36" t="n">
        <v>2408.34</v>
      </c>
      <c r="T82" s="36" t="n">
        <v>2408.34</v>
      </c>
      <c r="U82" s="36" t="n">
        <v>2408.34</v>
      </c>
      <c r="V82" s="36" t="n">
        <v>2408.34</v>
      </c>
      <c r="W82" s="36" t="n">
        <v>2408.34</v>
      </c>
      <c r="X82" s="36" t="n">
        <v>2408.34</v>
      </c>
      <c r="Y82" s="36" t="n">
        <v>2408.34</v>
      </c>
      <c r="Z82" s="36" t="n">
        <v>2408.34</v>
      </c>
      <c r="AA82" s="36" t="n">
        <v>2408.34</v>
      </c>
      <c r="AB82" s="36" t="n">
        <v>2408.34</v>
      </c>
      <c r="AC82" s="36" t="n">
        <v>2408.34</v>
      </c>
      <c r="AD82" s="36" t="n">
        <v>2408.34</v>
      </c>
      <c r="AE82" s="36" t="n">
        <v>2408.34</v>
      </c>
    </row>
    <row r="83">
      <c r="A83" s="13" t="n"/>
      <c r="B83" s="13" t="n"/>
      <c r="C83" s="27" t="n"/>
      <c r="D83" s="66" t="inlineStr">
        <is>
          <t>Eficiência</t>
        </is>
      </c>
      <c r="E83" s="69" t="n">
        <v>0.8571</v>
      </c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  <c r="AA83" s="68" t="n"/>
      <c r="AB83" s="68" t="n"/>
      <c r="AC83" s="68" t="n"/>
      <c r="AD83" s="68" t="n"/>
      <c r="AE83" s="68" t="n"/>
    </row>
    <row r="84">
      <c r="A84" s="20" t="inlineStr">
        <is>
          <t>eap-6_5</t>
        </is>
      </c>
      <c r="B84" s="20" t="inlineStr">
        <is>
          <t>Pintura de faixa com tinta acrílica - espessura de 0,6 mm</t>
        </is>
      </c>
      <c r="C84" s="53" t="inlineStr">
        <is>
          <t>m2</t>
        </is>
      </c>
      <c r="D84" s="54" t="inlineStr">
        <is>
          <t>Dias Trabalhados</t>
        </is>
      </c>
      <c r="E84" s="55" t="n">
        <v>6</v>
      </c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</row>
    <row r="85">
      <c r="A85" s="11" t="n"/>
      <c r="B85" s="11" t="n"/>
      <c r="C85" s="18" t="n"/>
      <c r="D85" s="57" t="inlineStr">
        <is>
          <t>Nº De Equipes</t>
        </is>
      </c>
      <c r="E85" s="58" t="n">
        <v>1</v>
      </c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  <c r="AB85" s="59" t="n"/>
      <c r="AC85" s="59" t="n"/>
      <c r="AD85" s="59" t="n"/>
      <c r="AE85" s="59" t="n"/>
    </row>
    <row r="86">
      <c r="A86" s="11" t="n"/>
      <c r="B86" s="11" t="n"/>
      <c r="C86" s="18" t="n"/>
      <c r="D86" s="57" t="inlineStr">
        <is>
          <t>Qtd. Planejada</t>
        </is>
      </c>
      <c r="E86" s="33" t="n">
        <v>1476.64</v>
      </c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  <c r="AB86" s="59" t="n"/>
      <c r="AC86" s="59" t="n"/>
      <c r="AD86" s="59" t="n"/>
      <c r="AE86" s="59" t="n"/>
    </row>
    <row r="87">
      <c r="A87" s="11" t="n"/>
      <c r="B87" s="11" t="n"/>
      <c r="C87" s="18" t="n"/>
      <c r="D87" s="57" t="inlineStr">
        <is>
          <t>Qtd Plan. Acumulada</t>
        </is>
      </c>
      <c r="E87" s="33" t="n">
        <v>1476.64</v>
      </c>
      <c r="F87" s="33" t="n">
        <v>1476.64</v>
      </c>
      <c r="G87" s="33" t="n">
        <v>1476.64</v>
      </c>
      <c r="H87" s="33" t="n">
        <v>1476.64</v>
      </c>
      <c r="I87" s="33" t="n">
        <v>1476.64</v>
      </c>
      <c r="J87" s="33" t="n">
        <v>1476.64</v>
      </c>
      <c r="K87" s="33" t="n">
        <v>1476.64</v>
      </c>
      <c r="L87" s="33" t="n">
        <v>1476.64</v>
      </c>
      <c r="M87" s="33" t="n">
        <v>1476.64</v>
      </c>
      <c r="N87" s="33" t="n">
        <v>1476.64</v>
      </c>
      <c r="O87" s="33" t="n">
        <v>1476.64</v>
      </c>
      <c r="P87" s="33" t="n">
        <v>1476.64</v>
      </c>
      <c r="Q87" s="33" t="n">
        <v>1476.64</v>
      </c>
      <c r="R87" s="33" t="n">
        <v>1476.64</v>
      </c>
      <c r="S87" s="33" t="n">
        <v>1476.64</v>
      </c>
      <c r="T87" s="33" t="n">
        <v>1476.64</v>
      </c>
      <c r="U87" s="33" t="n">
        <v>1476.64</v>
      </c>
      <c r="V87" s="33" t="n">
        <v>1476.64</v>
      </c>
      <c r="W87" s="33" t="n">
        <v>1476.64</v>
      </c>
      <c r="X87" s="33" t="n">
        <v>1476.64</v>
      </c>
      <c r="Y87" s="33" t="n">
        <v>1476.64</v>
      </c>
      <c r="Z87" s="33" t="n">
        <v>1476.64</v>
      </c>
      <c r="AA87" s="33" t="n">
        <v>1476.64</v>
      </c>
      <c r="AB87" s="33" t="n">
        <v>1476.64</v>
      </c>
      <c r="AC87" s="33" t="n">
        <v>1476.64</v>
      </c>
      <c r="AD87" s="33" t="n">
        <v>1476.64</v>
      </c>
      <c r="AE87" s="33" t="n">
        <v>1476.64</v>
      </c>
    </row>
    <row r="88">
      <c r="A88" s="11" t="n"/>
      <c r="B88" s="11" t="n"/>
      <c r="C88" s="18" t="n"/>
      <c r="D88" s="57" t="inlineStr">
        <is>
          <t>Eficiência</t>
        </is>
      </c>
      <c r="E88" s="60" t="n">
        <v>0.8571</v>
      </c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  <c r="AB88" s="59" t="n"/>
      <c r="AC88" s="59" t="n"/>
      <c r="AD88" s="59" t="n"/>
      <c r="AE88" s="59" t="n"/>
    </row>
    <row r="89">
      <c r="A89" s="61" t="inlineStr">
        <is>
          <t>eap-6_11</t>
        </is>
      </c>
      <c r="B89" s="61" t="inlineStr">
        <is>
          <t>Ancoragem de defensa semimaleável simples - fornecimento e implantação</t>
        </is>
      </c>
      <c r="C89" s="62" t="inlineStr">
        <is>
          <t>m</t>
        </is>
      </c>
      <c r="D89" s="63" t="inlineStr">
        <is>
          <t>Dias Trabalhados</t>
        </is>
      </c>
      <c r="E89" s="64" t="n">
        <v>6</v>
      </c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  <c r="AA89" s="65" t="n"/>
      <c r="AB89" s="65" t="n"/>
      <c r="AC89" s="65" t="n"/>
      <c r="AD89" s="65" t="n"/>
      <c r="AE89" s="65" t="n"/>
    </row>
    <row r="90">
      <c r="A90" s="13" t="n"/>
      <c r="B90" s="13" t="n"/>
      <c r="C90" s="27" t="n"/>
      <c r="D90" s="66" t="inlineStr">
        <is>
          <t>Nº De Equipes</t>
        </is>
      </c>
      <c r="E90" s="67" t="n">
        <v>1</v>
      </c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  <c r="AA90" s="68" t="n"/>
      <c r="AB90" s="68" t="n"/>
      <c r="AC90" s="68" t="n"/>
      <c r="AD90" s="68" t="n"/>
      <c r="AE90" s="68" t="n"/>
    </row>
    <row r="91">
      <c r="A91" s="13" t="n"/>
      <c r="B91" s="13" t="n"/>
      <c r="C91" s="27" t="n"/>
      <c r="D91" s="66" t="inlineStr">
        <is>
          <t>Qtd. Planejada</t>
        </is>
      </c>
      <c r="E91" s="36" t="n">
        <v>96</v>
      </c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  <c r="AA91" s="68" t="n"/>
      <c r="AB91" s="68" t="n"/>
      <c r="AC91" s="68" t="n"/>
      <c r="AD91" s="68" t="n"/>
      <c r="AE91" s="68" t="n"/>
    </row>
    <row r="92">
      <c r="A92" s="13" t="n"/>
      <c r="B92" s="13" t="n"/>
      <c r="C92" s="27" t="n"/>
      <c r="D92" s="66" t="inlineStr">
        <is>
          <t>Qtd Plan. Acumulada</t>
        </is>
      </c>
      <c r="E92" s="36" t="n">
        <v>96</v>
      </c>
      <c r="F92" s="36" t="n">
        <v>96</v>
      </c>
      <c r="G92" s="36" t="n">
        <v>96</v>
      </c>
      <c r="H92" s="36" t="n">
        <v>96</v>
      </c>
      <c r="I92" s="36" t="n">
        <v>96</v>
      </c>
      <c r="J92" s="36" t="n">
        <v>96</v>
      </c>
      <c r="K92" s="36" t="n">
        <v>96</v>
      </c>
      <c r="L92" s="36" t="n">
        <v>96</v>
      </c>
      <c r="M92" s="36" t="n">
        <v>96</v>
      </c>
      <c r="N92" s="36" t="n">
        <v>96</v>
      </c>
      <c r="O92" s="36" t="n">
        <v>96</v>
      </c>
      <c r="P92" s="36" t="n">
        <v>96</v>
      </c>
      <c r="Q92" s="36" t="n">
        <v>96</v>
      </c>
      <c r="R92" s="36" t="n">
        <v>96</v>
      </c>
      <c r="S92" s="36" t="n">
        <v>96</v>
      </c>
      <c r="T92" s="36" t="n">
        <v>96</v>
      </c>
      <c r="U92" s="36" t="n">
        <v>96</v>
      </c>
      <c r="V92" s="36" t="n">
        <v>96</v>
      </c>
      <c r="W92" s="36" t="n">
        <v>96</v>
      </c>
      <c r="X92" s="36" t="n">
        <v>96</v>
      </c>
      <c r="Y92" s="36" t="n">
        <v>96</v>
      </c>
      <c r="Z92" s="36" t="n">
        <v>96</v>
      </c>
      <c r="AA92" s="36" t="n">
        <v>96</v>
      </c>
      <c r="AB92" s="36" t="n">
        <v>96</v>
      </c>
      <c r="AC92" s="36" t="n">
        <v>96</v>
      </c>
      <c r="AD92" s="36" t="n">
        <v>96</v>
      </c>
      <c r="AE92" s="36" t="n">
        <v>96</v>
      </c>
    </row>
    <row r="93">
      <c r="A93" s="13" t="n"/>
      <c r="B93" s="13" t="n"/>
      <c r="C93" s="27" t="n"/>
      <c r="D93" s="66" t="inlineStr">
        <is>
          <t>Eficiência</t>
        </is>
      </c>
      <c r="E93" s="69" t="n">
        <v>0.8571</v>
      </c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  <c r="AA93" s="68" t="n"/>
      <c r="AB93" s="68" t="n"/>
      <c r="AC93" s="68" t="n"/>
      <c r="AD93" s="68" t="n"/>
      <c r="AE93" s="68" t="n"/>
    </row>
    <row r="94">
      <c r="A94" s="20" t="inlineStr">
        <is>
          <t>eap-3_2</t>
        </is>
      </c>
      <c r="B94" s="20" t="inlineStr">
        <is>
          <t>Carregamento e transporte de material de demolição para bota fora interno ao TBR070 em basculante de 14m³ - DMT até 4 km</t>
        </is>
      </c>
      <c r="C94" s="53" t="inlineStr">
        <is>
          <t>m3</t>
        </is>
      </c>
      <c r="D94" s="54" t="inlineStr">
        <is>
          <t>Dias Trabalhados</t>
        </is>
      </c>
      <c r="E94" s="55" t="n">
        <v>6</v>
      </c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56" t="n"/>
      <c r="AB94" s="56" t="n"/>
      <c r="AC94" s="56" t="n"/>
      <c r="AD94" s="56" t="n"/>
      <c r="AE94" s="56" t="n"/>
    </row>
    <row r="95">
      <c r="A95" s="11" t="n"/>
      <c r="B95" s="11" t="n"/>
      <c r="C95" s="18" t="n"/>
      <c r="D95" s="57" t="inlineStr">
        <is>
          <t>Nº De Equipes</t>
        </is>
      </c>
      <c r="E95" s="58" t="n">
        <v>1</v>
      </c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  <c r="AB95" s="59" t="n"/>
      <c r="AC95" s="59" t="n"/>
      <c r="AD95" s="59" t="n"/>
      <c r="AE95" s="59" t="n"/>
    </row>
    <row r="96">
      <c r="A96" s="11" t="n"/>
      <c r="B96" s="11" t="n"/>
      <c r="C96" s="18" t="n"/>
      <c r="D96" s="57" t="inlineStr">
        <is>
          <t>Qtd. Planejada</t>
        </is>
      </c>
      <c r="E96" s="33" t="n">
        <v>4200</v>
      </c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  <c r="AB96" s="59" t="n"/>
      <c r="AC96" s="59" t="n"/>
      <c r="AD96" s="59" t="n"/>
      <c r="AE96" s="59" t="n"/>
    </row>
    <row r="97">
      <c r="A97" s="11" t="n"/>
      <c r="B97" s="11" t="n"/>
      <c r="C97" s="18" t="n"/>
      <c r="D97" s="57" t="inlineStr">
        <is>
          <t>Qtd Plan. Acumulada</t>
        </is>
      </c>
      <c r="E97" s="33" t="n">
        <v>4200</v>
      </c>
      <c r="F97" s="33" t="n">
        <v>4200</v>
      </c>
      <c r="G97" s="33" t="n">
        <v>4200</v>
      </c>
      <c r="H97" s="33" t="n">
        <v>4200</v>
      </c>
      <c r="I97" s="33" t="n">
        <v>4200</v>
      </c>
      <c r="J97" s="33" t="n">
        <v>4200</v>
      </c>
      <c r="K97" s="33" t="n">
        <v>4200</v>
      </c>
      <c r="L97" s="33" t="n">
        <v>4200</v>
      </c>
      <c r="M97" s="33" t="n">
        <v>4200</v>
      </c>
      <c r="N97" s="33" t="n">
        <v>4200</v>
      </c>
      <c r="O97" s="33" t="n">
        <v>4200</v>
      </c>
      <c r="P97" s="33" t="n">
        <v>4200</v>
      </c>
      <c r="Q97" s="33" t="n">
        <v>4200</v>
      </c>
      <c r="R97" s="33" t="n">
        <v>4200</v>
      </c>
      <c r="S97" s="33" t="n">
        <v>4200</v>
      </c>
      <c r="T97" s="33" t="n">
        <v>4200</v>
      </c>
      <c r="U97" s="33" t="n">
        <v>4200</v>
      </c>
      <c r="V97" s="33" t="n">
        <v>4200</v>
      </c>
      <c r="W97" s="33" t="n">
        <v>4200</v>
      </c>
      <c r="X97" s="33" t="n">
        <v>4200</v>
      </c>
      <c r="Y97" s="33" t="n">
        <v>4200</v>
      </c>
      <c r="Z97" s="33" t="n">
        <v>4200</v>
      </c>
      <c r="AA97" s="33" t="n">
        <v>4200</v>
      </c>
      <c r="AB97" s="33" t="n">
        <v>4200</v>
      </c>
      <c r="AC97" s="33" t="n">
        <v>4200</v>
      </c>
      <c r="AD97" s="33" t="n">
        <v>4200</v>
      </c>
      <c r="AE97" s="33" t="n">
        <v>4200</v>
      </c>
    </row>
    <row r="98">
      <c r="A98" s="11" t="n"/>
      <c r="B98" s="11" t="n"/>
      <c r="C98" s="18" t="n"/>
      <c r="D98" s="57" t="inlineStr">
        <is>
          <t>Eficiência</t>
        </is>
      </c>
      <c r="E98" s="60" t="n">
        <v>0.8571</v>
      </c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  <c r="AB98" s="59" t="n"/>
      <c r="AC98" s="59" t="n"/>
      <c r="AD98" s="59" t="n"/>
      <c r="AE98" s="59" t="n"/>
    </row>
    <row r="99">
      <c r="A99" s="61" t="inlineStr">
        <is>
          <t>eap-6_4</t>
        </is>
      </c>
      <c r="B99" s="61" t="inlineStr">
        <is>
          <t>Pintura de setas e zebrados com termoplástico por extrusão - espessura de 3,0 mm</t>
        </is>
      </c>
      <c r="C99" s="62" t="inlineStr">
        <is>
          <t>m2</t>
        </is>
      </c>
      <c r="D99" s="63" t="inlineStr">
        <is>
          <t>Dias Trabalhados</t>
        </is>
      </c>
      <c r="E99" s="64" t="n">
        <v>6</v>
      </c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  <c r="AA99" s="65" t="n"/>
      <c r="AB99" s="65" t="n"/>
      <c r="AC99" s="65" t="n"/>
      <c r="AD99" s="65" t="n"/>
      <c r="AE99" s="65" t="n"/>
    </row>
    <row r="100">
      <c r="A100" s="13" t="n"/>
      <c r="B100" s="13" t="n"/>
      <c r="C100" s="27" t="n"/>
      <c r="D100" s="66" t="inlineStr">
        <is>
          <t>Nº De Equipes</t>
        </is>
      </c>
      <c r="E100" s="67" t="n">
        <v>1</v>
      </c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  <c r="AA100" s="68" t="n"/>
      <c r="AB100" s="68" t="n"/>
      <c r="AC100" s="68" t="n"/>
      <c r="AD100" s="68" t="n"/>
      <c r="AE100" s="68" t="n"/>
    </row>
    <row r="101">
      <c r="A101" s="13" t="n"/>
      <c r="B101" s="13" t="n"/>
      <c r="C101" s="27" t="n"/>
      <c r="D101" s="66" t="inlineStr">
        <is>
          <t>Qtd. Planejada</t>
        </is>
      </c>
      <c r="E101" s="36" t="n">
        <v>339.96</v>
      </c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  <c r="AA101" s="68" t="n"/>
      <c r="AB101" s="68" t="n"/>
      <c r="AC101" s="68" t="n"/>
      <c r="AD101" s="68" t="n"/>
      <c r="AE101" s="68" t="n"/>
    </row>
    <row r="102">
      <c r="A102" s="13" t="n"/>
      <c r="B102" s="13" t="n"/>
      <c r="C102" s="27" t="n"/>
      <c r="D102" s="66" t="inlineStr">
        <is>
          <t>Qtd Plan. Acumulada</t>
        </is>
      </c>
      <c r="E102" s="36" t="n">
        <v>339.96</v>
      </c>
      <c r="F102" s="36" t="n">
        <v>339.96</v>
      </c>
      <c r="G102" s="36" t="n">
        <v>339.96</v>
      </c>
      <c r="H102" s="36" t="n">
        <v>339.96</v>
      </c>
      <c r="I102" s="36" t="n">
        <v>339.96</v>
      </c>
      <c r="J102" s="36" t="n">
        <v>339.96</v>
      </c>
      <c r="K102" s="36" t="n">
        <v>339.96</v>
      </c>
      <c r="L102" s="36" t="n">
        <v>339.96</v>
      </c>
      <c r="M102" s="36" t="n">
        <v>339.96</v>
      </c>
      <c r="N102" s="36" t="n">
        <v>339.96</v>
      </c>
      <c r="O102" s="36" t="n">
        <v>339.96</v>
      </c>
      <c r="P102" s="36" t="n">
        <v>339.96</v>
      </c>
      <c r="Q102" s="36" t="n">
        <v>339.96</v>
      </c>
      <c r="R102" s="36" t="n">
        <v>339.96</v>
      </c>
      <c r="S102" s="36" t="n">
        <v>339.96</v>
      </c>
      <c r="T102" s="36" t="n">
        <v>339.96</v>
      </c>
      <c r="U102" s="36" t="n">
        <v>339.96</v>
      </c>
      <c r="V102" s="36" t="n">
        <v>339.96</v>
      </c>
      <c r="W102" s="36" t="n">
        <v>339.96</v>
      </c>
      <c r="X102" s="36" t="n">
        <v>339.96</v>
      </c>
      <c r="Y102" s="36" t="n">
        <v>339.96</v>
      </c>
      <c r="Z102" s="36" t="n">
        <v>339.96</v>
      </c>
      <c r="AA102" s="36" t="n">
        <v>339.96</v>
      </c>
      <c r="AB102" s="36" t="n">
        <v>339.96</v>
      </c>
      <c r="AC102" s="36" t="n">
        <v>339.96</v>
      </c>
      <c r="AD102" s="36" t="n">
        <v>339.96</v>
      </c>
      <c r="AE102" s="36" t="n">
        <v>339.96</v>
      </c>
    </row>
    <row r="103">
      <c r="A103" s="13" t="n"/>
      <c r="B103" s="13" t="n"/>
      <c r="C103" s="27" t="n"/>
      <c r="D103" s="66" t="inlineStr">
        <is>
          <t>Eficiência</t>
        </is>
      </c>
      <c r="E103" s="69" t="n">
        <v>0.8571</v>
      </c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  <c r="AA103" s="68" t="n"/>
      <c r="AB103" s="68" t="n"/>
      <c r="AC103" s="68" t="n"/>
      <c r="AD103" s="68" t="n"/>
      <c r="AE103" s="68" t="n"/>
    </row>
    <row r="104">
      <c r="A104" s="20" t="inlineStr">
        <is>
          <t>eap-6_6</t>
        </is>
      </c>
      <c r="B104" s="20" t="inlineStr">
        <is>
          <t>Placa em alumínio composto, espessura de 3,0 mm, modulada, aérea - película retrorrefletiva tipo III + III - fornecimento e implantação</t>
        </is>
      </c>
      <c r="C104" s="53" t="inlineStr">
        <is>
          <t>m2</t>
        </is>
      </c>
      <c r="D104" s="54" t="inlineStr">
        <is>
          <t>Dias Trabalhados</t>
        </is>
      </c>
      <c r="E104" s="55" t="n">
        <v>6</v>
      </c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</row>
    <row r="105">
      <c r="A105" s="11" t="n"/>
      <c r="B105" s="11" t="n"/>
      <c r="C105" s="18" t="n"/>
      <c r="D105" s="57" t="inlineStr">
        <is>
          <t>Nº De Equipes</t>
        </is>
      </c>
      <c r="E105" s="58" t="n">
        <v>1</v>
      </c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  <c r="AB105" s="59" t="n"/>
      <c r="AC105" s="59" t="n"/>
      <c r="AD105" s="59" t="n"/>
      <c r="AE105" s="59" t="n"/>
    </row>
    <row r="106">
      <c r="A106" s="11" t="n"/>
      <c r="B106" s="11" t="n"/>
      <c r="C106" s="18" t="n"/>
      <c r="D106" s="57" t="inlineStr">
        <is>
          <t>Qtd. Planejada</t>
        </is>
      </c>
      <c r="E106" s="33" t="n">
        <v>37.45</v>
      </c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  <c r="AB106" s="59" t="n"/>
      <c r="AC106" s="59" t="n"/>
      <c r="AD106" s="59" t="n"/>
      <c r="AE106" s="59" t="n"/>
    </row>
    <row r="107">
      <c r="A107" s="11" t="n"/>
      <c r="B107" s="11" t="n"/>
      <c r="C107" s="18" t="n"/>
      <c r="D107" s="57" t="inlineStr">
        <is>
          <t>Qtd Plan. Acumulada</t>
        </is>
      </c>
      <c r="E107" s="33" t="n">
        <v>37.45</v>
      </c>
      <c r="F107" s="33" t="n">
        <v>37.45</v>
      </c>
      <c r="G107" s="33" t="n">
        <v>37.45</v>
      </c>
      <c r="H107" s="33" t="n">
        <v>37.45</v>
      </c>
      <c r="I107" s="33" t="n">
        <v>37.45</v>
      </c>
      <c r="J107" s="33" t="n">
        <v>37.45</v>
      </c>
      <c r="K107" s="33" t="n">
        <v>37.45</v>
      </c>
      <c r="L107" s="33" t="n">
        <v>37.45</v>
      </c>
      <c r="M107" s="33" t="n">
        <v>37.45</v>
      </c>
      <c r="N107" s="33" t="n">
        <v>37.45</v>
      </c>
      <c r="O107" s="33" t="n">
        <v>37.45</v>
      </c>
      <c r="P107" s="33" t="n">
        <v>37.45</v>
      </c>
      <c r="Q107" s="33" t="n">
        <v>37.45</v>
      </c>
      <c r="R107" s="33" t="n">
        <v>37.45</v>
      </c>
      <c r="S107" s="33" t="n">
        <v>37.45</v>
      </c>
      <c r="T107" s="33" t="n">
        <v>37.45</v>
      </c>
      <c r="U107" s="33" t="n">
        <v>37.45</v>
      </c>
      <c r="V107" s="33" t="n">
        <v>37.45</v>
      </c>
      <c r="W107" s="33" t="n">
        <v>37.45</v>
      </c>
      <c r="X107" s="33" t="n">
        <v>37.45</v>
      </c>
      <c r="Y107" s="33" t="n">
        <v>37.45</v>
      </c>
      <c r="Z107" s="33" t="n">
        <v>37.45</v>
      </c>
      <c r="AA107" s="33" t="n">
        <v>37.45</v>
      </c>
      <c r="AB107" s="33" t="n">
        <v>37.45</v>
      </c>
      <c r="AC107" s="33" t="n">
        <v>37.45</v>
      </c>
      <c r="AD107" s="33" t="n">
        <v>37.45</v>
      </c>
      <c r="AE107" s="33" t="n">
        <v>37.45</v>
      </c>
    </row>
    <row r="108">
      <c r="A108" s="11" t="n"/>
      <c r="B108" s="11" t="n"/>
      <c r="C108" s="18" t="n"/>
      <c r="D108" s="57" t="inlineStr">
        <is>
          <t>Eficiência</t>
        </is>
      </c>
      <c r="E108" s="60" t="n">
        <v>0.8571</v>
      </c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  <c r="AB108" s="59" t="n"/>
      <c r="AC108" s="59" t="n"/>
      <c r="AD108" s="59" t="n"/>
      <c r="AE108" s="59" t="n"/>
    </row>
    <row r="109">
      <c r="A109" s="61" t="inlineStr">
        <is>
          <t>eap-5_8</t>
        </is>
      </c>
      <c r="B109" s="61" t="inlineStr">
        <is>
          <t>Hidrossemeadura para cobertura de taludes</t>
        </is>
      </c>
      <c r="C109" s="62" t="inlineStr">
        <is>
          <t>m²</t>
        </is>
      </c>
      <c r="D109" s="63" t="inlineStr">
        <is>
          <t>Dias Trabalhados</t>
        </is>
      </c>
      <c r="E109" s="64" t="n">
        <v>6</v>
      </c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  <c r="AA109" s="65" t="n"/>
      <c r="AB109" s="65" t="n"/>
      <c r="AC109" s="65" t="n"/>
      <c r="AD109" s="65" t="n"/>
      <c r="AE109" s="65" t="n"/>
    </row>
    <row r="110">
      <c r="A110" s="13" t="n"/>
      <c r="B110" s="13" t="n"/>
      <c r="C110" s="27" t="n"/>
      <c r="D110" s="66" t="inlineStr">
        <is>
          <t>Nº De Equipes</t>
        </is>
      </c>
      <c r="E110" s="67" t="n">
        <v>1</v>
      </c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  <c r="AA110" s="68" t="n"/>
      <c r="AB110" s="68" t="n"/>
      <c r="AC110" s="68" t="n"/>
      <c r="AD110" s="68" t="n"/>
      <c r="AE110" s="68" t="n"/>
    </row>
    <row r="111">
      <c r="A111" s="13" t="n"/>
      <c r="B111" s="13" t="n"/>
      <c r="C111" s="27" t="n"/>
      <c r="D111" s="66" t="inlineStr">
        <is>
          <t>Qtd. Planejada</t>
        </is>
      </c>
      <c r="E111" s="36" t="n">
        <v>2408.34</v>
      </c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  <c r="AA111" s="68" t="n"/>
      <c r="AB111" s="68" t="n"/>
      <c r="AC111" s="68" t="n"/>
      <c r="AD111" s="68" t="n"/>
      <c r="AE111" s="68" t="n"/>
    </row>
    <row r="112">
      <c r="A112" s="13" t="n"/>
      <c r="B112" s="13" t="n"/>
      <c r="C112" s="27" t="n"/>
      <c r="D112" s="66" t="inlineStr">
        <is>
          <t>Qtd Plan. Acumulada</t>
        </is>
      </c>
      <c r="E112" s="36" t="n">
        <v>2408.34</v>
      </c>
      <c r="F112" s="36" t="n">
        <v>2408.34</v>
      </c>
      <c r="G112" s="36" t="n">
        <v>2408.34</v>
      </c>
      <c r="H112" s="36" t="n">
        <v>2408.34</v>
      </c>
      <c r="I112" s="36" t="n">
        <v>2408.34</v>
      </c>
      <c r="J112" s="36" t="n">
        <v>2408.34</v>
      </c>
      <c r="K112" s="36" t="n">
        <v>2408.34</v>
      </c>
      <c r="L112" s="36" t="n">
        <v>2408.34</v>
      </c>
      <c r="M112" s="36" t="n">
        <v>2408.34</v>
      </c>
      <c r="N112" s="36" t="n">
        <v>2408.34</v>
      </c>
      <c r="O112" s="36" t="n">
        <v>2408.34</v>
      </c>
      <c r="P112" s="36" t="n">
        <v>2408.34</v>
      </c>
      <c r="Q112" s="36" t="n">
        <v>2408.34</v>
      </c>
      <c r="R112" s="36" t="n">
        <v>2408.34</v>
      </c>
      <c r="S112" s="36" t="n">
        <v>2408.34</v>
      </c>
      <c r="T112" s="36" t="n">
        <v>2408.34</v>
      </c>
      <c r="U112" s="36" t="n">
        <v>2408.34</v>
      </c>
      <c r="V112" s="36" t="n">
        <v>2408.34</v>
      </c>
      <c r="W112" s="36" t="n">
        <v>2408.34</v>
      </c>
      <c r="X112" s="36" t="n">
        <v>2408.34</v>
      </c>
      <c r="Y112" s="36" t="n">
        <v>2408.34</v>
      </c>
      <c r="Z112" s="36" t="n">
        <v>2408.34</v>
      </c>
      <c r="AA112" s="36" t="n">
        <v>2408.34</v>
      </c>
      <c r="AB112" s="36" t="n">
        <v>2408.34</v>
      </c>
      <c r="AC112" s="36" t="n">
        <v>2408.34</v>
      </c>
      <c r="AD112" s="36" t="n">
        <v>2408.34</v>
      </c>
      <c r="AE112" s="36" t="n">
        <v>2408.34</v>
      </c>
    </row>
    <row r="113">
      <c r="A113" s="13" t="n"/>
      <c r="B113" s="13" t="n"/>
      <c r="C113" s="27" t="n"/>
      <c r="D113" s="66" t="inlineStr">
        <is>
          <t>Eficiência</t>
        </is>
      </c>
      <c r="E113" s="69" t="n">
        <v>0.8571</v>
      </c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  <c r="AA113" s="68" t="n"/>
      <c r="AB113" s="68" t="n"/>
      <c r="AC113" s="68" t="n"/>
      <c r="AD113" s="68" t="n"/>
      <c r="AE113" s="68" t="n"/>
    </row>
    <row r="114">
      <c r="A114" s="20" t="inlineStr">
        <is>
          <t>eap-3_3</t>
        </is>
      </c>
      <c r="B114" s="20" t="inlineStr">
        <is>
          <t>Regularização de bota-fora com espalhamento e compactação</t>
        </is>
      </c>
      <c r="C114" s="53" t="inlineStr">
        <is>
          <t>m3</t>
        </is>
      </c>
      <c r="D114" s="54" t="inlineStr">
        <is>
          <t>Dias Trabalhados</t>
        </is>
      </c>
      <c r="E114" s="55" t="n">
        <v>6</v>
      </c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</row>
    <row r="115">
      <c r="A115" s="11" t="n"/>
      <c r="B115" s="11" t="n"/>
      <c r="C115" s="18" t="n"/>
      <c r="D115" s="57" t="inlineStr">
        <is>
          <t>Nº De Equipes</t>
        </is>
      </c>
      <c r="E115" s="58" t="n">
        <v>1</v>
      </c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  <c r="AB115" s="59" t="n"/>
      <c r="AC115" s="59" t="n"/>
      <c r="AD115" s="59" t="n"/>
      <c r="AE115" s="59" t="n"/>
    </row>
    <row r="116">
      <c r="A116" s="11" t="n"/>
      <c r="B116" s="11" t="n"/>
      <c r="C116" s="18" t="n"/>
      <c r="D116" s="57" t="inlineStr">
        <is>
          <t>Qtd. Planejada</t>
        </is>
      </c>
      <c r="E116" s="33" t="n">
        <v>4200</v>
      </c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  <c r="AB116" s="59" t="n"/>
      <c r="AC116" s="59" t="n"/>
      <c r="AD116" s="59" t="n"/>
      <c r="AE116" s="59" t="n"/>
    </row>
    <row r="117">
      <c r="A117" s="11" t="n"/>
      <c r="B117" s="11" t="n"/>
      <c r="C117" s="18" t="n"/>
      <c r="D117" s="57" t="inlineStr">
        <is>
          <t>Qtd Plan. Acumulada</t>
        </is>
      </c>
      <c r="E117" s="33" t="n">
        <v>4200</v>
      </c>
      <c r="F117" s="33" t="n">
        <v>4200</v>
      </c>
      <c r="G117" s="33" t="n">
        <v>4200</v>
      </c>
      <c r="H117" s="33" t="n">
        <v>4200</v>
      </c>
      <c r="I117" s="33" t="n">
        <v>4200</v>
      </c>
      <c r="J117" s="33" t="n">
        <v>4200</v>
      </c>
      <c r="K117" s="33" t="n">
        <v>4200</v>
      </c>
      <c r="L117" s="33" t="n">
        <v>4200</v>
      </c>
      <c r="M117" s="33" t="n">
        <v>4200</v>
      </c>
      <c r="N117" s="33" t="n">
        <v>4200</v>
      </c>
      <c r="O117" s="33" t="n">
        <v>4200</v>
      </c>
      <c r="P117" s="33" t="n">
        <v>4200</v>
      </c>
      <c r="Q117" s="33" t="n">
        <v>4200</v>
      </c>
      <c r="R117" s="33" t="n">
        <v>4200</v>
      </c>
      <c r="S117" s="33" t="n">
        <v>4200</v>
      </c>
      <c r="T117" s="33" t="n">
        <v>4200</v>
      </c>
      <c r="U117" s="33" t="n">
        <v>4200</v>
      </c>
      <c r="V117" s="33" t="n">
        <v>4200</v>
      </c>
      <c r="W117" s="33" t="n">
        <v>4200</v>
      </c>
      <c r="X117" s="33" t="n">
        <v>4200</v>
      </c>
      <c r="Y117" s="33" t="n">
        <v>4200</v>
      </c>
      <c r="Z117" s="33" t="n">
        <v>4200</v>
      </c>
      <c r="AA117" s="33" t="n">
        <v>4200</v>
      </c>
      <c r="AB117" s="33" t="n">
        <v>4200</v>
      </c>
      <c r="AC117" s="33" t="n">
        <v>4200</v>
      </c>
      <c r="AD117" s="33" t="n">
        <v>4200</v>
      </c>
      <c r="AE117" s="33" t="n">
        <v>4200</v>
      </c>
    </row>
    <row r="118">
      <c r="A118" s="11" t="n"/>
      <c r="B118" s="11" t="n"/>
      <c r="C118" s="18" t="n"/>
      <c r="D118" s="57" t="inlineStr">
        <is>
          <t>Eficiência</t>
        </is>
      </c>
      <c r="E118" s="60" t="n">
        <v>0.8571</v>
      </c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  <c r="AB118" s="59" t="n"/>
      <c r="AC118" s="59" t="n"/>
      <c r="AD118" s="59" t="n"/>
      <c r="AE118" s="59" t="n"/>
    </row>
    <row r="119">
      <c r="A119" s="61" t="inlineStr">
        <is>
          <t>eap-6_3</t>
        </is>
      </c>
      <c r="B119" s="61" t="inlineStr">
        <is>
          <t>Tachão refletivo em plástico injetado - bidirecional - fornecimento e colocação</t>
        </is>
      </c>
      <c r="C119" s="62" t="inlineStr">
        <is>
          <t>und</t>
        </is>
      </c>
      <c r="D119" s="63" t="inlineStr">
        <is>
          <t>Dias Trabalhados</t>
        </is>
      </c>
      <c r="E119" s="64" t="n">
        <v>6</v>
      </c>
      <c r="F119" s="64" t="n">
        <v>6</v>
      </c>
      <c r="G119" s="64" t="n">
        <v>6</v>
      </c>
      <c r="H119" s="64" t="n">
        <v>6</v>
      </c>
      <c r="I119" s="64" t="n">
        <v>6</v>
      </c>
      <c r="J119" s="64" t="n">
        <v>6</v>
      </c>
      <c r="K119" s="64" t="n">
        <v>6</v>
      </c>
      <c r="L119" s="64" t="n">
        <v>6</v>
      </c>
      <c r="M119" s="64" t="n">
        <v>6</v>
      </c>
      <c r="N119" s="64" t="n">
        <v>6</v>
      </c>
      <c r="O119" s="64" t="n">
        <v>6</v>
      </c>
      <c r="P119" s="64" t="n">
        <v>6</v>
      </c>
      <c r="Q119" s="64" t="n">
        <v>6</v>
      </c>
      <c r="R119" s="64" t="n">
        <v>6</v>
      </c>
      <c r="S119" s="64" t="n">
        <v>6</v>
      </c>
      <c r="T119" s="64" t="n">
        <v>6</v>
      </c>
      <c r="U119" s="64" t="n">
        <v>6</v>
      </c>
      <c r="V119" s="64" t="n">
        <v>6</v>
      </c>
      <c r="W119" s="64" t="n">
        <v>6</v>
      </c>
      <c r="X119" s="64" t="n">
        <v>6</v>
      </c>
      <c r="Y119" s="64" t="n">
        <v>6</v>
      </c>
      <c r="Z119" s="64" t="n">
        <v>6</v>
      </c>
      <c r="AA119" s="65" t="n"/>
      <c r="AB119" s="65" t="n"/>
      <c r="AC119" s="65" t="n"/>
      <c r="AD119" s="65" t="n"/>
      <c r="AE119" s="65" t="n"/>
    </row>
    <row r="120">
      <c r="A120" s="13" t="n"/>
      <c r="B120" s="13" t="n"/>
      <c r="C120" s="27" t="n"/>
      <c r="D120" s="66" t="inlineStr">
        <is>
          <t>Nº De Equipes</t>
        </is>
      </c>
      <c r="E120" s="67" t="n">
        <v>2</v>
      </c>
      <c r="F120" s="67" t="n">
        <v>2</v>
      </c>
      <c r="G120" s="67" t="n">
        <v>2</v>
      </c>
      <c r="H120" s="67" t="n">
        <v>2</v>
      </c>
      <c r="I120" s="67" t="n">
        <v>2</v>
      </c>
      <c r="J120" s="67" t="n">
        <v>2</v>
      </c>
      <c r="K120" s="67" t="n">
        <v>2</v>
      </c>
      <c r="L120" s="67" t="n">
        <v>2</v>
      </c>
      <c r="M120" s="67" t="n">
        <v>2</v>
      </c>
      <c r="N120" s="67" t="n">
        <v>2</v>
      </c>
      <c r="O120" s="67" t="n">
        <v>2</v>
      </c>
      <c r="P120" s="67" t="n">
        <v>2</v>
      </c>
      <c r="Q120" s="67" t="n">
        <v>2</v>
      </c>
      <c r="R120" s="67" t="n">
        <v>2</v>
      </c>
      <c r="S120" s="67" t="n">
        <v>2</v>
      </c>
      <c r="T120" s="67" t="n">
        <v>2</v>
      </c>
      <c r="U120" s="67" t="n">
        <v>2</v>
      </c>
      <c r="V120" s="67" t="n">
        <v>2</v>
      </c>
      <c r="W120" s="67" t="n">
        <v>2</v>
      </c>
      <c r="X120" s="67" t="n">
        <v>2</v>
      </c>
      <c r="Y120" s="67" t="n">
        <v>2</v>
      </c>
      <c r="Z120" s="67" t="n">
        <v>2</v>
      </c>
      <c r="AA120" s="68" t="n"/>
      <c r="AB120" s="68" t="n"/>
      <c r="AC120" s="68" t="n"/>
      <c r="AD120" s="68" t="n"/>
      <c r="AE120" s="68" t="n"/>
    </row>
    <row r="121">
      <c r="A121" s="13" t="n"/>
      <c r="B121" s="13" t="n"/>
      <c r="C121" s="27" t="n"/>
      <c r="D121" s="66" t="inlineStr">
        <is>
          <t>Qtd. Planejada</t>
        </is>
      </c>
      <c r="E121" s="36" t="n">
        <v>11.52</v>
      </c>
      <c r="F121" s="36" t="n">
        <v>13.44</v>
      </c>
      <c r="G121" s="36" t="n">
        <v>11.52</v>
      </c>
      <c r="H121" s="36" t="n">
        <v>9.6</v>
      </c>
      <c r="I121" s="36" t="n">
        <v>11.52</v>
      </c>
      <c r="J121" s="36" t="n">
        <v>9.6</v>
      </c>
      <c r="K121" s="36" t="n">
        <v>11.52</v>
      </c>
      <c r="L121" s="36" t="n">
        <v>7.68</v>
      </c>
      <c r="M121" s="36" t="n">
        <v>9.6</v>
      </c>
      <c r="N121" s="36" t="n">
        <v>7.68</v>
      </c>
      <c r="O121" s="36" t="n">
        <v>11.52</v>
      </c>
      <c r="P121" s="36" t="n">
        <v>7.68</v>
      </c>
      <c r="Q121" s="36" t="n">
        <v>7.68</v>
      </c>
      <c r="R121" s="36" t="n">
        <v>11.52</v>
      </c>
      <c r="S121" s="36" t="n">
        <v>13.44</v>
      </c>
      <c r="T121" s="36" t="n">
        <v>11.52</v>
      </c>
      <c r="U121" s="36" t="n">
        <v>11.52</v>
      </c>
      <c r="V121" s="36" t="n">
        <v>11.52</v>
      </c>
      <c r="W121" s="36" t="n">
        <v>11.52</v>
      </c>
      <c r="X121" s="36" t="n">
        <v>13.44</v>
      </c>
      <c r="Y121" s="36" t="n">
        <v>4.97</v>
      </c>
      <c r="Z121" s="68" t="n"/>
      <c r="AA121" s="68" t="n"/>
      <c r="AB121" s="68" t="n"/>
      <c r="AC121" s="68" t="n"/>
      <c r="AD121" s="68" t="n"/>
      <c r="AE121" s="68" t="n"/>
    </row>
    <row r="122">
      <c r="A122" s="13" t="n"/>
      <c r="B122" s="13" t="n"/>
      <c r="C122" s="27" t="n"/>
      <c r="D122" s="66" t="inlineStr">
        <is>
          <t>Qtd Plan. Acumulada</t>
        </is>
      </c>
      <c r="E122" s="36" t="n">
        <v>11.52</v>
      </c>
      <c r="F122" s="36" t="n">
        <v>24.96</v>
      </c>
      <c r="G122" s="36" t="n">
        <v>36.48</v>
      </c>
      <c r="H122" s="36" t="n">
        <v>46.08</v>
      </c>
      <c r="I122" s="36" t="n">
        <v>57.6</v>
      </c>
      <c r="J122" s="36" t="n">
        <v>67.2</v>
      </c>
      <c r="K122" s="36" t="n">
        <v>78.72</v>
      </c>
      <c r="L122" s="36" t="n">
        <v>86.40000000000001</v>
      </c>
      <c r="M122" s="36" t="n">
        <v>96</v>
      </c>
      <c r="N122" s="36" t="n">
        <v>103.68</v>
      </c>
      <c r="O122" s="36" t="n">
        <v>115.2</v>
      </c>
      <c r="P122" s="36" t="n">
        <v>122.88</v>
      </c>
      <c r="Q122" s="36" t="n">
        <v>130.56</v>
      </c>
      <c r="R122" s="36" t="n">
        <v>142.08</v>
      </c>
      <c r="S122" s="36" t="n">
        <v>155.52</v>
      </c>
      <c r="T122" s="36" t="n">
        <v>167.04</v>
      </c>
      <c r="U122" s="36" t="n">
        <v>178.55</v>
      </c>
      <c r="V122" s="36" t="n">
        <v>190.07</v>
      </c>
      <c r="W122" s="36" t="n">
        <v>201.59</v>
      </c>
      <c r="X122" s="36" t="n">
        <v>215.03</v>
      </c>
      <c r="Y122" s="36" t="n">
        <v>220</v>
      </c>
      <c r="Z122" s="36" t="n">
        <v>220</v>
      </c>
      <c r="AA122" s="36" t="n">
        <v>220</v>
      </c>
      <c r="AB122" s="36" t="n">
        <v>220</v>
      </c>
      <c r="AC122" s="36" t="n">
        <v>220</v>
      </c>
      <c r="AD122" s="36" t="n">
        <v>220</v>
      </c>
      <c r="AE122" s="36" t="n">
        <v>220</v>
      </c>
    </row>
    <row r="123">
      <c r="A123" s="13" t="n"/>
      <c r="B123" s="13" t="n"/>
      <c r="C123" s="27" t="n"/>
      <c r="D123" s="66" t="inlineStr">
        <is>
          <t>Eficiência</t>
        </is>
      </c>
      <c r="E123" s="69" t="n">
        <v>0.8571</v>
      </c>
      <c r="F123" s="69" t="n">
        <v>1</v>
      </c>
      <c r="G123" s="69" t="n">
        <v>0.8571</v>
      </c>
      <c r="H123" s="69" t="n">
        <v>0.7143</v>
      </c>
      <c r="I123" s="69" t="n">
        <v>0.8571</v>
      </c>
      <c r="J123" s="69" t="n">
        <v>0.7143</v>
      </c>
      <c r="K123" s="69" t="n">
        <v>0.8571</v>
      </c>
      <c r="L123" s="69" t="n">
        <v>0.5714</v>
      </c>
      <c r="M123" s="69" t="n">
        <v>0.7143</v>
      </c>
      <c r="N123" s="69" t="n">
        <v>0.5714</v>
      </c>
      <c r="O123" s="69" t="n">
        <v>0.8571</v>
      </c>
      <c r="P123" s="69" t="n">
        <v>0.5714</v>
      </c>
      <c r="Q123" s="69" t="n">
        <v>0.5714</v>
      </c>
      <c r="R123" s="69" t="n">
        <v>0.8571</v>
      </c>
      <c r="S123" s="69" t="n">
        <v>1</v>
      </c>
      <c r="T123" s="69" t="n">
        <v>0.8571</v>
      </c>
      <c r="U123" s="69" t="n">
        <v>0.8571</v>
      </c>
      <c r="V123" s="69" t="n">
        <v>0.8571</v>
      </c>
      <c r="W123" s="69" t="n">
        <v>0.8571</v>
      </c>
      <c r="X123" s="69" t="n">
        <v>1</v>
      </c>
      <c r="Y123" s="69" t="n">
        <v>0.7143</v>
      </c>
      <c r="Z123" s="69" t="n">
        <v>1</v>
      </c>
      <c r="AA123" s="68" t="n"/>
      <c r="AB123" s="68" t="n"/>
      <c r="AC123" s="68" t="n"/>
      <c r="AD123" s="68" t="n"/>
      <c r="AE123" s="68" t="n"/>
    </row>
    <row r="124">
      <c r="A124" s="20" t="inlineStr">
        <is>
          <t>eap-6_7</t>
        </is>
      </c>
      <c r="B124" s="20" t="inlineStr">
        <is>
          <t>Placa em aço - película III + III - fornecimento e implantação</t>
        </is>
      </c>
      <c r="C124" s="53" t="inlineStr">
        <is>
          <t>m2</t>
        </is>
      </c>
      <c r="D124" s="54" t="inlineStr">
        <is>
          <t>Dias Trabalhados</t>
        </is>
      </c>
      <c r="E124" s="55" t="n">
        <v>6</v>
      </c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</row>
    <row r="125">
      <c r="A125" s="11" t="n"/>
      <c r="B125" s="11" t="n"/>
      <c r="C125" s="18" t="n"/>
      <c r="D125" s="57" t="inlineStr">
        <is>
          <t>Nº De Equipes</t>
        </is>
      </c>
      <c r="E125" s="58" t="n">
        <v>1</v>
      </c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  <c r="AB125" s="59" t="n"/>
      <c r="AC125" s="59" t="n"/>
      <c r="AD125" s="59" t="n"/>
      <c r="AE125" s="59" t="n"/>
    </row>
    <row r="126">
      <c r="A126" s="11" t="n"/>
      <c r="B126" s="11" t="n"/>
      <c r="C126" s="18" t="n"/>
      <c r="D126" s="57" t="inlineStr">
        <is>
          <t>Qtd. Planejada</t>
        </is>
      </c>
      <c r="E126" s="33" t="n">
        <v>27.39</v>
      </c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  <c r="AB126" s="59" t="n"/>
      <c r="AC126" s="59" t="n"/>
      <c r="AD126" s="59" t="n"/>
      <c r="AE126" s="59" t="n"/>
    </row>
    <row r="127">
      <c r="A127" s="11" t="n"/>
      <c r="B127" s="11" t="n"/>
      <c r="C127" s="18" t="n"/>
      <c r="D127" s="57" t="inlineStr">
        <is>
          <t>Qtd Plan. Acumulada</t>
        </is>
      </c>
      <c r="E127" s="33" t="n">
        <v>27.39</v>
      </c>
      <c r="F127" s="33" t="n">
        <v>27.39</v>
      </c>
      <c r="G127" s="33" t="n">
        <v>27.39</v>
      </c>
      <c r="H127" s="33" t="n">
        <v>27.39</v>
      </c>
      <c r="I127" s="33" t="n">
        <v>27.39</v>
      </c>
      <c r="J127" s="33" t="n">
        <v>27.39</v>
      </c>
      <c r="K127" s="33" t="n">
        <v>27.39</v>
      </c>
      <c r="L127" s="33" t="n">
        <v>27.39</v>
      </c>
      <c r="M127" s="33" t="n">
        <v>27.39</v>
      </c>
      <c r="N127" s="33" t="n">
        <v>27.39</v>
      </c>
      <c r="O127" s="33" t="n">
        <v>27.39</v>
      </c>
      <c r="P127" s="33" t="n">
        <v>27.39</v>
      </c>
      <c r="Q127" s="33" t="n">
        <v>27.39</v>
      </c>
      <c r="R127" s="33" t="n">
        <v>27.39</v>
      </c>
      <c r="S127" s="33" t="n">
        <v>27.39</v>
      </c>
      <c r="T127" s="33" t="n">
        <v>27.39</v>
      </c>
      <c r="U127" s="33" t="n">
        <v>27.39</v>
      </c>
      <c r="V127" s="33" t="n">
        <v>27.39</v>
      </c>
      <c r="W127" s="33" t="n">
        <v>27.39</v>
      </c>
      <c r="X127" s="33" t="n">
        <v>27.39</v>
      </c>
      <c r="Y127" s="33" t="n">
        <v>27.39</v>
      </c>
      <c r="Z127" s="33" t="n">
        <v>27.39</v>
      </c>
      <c r="AA127" s="33" t="n">
        <v>27.39</v>
      </c>
      <c r="AB127" s="33" t="n">
        <v>27.39</v>
      </c>
      <c r="AC127" s="33" t="n">
        <v>27.39</v>
      </c>
      <c r="AD127" s="33" t="n">
        <v>27.39</v>
      </c>
      <c r="AE127" s="33" t="n">
        <v>27.39</v>
      </c>
    </row>
    <row r="128">
      <c r="A128" s="11" t="n"/>
      <c r="B128" s="11" t="n"/>
      <c r="C128" s="18" t="n"/>
      <c r="D128" s="57" t="inlineStr">
        <is>
          <t>Eficiência</t>
        </is>
      </c>
      <c r="E128" s="60" t="n">
        <v>0.8571</v>
      </c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  <c r="AB128" s="59" t="n"/>
      <c r="AC128" s="59" t="n"/>
      <c r="AD128" s="59" t="n"/>
      <c r="AE128" s="59" t="n"/>
    </row>
    <row r="129">
      <c r="A129" s="61" t="inlineStr">
        <is>
          <t>eap-5_16</t>
        </is>
      </c>
      <c r="B129" s="61" t="inlineStr">
        <is>
          <t>Eegularização de valas com apiloamento do fundo</t>
        </is>
      </c>
      <c r="C129" s="62" t="inlineStr">
        <is>
          <t>m²</t>
        </is>
      </c>
      <c r="D129" s="63" t="inlineStr">
        <is>
          <t>Dias Trabalhados</t>
        </is>
      </c>
      <c r="E129" s="64" t="n">
        <v>6</v>
      </c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  <c r="AA129" s="65" t="n"/>
      <c r="AB129" s="65" t="n"/>
      <c r="AC129" s="65" t="n"/>
      <c r="AD129" s="65" t="n"/>
      <c r="AE129" s="65" t="n"/>
    </row>
    <row r="130">
      <c r="A130" s="13" t="n"/>
      <c r="B130" s="13" t="n"/>
      <c r="C130" s="27" t="n"/>
      <c r="D130" s="66" t="inlineStr">
        <is>
          <t>Nº De Equipes</t>
        </is>
      </c>
      <c r="E130" s="67" t="n">
        <v>1</v>
      </c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  <c r="AA130" s="68" t="n"/>
      <c r="AB130" s="68" t="n"/>
      <c r="AC130" s="68" t="n"/>
      <c r="AD130" s="68" t="n"/>
      <c r="AE130" s="68" t="n"/>
    </row>
    <row r="131">
      <c r="A131" s="13" t="n"/>
      <c r="B131" s="13" t="n"/>
      <c r="C131" s="27" t="n"/>
      <c r="D131" s="66" t="inlineStr">
        <is>
          <t>Qtd. Planejada</t>
        </is>
      </c>
      <c r="E131" s="36" t="n">
        <v>537.8200000000001</v>
      </c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  <c r="AA131" s="68" t="n"/>
      <c r="AB131" s="68" t="n"/>
      <c r="AC131" s="68" t="n"/>
      <c r="AD131" s="68" t="n"/>
      <c r="AE131" s="68" t="n"/>
    </row>
    <row r="132">
      <c r="A132" s="13" t="n"/>
      <c r="B132" s="13" t="n"/>
      <c r="C132" s="27" t="n"/>
      <c r="D132" s="66" t="inlineStr">
        <is>
          <t>Qtd Plan. Acumulada</t>
        </is>
      </c>
      <c r="E132" s="36" t="n">
        <v>537.8200000000001</v>
      </c>
      <c r="F132" s="36" t="n">
        <v>537.8200000000001</v>
      </c>
      <c r="G132" s="36" t="n">
        <v>537.8200000000001</v>
      </c>
      <c r="H132" s="36" t="n">
        <v>537.8200000000001</v>
      </c>
      <c r="I132" s="36" t="n">
        <v>537.8200000000001</v>
      </c>
      <c r="J132" s="36" t="n">
        <v>537.8200000000001</v>
      </c>
      <c r="K132" s="36" t="n">
        <v>537.8200000000001</v>
      </c>
      <c r="L132" s="36" t="n">
        <v>537.8200000000001</v>
      </c>
      <c r="M132" s="36" t="n">
        <v>537.8200000000001</v>
      </c>
      <c r="N132" s="36" t="n">
        <v>537.8200000000001</v>
      </c>
      <c r="O132" s="36" t="n">
        <v>537.8200000000001</v>
      </c>
      <c r="P132" s="36" t="n">
        <v>537.8200000000001</v>
      </c>
      <c r="Q132" s="36" t="n">
        <v>537.8200000000001</v>
      </c>
      <c r="R132" s="36" t="n">
        <v>537.8200000000001</v>
      </c>
      <c r="S132" s="36" t="n">
        <v>537.8200000000001</v>
      </c>
      <c r="T132" s="36" t="n">
        <v>537.8200000000001</v>
      </c>
      <c r="U132" s="36" t="n">
        <v>537.8200000000001</v>
      </c>
      <c r="V132" s="36" t="n">
        <v>537.8200000000001</v>
      </c>
      <c r="W132" s="36" t="n">
        <v>537.8200000000001</v>
      </c>
      <c r="X132" s="36" t="n">
        <v>537.8200000000001</v>
      </c>
      <c r="Y132" s="36" t="n">
        <v>537.8200000000001</v>
      </c>
      <c r="Z132" s="36" t="n">
        <v>537.8200000000001</v>
      </c>
      <c r="AA132" s="36" t="n">
        <v>537.8200000000001</v>
      </c>
      <c r="AB132" s="36" t="n">
        <v>537.8200000000001</v>
      </c>
      <c r="AC132" s="36" t="n">
        <v>537.8200000000001</v>
      </c>
      <c r="AD132" s="36" t="n">
        <v>537.8200000000001</v>
      </c>
      <c r="AE132" s="36" t="n">
        <v>537.8200000000001</v>
      </c>
    </row>
    <row r="133">
      <c r="A133" s="13" t="n"/>
      <c r="B133" s="13" t="n"/>
      <c r="C133" s="27" t="n"/>
      <c r="D133" s="66" t="inlineStr">
        <is>
          <t>Eficiência</t>
        </is>
      </c>
      <c r="E133" s="69" t="n">
        <v>0.8571</v>
      </c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  <c r="AA133" s="68" t="n"/>
      <c r="AB133" s="68" t="n"/>
      <c r="AC133" s="68" t="n"/>
      <c r="AD133" s="68" t="n"/>
      <c r="AE133" s="68" t="n"/>
    </row>
    <row r="134">
      <c r="A134" s="20" t="inlineStr">
        <is>
          <t>eap-5_5</t>
        </is>
      </c>
      <c r="B134" s="20" t="inlineStr">
        <is>
          <t>Escavação mecanizada de cavas ou valas de solo local - volume geométrico</t>
        </is>
      </c>
      <c r="C134" s="53" t="inlineStr">
        <is>
          <t>m³</t>
        </is>
      </c>
      <c r="D134" s="54" t="inlineStr">
        <is>
          <t>Dias Trabalhados</t>
        </is>
      </c>
      <c r="E134" s="55" t="n">
        <v>6</v>
      </c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</row>
    <row r="135">
      <c r="A135" s="11" t="n"/>
      <c r="B135" s="11" t="n"/>
      <c r="C135" s="18" t="n"/>
      <c r="D135" s="57" t="inlineStr">
        <is>
          <t>Nº De Equipes</t>
        </is>
      </c>
      <c r="E135" s="58" t="n">
        <v>1</v>
      </c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  <c r="AB135" s="59" t="n"/>
      <c r="AC135" s="59" t="n"/>
      <c r="AD135" s="59" t="n"/>
      <c r="AE135" s="59" t="n"/>
    </row>
    <row r="136">
      <c r="A136" s="11" t="n"/>
      <c r="B136" s="11" t="n"/>
      <c r="C136" s="18" t="n"/>
      <c r="D136" s="57" t="inlineStr">
        <is>
          <t>Qtd. Planejada</t>
        </is>
      </c>
      <c r="E136" s="33" t="n">
        <v>1445</v>
      </c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9" t="n"/>
      <c r="AB136" s="59" t="n"/>
      <c r="AC136" s="59" t="n"/>
      <c r="AD136" s="59" t="n"/>
      <c r="AE136" s="59" t="n"/>
    </row>
    <row r="137">
      <c r="A137" s="11" t="n"/>
      <c r="B137" s="11" t="n"/>
      <c r="C137" s="18" t="n"/>
      <c r="D137" s="57" t="inlineStr">
        <is>
          <t>Qtd Plan. Acumulada</t>
        </is>
      </c>
      <c r="E137" s="33" t="n">
        <v>1445</v>
      </c>
      <c r="F137" s="33" t="n">
        <v>1445</v>
      </c>
      <c r="G137" s="33" t="n">
        <v>1445</v>
      </c>
      <c r="H137" s="33" t="n">
        <v>1445</v>
      </c>
      <c r="I137" s="33" t="n">
        <v>1445</v>
      </c>
      <c r="J137" s="33" t="n">
        <v>1445</v>
      </c>
      <c r="K137" s="33" t="n">
        <v>1445</v>
      </c>
      <c r="L137" s="33" t="n">
        <v>1445</v>
      </c>
      <c r="M137" s="33" t="n">
        <v>1445</v>
      </c>
      <c r="N137" s="33" t="n">
        <v>1445</v>
      </c>
      <c r="O137" s="33" t="n">
        <v>1445</v>
      </c>
      <c r="P137" s="33" t="n">
        <v>1445</v>
      </c>
      <c r="Q137" s="33" t="n">
        <v>1445</v>
      </c>
      <c r="R137" s="33" t="n">
        <v>1445</v>
      </c>
      <c r="S137" s="33" t="n">
        <v>1445</v>
      </c>
      <c r="T137" s="33" t="n">
        <v>1445</v>
      </c>
      <c r="U137" s="33" t="n">
        <v>1445</v>
      </c>
      <c r="V137" s="33" t="n">
        <v>1445</v>
      </c>
      <c r="W137" s="33" t="n">
        <v>1445</v>
      </c>
      <c r="X137" s="33" t="n">
        <v>1445</v>
      </c>
      <c r="Y137" s="33" t="n">
        <v>1445</v>
      </c>
      <c r="Z137" s="33" t="n">
        <v>1445</v>
      </c>
      <c r="AA137" s="33" t="n">
        <v>1445</v>
      </c>
      <c r="AB137" s="33" t="n">
        <v>1445</v>
      </c>
      <c r="AC137" s="33" t="n">
        <v>1445</v>
      </c>
      <c r="AD137" s="33" t="n">
        <v>1445</v>
      </c>
      <c r="AE137" s="33" t="n">
        <v>1445</v>
      </c>
    </row>
    <row r="138">
      <c r="A138" s="11" t="n"/>
      <c r="B138" s="11" t="n"/>
      <c r="C138" s="18" t="n"/>
      <c r="D138" s="57" t="inlineStr">
        <is>
          <t>Eficiência</t>
        </is>
      </c>
      <c r="E138" s="60" t="n">
        <v>0.8571</v>
      </c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  <c r="AA138" s="59" t="n"/>
      <c r="AB138" s="59" t="n"/>
      <c r="AC138" s="59" t="n"/>
      <c r="AD138" s="59" t="n"/>
      <c r="AE138" s="59" t="n"/>
    </row>
    <row r="139">
      <c r="A139" s="61" t="inlineStr">
        <is>
          <t>eap-2_1</t>
        </is>
      </c>
      <c r="B139" s="61" t="inlineStr">
        <is>
          <t>Escavação, carga e transporte de material de 1ª categoria - dmt de 400 a 600 m - caminho de serviço em leito natural - com carregadeira e caminhão basculante de 14 m³ - volume geométrico</t>
        </is>
      </c>
      <c r="C139" s="62" t="inlineStr">
        <is>
          <t>m3</t>
        </is>
      </c>
      <c r="D139" s="63" t="inlineStr">
        <is>
          <t>Dias Trabalhados</t>
        </is>
      </c>
      <c r="E139" s="64" t="n">
        <v>6</v>
      </c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  <c r="AA139" s="65" t="n"/>
      <c r="AB139" s="65" t="n"/>
      <c r="AC139" s="65" t="n"/>
      <c r="AD139" s="65" t="n"/>
      <c r="AE139" s="65" t="n"/>
    </row>
    <row r="140">
      <c r="A140" s="13" t="n"/>
      <c r="B140" s="13" t="n"/>
      <c r="C140" s="27" t="n"/>
      <c r="D140" s="66" t="inlineStr">
        <is>
          <t>Nº De Equipes</t>
        </is>
      </c>
      <c r="E140" s="67" t="n">
        <v>1</v>
      </c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  <c r="AA140" s="68" t="n"/>
      <c r="AB140" s="68" t="n"/>
      <c r="AC140" s="68" t="n"/>
      <c r="AD140" s="68" t="n"/>
      <c r="AE140" s="68" t="n"/>
    </row>
    <row r="141">
      <c r="A141" s="13" t="n"/>
      <c r="B141" s="13" t="n"/>
      <c r="C141" s="27" t="n"/>
      <c r="D141" s="66" t="inlineStr">
        <is>
          <t>Qtd. Planejada</t>
        </is>
      </c>
      <c r="E141" s="36" t="n">
        <v>1194.65</v>
      </c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  <c r="AA141" s="68" t="n"/>
      <c r="AB141" s="68" t="n"/>
      <c r="AC141" s="68" t="n"/>
      <c r="AD141" s="68" t="n"/>
      <c r="AE141" s="68" t="n"/>
    </row>
    <row r="142">
      <c r="A142" s="13" t="n"/>
      <c r="B142" s="13" t="n"/>
      <c r="C142" s="27" t="n"/>
      <c r="D142" s="66" t="inlineStr">
        <is>
          <t>Qtd Plan. Acumulada</t>
        </is>
      </c>
      <c r="E142" s="36" t="n">
        <v>1194.65</v>
      </c>
      <c r="F142" s="36" t="n">
        <v>1194.65</v>
      </c>
      <c r="G142" s="36" t="n">
        <v>1194.65</v>
      </c>
      <c r="H142" s="36" t="n">
        <v>1194.65</v>
      </c>
      <c r="I142" s="36" t="n">
        <v>1194.65</v>
      </c>
      <c r="J142" s="36" t="n">
        <v>1194.65</v>
      </c>
      <c r="K142" s="36" t="n">
        <v>1194.65</v>
      </c>
      <c r="L142" s="36" t="n">
        <v>1194.65</v>
      </c>
      <c r="M142" s="36" t="n">
        <v>1194.65</v>
      </c>
      <c r="N142" s="36" t="n">
        <v>1194.65</v>
      </c>
      <c r="O142" s="36" t="n">
        <v>1194.65</v>
      </c>
      <c r="P142" s="36" t="n">
        <v>1194.65</v>
      </c>
      <c r="Q142" s="36" t="n">
        <v>1194.65</v>
      </c>
      <c r="R142" s="36" t="n">
        <v>1194.65</v>
      </c>
      <c r="S142" s="36" t="n">
        <v>1194.65</v>
      </c>
      <c r="T142" s="36" t="n">
        <v>1194.65</v>
      </c>
      <c r="U142" s="36" t="n">
        <v>1194.65</v>
      </c>
      <c r="V142" s="36" t="n">
        <v>1194.65</v>
      </c>
      <c r="W142" s="36" t="n">
        <v>1194.65</v>
      </c>
      <c r="X142" s="36" t="n">
        <v>1194.65</v>
      </c>
      <c r="Y142" s="36" t="n">
        <v>1194.65</v>
      </c>
      <c r="Z142" s="36" t="n">
        <v>1194.65</v>
      </c>
      <c r="AA142" s="36" t="n">
        <v>1194.65</v>
      </c>
      <c r="AB142" s="36" t="n">
        <v>1194.65</v>
      </c>
      <c r="AC142" s="36" t="n">
        <v>1194.65</v>
      </c>
      <c r="AD142" s="36" t="n">
        <v>1194.65</v>
      </c>
      <c r="AE142" s="36" t="n">
        <v>1194.65</v>
      </c>
    </row>
    <row r="143">
      <c r="A143" s="13" t="n"/>
      <c r="B143" s="13" t="n"/>
      <c r="C143" s="27" t="n"/>
      <c r="D143" s="66" t="inlineStr">
        <is>
          <t>Eficiência</t>
        </is>
      </c>
      <c r="E143" s="69" t="n">
        <v>0.8571</v>
      </c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  <c r="AA143" s="68" t="n"/>
      <c r="AB143" s="68" t="n"/>
      <c r="AC143" s="68" t="n"/>
      <c r="AD143" s="68" t="n"/>
      <c r="AE143" s="68" t="n"/>
    </row>
    <row r="144">
      <c r="A144" s="20" t="inlineStr">
        <is>
          <t>eap-5_7</t>
        </is>
      </c>
      <c r="B144" s="20" t="inlineStr">
        <is>
          <t>Regularização de bota-fora com espalhamento e compactação</t>
        </is>
      </c>
      <c r="C144" s="53" t="inlineStr">
        <is>
          <t>m³</t>
        </is>
      </c>
      <c r="D144" s="54" t="inlineStr">
        <is>
          <t>Dias Trabalhados</t>
        </is>
      </c>
      <c r="E144" s="55" t="n">
        <v>6</v>
      </c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56" t="n"/>
      <c r="AB144" s="56" t="n"/>
      <c r="AC144" s="56" t="n"/>
      <c r="AD144" s="56" t="n"/>
      <c r="AE144" s="56" t="n"/>
    </row>
    <row r="145">
      <c r="A145" s="11" t="n"/>
      <c r="B145" s="11" t="n"/>
      <c r="C145" s="18" t="n"/>
      <c r="D145" s="57" t="inlineStr">
        <is>
          <t>Nº De Equipes</t>
        </is>
      </c>
      <c r="E145" s="58" t="n">
        <v>1</v>
      </c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  <c r="AB145" s="59" t="n"/>
      <c r="AC145" s="59" t="n"/>
      <c r="AD145" s="59" t="n"/>
      <c r="AE145" s="59" t="n"/>
    </row>
    <row r="146">
      <c r="A146" s="11" t="n"/>
      <c r="B146" s="11" t="n"/>
      <c r="C146" s="18" t="n"/>
      <c r="D146" s="57" t="inlineStr">
        <is>
          <t>Qtd. Planejada</t>
        </is>
      </c>
      <c r="E146" s="33" t="n">
        <v>1445</v>
      </c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  <c r="AA146" s="59" t="n"/>
      <c r="AB146" s="59" t="n"/>
      <c r="AC146" s="59" t="n"/>
      <c r="AD146" s="59" t="n"/>
      <c r="AE146" s="59" t="n"/>
    </row>
    <row r="147">
      <c r="A147" s="11" t="n"/>
      <c r="B147" s="11" t="n"/>
      <c r="C147" s="18" t="n"/>
      <c r="D147" s="57" t="inlineStr">
        <is>
          <t>Qtd Plan. Acumulada</t>
        </is>
      </c>
      <c r="E147" s="33" t="n">
        <v>1445</v>
      </c>
      <c r="F147" s="33" t="n">
        <v>1445</v>
      </c>
      <c r="G147" s="33" t="n">
        <v>1445</v>
      </c>
      <c r="H147" s="33" t="n">
        <v>1445</v>
      </c>
      <c r="I147" s="33" t="n">
        <v>1445</v>
      </c>
      <c r="J147" s="33" t="n">
        <v>1445</v>
      </c>
      <c r="K147" s="33" t="n">
        <v>1445</v>
      </c>
      <c r="L147" s="33" t="n">
        <v>1445</v>
      </c>
      <c r="M147" s="33" t="n">
        <v>1445</v>
      </c>
      <c r="N147" s="33" t="n">
        <v>1445</v>
      </c>
      <c r="O147" s="33" t="n">
        <v>1445</v>
      </c>
      <c r="P147" s="33" t="n">
        <v>1445</v>
      </c>
      <c r="Q147" s="33" t="n">
        <v>1445</v>
      </c>
      <c r="R147" s="33" t="n">
        <v>1445</v>
      </c>
      <c r="S147" s="33" t="n">
        <v>1445</v>
      </c>
      <c r="T147" s="33" t="n">
        <v>1445</v>
      </c>
      <c r="U147" s="33" t="n">
        <v>1445</v>
      </c>
      <c r="V147" s="33" t="n">
        <v>1445</v>
      </c>
      <c r="W147" s="33" t="n">
        <v>1445</v>
      </c>
      <c r="X147" s="33" t="n">
        <v>1445</v>
      </c>
      <c r="Y147" s="33" t="n">
        <v>1445</v>
      </c>
      <c r="Z147" s="33" t="n">
        <v>1445</v>
      </c>
      <c r="AA147" s="33" t="n">
        <v>1445</v>
      </c>
      <c r="AB147" s="33" t="n">
        <v>1445</v>
      </c>
      <c r="AC147" s="33" t="n">
        <v>1445</v>
      </c>
      <c r="AD147" s="33" t="n">
        <v>1445</v>
      </c>
      <c r="AE147" s="33" t="n">
        <v>1445</v>
      </c>
    </row>
    <row r="148">
      <c r="A148" s="11" t="n"/>
      <c r="B148" s="11" t="n"/>
      <c r="C148" s="18" t="n"/>
      <c r="D148" s="57" t="inlineStr">
        <is>
          <t>Eficiência</t>
        </is>
      </c>
      <c r="E148" s="60" t="n">
        <v>0.8571</v>
      </c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  <c r="AA148" s="59" t="n"/>
      <c r="AB148" s="59" t="n"/>
      <c r="AC148" s="59" t="n"/>
      <c r="AD148" s="59" t="n"/>
      <c r="AE148" s="59" t="n"/>
    </row>
    <row r="149">
      <c r="A149" s="61" t="inlineStr">
        <is>
          <t>eap-4_9</t>
        </is>
      </c>
      <c r="B149" s="61" t="inlineStr">
        <is>
          <t>Fresagem de pavimento esp=10cm (Para encaixes novas alças)</t>
        </is>
      </c>
      <c r="C149" s="62" t="inlineStr">
        <is>
          <t>m3</t>
        </is>
      </c>
      <c r="D149" s="63" t="inlineStr">
        <is>
          <t>Dias Trabalhados</t>
        </is>
      </c>
      <c r="E149" s="64" t="n">
        <v>6</v>
      </c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  <c r="AA149" s="65" t="n"/>
      <c r="AB149" s="65" t="n"/>
      <c r="AC149" s="65" t="n"/>
      <c r="AD149" s="65" t="n"/>
      <c r="AE149" s="65" t="n"/>
    </row>
    <row r="150">
      <c r="A150" s="13" t="n"/>
      <c r="B150" s="13" t="n"/>
      <c r="C150" s="27" t="n"/>
      <c r="D150" s="66" t="inlineStr">
        <is>
          <t>Nº De Equipes</t>
        </is>
      </c>
      <c r="E150" s="67" t="n">
        <v>1</v>
      </c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  <c r="AA150" s="68" t="n"/>
      <c r="AB150" s="68" t="n"/>
      <c r="AC150" s="68" t="n"/>
      <c r="AD150" s="68" t="n"/>
      <c r="AE150" s="68" t="n"/>
    </row>
    <row r="151">
      <c r="A151" s="13" t="n"/>
      <c r="B151" s="13" t="n"/>
      <c r="C151" s="27" t="n"/>
      <c r="D151" s="66" t="inlineStr">
        <is>
          <t>Qtd. Planejada</t>
        </is>
      </c>
      <c r="E151" s="36" t="n">
        <v>60</v>
      </c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  <c r="AA151" s="68" t="n"/>
      <c r="AB151" s="68" t="n"/>
      <c r="AC151" s="68" t="n"/>
      <c r="AD151" s="68" t="n"/>
      <c r="AE151" s="68" t="n"/>
    </row>
    <row r="152">
      <c r="A152" s="13" t="n"/>
      <c r="B152" s="13" t="n"/>
      <c r="C152" s="27" t="n"/>
      <c r="D152" s="66" t="inlineStr">
        <is>
          <t>Qtd Plan. Acumulada</t>
        </is>
      </c>
      <c r="E152" s="36" t="n">
        <v>60</v>
      </c>
      <c r="F152" s="36" t="n">
        <v>60</v>
      </c>
      <c r="G152" s="36" t="n">
        <v>60</v>
      </c>
      <c r="H152" s="36" t="n">
        <v>60</v>
      </c>
      <c r="I152" s="36" t="n">
        <v>60</v>
      </c>
      <c r="J152" s="36" t="n">
        <v>60</v>
      </c>
      <c r="K152" s="36" t="n">
        <v>60</v>
      </c>
      <c r="L152" s="36" t="n">
        <v>60</v>
      </c>
      <c r="M152" s="36" t="n">
        <v>60</v>
      </c>
      <c r="N152" s="36" t="n">
        <v>60</v>
      </c>
      <c r="O152" s="36" t="n">
        <v>60</v>
      </c>
      <c r="P152" s="36" t="n">
        <v>60</v>
      </c>
      <c r="Q152" s="36" t="n">
        <v>60</v>
      </c>
      <c r="R152" s="36" t="n">
        <v>60</v>
      </c>
      <c r="S152" s="36" t="n">
        <v>60</v>
      </c>
      <c r="T152" s="36" t="n">
        <v>60</v>
      </c>
      <c r="U152" s="36" t="n">
        <v>60</v>
      </c>
      <c r="V152" s="36" t="n">
        <v>60</v>
      </c>
      <c r="W152" s="36" t="n">
        <v>60</v>
      </c>
      <c r="X152" s="36" t="n">
        <v>60</v>
      </c>
      <c r="Y152" s="36" t="n">
        <v>60</v>
      </c>
      <c r="Z152" s="36" t="n">
        <v>60</v>
      </c>
      <c r="AA152" s="36" t="n">
        <v>60</v>
      </c>
      <c r="AB152" s="36" t="n">
        <v>60</v>
      </c>
      <c r="AC152" s="36" t="n">
        <v>60</v>
      </c>
      <c r="AD152" s="36" t="n">
        <v>60</v>
      </c>
      <c r="AE152" s="36" t="n">
        <v>60</v>
      </c>
    </row>
    <row r="153">
      <c r="A153" s="13" t="n"/>
      <c r="B153" s="13" t="n"/>
      <c r="C153" s="27" t="n"/>
      <c r="D153" s="66" t="inlineStr">
        <is>
          <t>Eficiência</t>
        </is>
      </c>
      <c r="E153" s="69" t="n">
        <v>0.8571</v>
      </c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  <c r="AA153" s="68" t="n"/>
      <c r="AB153" s="68" t="n"/>
      <c r="AC153" s="68" t="n"/>
      <c r="AD153" s="68" t="n"/>
      <c r="AE153" s="68" t="n"/>
    </row>
    <row r="154">
      <c r="A154" s="20" t="inlineStr">
        <is>
          <t>eap-5_18</t>
        </is>
      </c>
      <c r="B154" s="20" t="inlineStr">
        <is>
          <t>Hidrossemeadura para cobertura de taludes</t>
        </is>
      </c>
      <c r="C154" s="53" t="inlineStr">
        <is>
          <t>m²</t>
        </is>
      </c>
      <c r="D154" s="54" t="inlineStr">
        <is>
          <t>Dias Trabalhados</t>
        </is>
      </c>
      <c r="E154" s="55" t="n">
        <v>6</v>
      </c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56" t="n"/>
      <c r="AB154" s="56" t="n"/>
      <c r="AC154" s="56" t="n"/>
      <c r="AD154" s="56" t="n"/>
      <c r="AE154" s="56" t="n"/>
    </row>
    <row r="155">
      <c r="A155" s="11" t="n"/>
      <c r="B155" s="11" t="n"/>
      <c r="C155" s="18" t="n"/>
      <c r="D155" s="57" t="inlineStr">
        <is>
          <t>Nº De Equipes</t>
        </is>
      </c>
      <c r="E155" s="58" t="n">
        <v>1</v>
      </c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  <c r="AB155" s="59" t="n"/>
      <c r="AC155" s="59" t="n"/>
      <c r="AD155" s="59" t="n"/>
      <c r="AE155" s="59" t="n"/>
    </row>
    <row r="156">
      <c r="A156" s="11" t="n"/>
      <c r="B156" s="11" t="n"/>
      <c r="C156" s="18" t="n"/>
      <c r="D156" s="57" t="inlineStr">
        <is>
          <t>Qtd. Planejada</t>
        </is>
      </c>
      <c r="E156" s="33" t="n">
        <v>537.8200000000001</v>
      </c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  <c r="AA156" s="59" t="n"/>
      <c r="AB156" s="59" t="n"/>
      <c r="AC156" s="59" t="n"/>
      <c r="AD156" s="59" t="n"/>
      <c r="AE156" s="59" t="n"/>
    </row>
    <row r="157">
      <c r="A157" s="11" t="n"/>
      <c r="B157" s="11" t="n"/>
      <c r="C157" s="18" t="n"/>
      <c r="D157" s="57" t="inlineStr">
        <is>
          <t>Qtd Plan. Acumulada</t>
        </is>
      </c>
      <c r="E157" s="33" t="n">
        <v>537.8200000000001</v>
      </c>
      <c r="F157" s="33" t="n">
        <v>537.8200000000001</v>
      </c>
      <c r="G157" s="33" t="n">
        <v>537.8200000000001</v>
      </c>
      <c r="H157" s="33" t="n">
        <v>537.8200000000001</v>
      </c>
      <c r="I157" s="33" t="n">
        <v>537.8200000000001</v>
      </c>
      <c r="J157" s="33" t="n">
        <v>537.8200000000001</v>
      </c>
      <c r="K157" s="33" t="n">
        <v>537.8200000000001</v>
      </c>
      <c r="L157" s="33" t="n">
        <v>537.8200000000001</v>
      </c>
      <c r="M157" s="33" t="n">
        <v>537.8200000000001</v>
      </c>
      <c r="N157" s="33" t="n">
        <v>537.8200000000001</v>
      </c>
      <c r="O157" s="33" t="n">
        <v>537.8200000000001</v>
      </c>
      <c r="P157" s="33" t="n">
        <v>537.8200000000001</v>
      </c>
      <c r="Q157" s="33" t="n">
        <v>537.8200000000001</v>
      </c>
      <c r="R157" s="33" t="n">
        <v>537.8200000000001</v>
      </c>
      <c r="S157" s="33" t="n">
        <v>537.8200000000001</v>
      </c>
      <c r="T157" s="33" t="n">
        <v>537.8200000000001</v>
      </c>
      <c r="U157" s="33" t="n">
        <v>537.8200000000001</v>
      </c>
      <c r="V157" s="33" t="n">
        <v>537.8200000000001</v>
      </c>
      <c r="W157" s="33" t="n">
        <v>537.8200000000001</v>
      </c>
      <c r="X157" s="33" t="n">
        <v>537.8200000000001</v>
      </c>
      <c r="Y157" s="33" t="n">
        <v>537.8200000000001</v>
      </c>
      <c r="Z157" s="33" t="n">
        <v>537.8200000000001</v>
      </c>
      <c r="AA157" s="33" t="n">
        <v>537.8200000000001</v>
      </c>
      <c r="AB157" s="33" t="n">
        <v>537.8200000000001</v>
      </c>
      <c r="AC157" s="33" t="n">
        <v>537.8200000000001</v>
      </c>
      <c r="AD157" s="33" t="n">
        <v>537.8200000000001</v>
      </c>
      <c r="AE157" s="33" t="n">
        <v>537.8200000000001</v>
      </c>
    </row>
    <row r="158">
      <c r="A158" s="11" t="n"/>
      <c r="B158" s="11" t="n"/>
      <c r="C158" s="18" t="n"/>
      <c r="D158" s="57" t="inlineStr">
        <is>
          <t>Eficiência</t>
        </is>
      </c>
      <c r="E158" s="60" t="n">
        <v>0.8571</v>
      </c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  <c r="AA158" s="59" t="n"/>
      <c r="AB158" s="59" t="n"/>
      <c r="AC158" s="59" t="n"/>
      <c r="AD158" s="59" t="n"/>
      <c r="AE158" s="59" t="n"/>
    </row>
    <row r="159">
      <c r="A159" s="61" t="inlineStr">
        <is>
          <t>eap-5_9</t>
        </is>
      </c>
      <c r="B159" s="61" t="inlineStr">
        <is>
          <t>Manutenção de cobertura de gramíneas por hidrossemeadura</t>
        </is>
      </c>
      <c r="C159" s="62" t="inlineStr">
        <is>
          <t>m²</t>
        </is>
      </c>
      <c r="D159" s="63" t="inlineStr">
        <is>
          <t>Dias Trabalhados</t>
        </is>
      </c>
      <c r="E159" s="64" t="n">
        <v>6</v>
      </c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  <c r="AA159" s="65" t="n"/>
      <c r="AB159" s="65" t="n"/>
      <c r="AC159" s="65" t="n"/>
      <c r="AD159" s="65" t="n"/>
      <c r="AE159" s="65" t="n"/>
    </row>
    <row r="160">
      <c r="A160" s="13" t="n"/>
      <c r="B160" s="13" t="n"/>
      <c r="C160" s="27" t="n"/>
      <c r="D160" s="66" t="inlineStr">
        <is>
          <t>Nº De Equipes</t>
        </is>
      </c>
      <c r="E160" s="67" t="n">
        <v>1</v>
      </c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  <c r="AA160" s="68" t="n"/>
      <c r="AB160" s="68" t="n"/>
      <c r="AC160" s="68" t="n"/>
      <c r="AD160" s="68" t="n"/>
      <c r="AE160" s="68" t="n"/>
    </row>
    <row r="161">
      <c r="A161" s="13" t="n"/>
      <c r="B161" s="13" t="n"/>
      <c r="C161" s="27" t="n"/>
      <c r="D161" s="66" t="inlineStr">
        <is>
          <t>Qtd. Planejada</t>
        </is>
      </c>
      <c r="E161" s="36" t="n">
        <v>2408.34</v>
      </c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  <c r="AA161" s="68" t="n"/>
      <c r="AB161" s="68" t="n"/>
      <c r="AC161" s="68" t="n"/>
      <c r="AD161" s="68" t="n"/>
      <c r="AE161" s="68" t="n"/>
    </row>
    <row r="162">
      <c r="A162" s="13" t="n"/>
      <c r="B162" s="13" t="n"/>
      <c r="C162" s="27" t="n"/>
      <c r="D162" s="66" t="inlineStr">
        <is>
          <t>Qtd Plan. Acumulada</t>
        </is>
      </c>
      <c r="E162" s="36" t="n">
        <v>2408.34</v>
      </c>
      <c r="F162" s="36" t="n">
        <v>2408.34</v>
      </c>
      <c r="G162" s="36" t="n">
        <v>2408.34</v>
      </c>
      <c r="H162" s="36" t="n">
        <v>2408.34</v>
      </c>
      <c r="I162" s="36" t="n">
        <v>2408.34</v>
      </c>
      <c r="J162" s="36" t="n">
        <v>2408.34</v>
      </c>
      <c r="K162" s="36" t="n">
        <v>2408.34</v>
      </c>
      <c r="L162" s="36" t="n">
        <v>2408.34</v>
      </c>
      <c r="M162" s="36" t="n">
        <v>2408.34</v>
      </c>
      <c r="N162" s="36" t="n">
        <v>2408.34</v>
      </c>
      <c r="O162" s="36" t="n">
        <v>2408.34</v>
      </c>
      <c r="P162" s="36" t="n">
        <v>2408.34</v>
      </c>
      <c r="Q162" s="36" t="n">
        <v>2408.34</v>
      </c>
      <c r="R162" s="36" t="n">
        <v>2408.34</v>
      </c>
      <c r="S162" s="36" t="n">
        <v>2408.34</v>
      </c>
      <c r="T162" s="36" t="n">
        <v>2408.34</v>
      </c>
      <c r="U162" s="36" t="n">
        <v>2408.34</v>
      </c>
      <c r="V162" s="36" t="n">
        <v>2408.34</v>
      </c>
      <c r="W162" s="36" t="n">
        <v>2408.34</v>
      </c>
      <c r="X162" s="36" t="n">
        <v>2408.34</v>
      </c>
      <c r="Y162" s="36" t="n">
        <v>2408.34</v>
      </c>
      <c r="Z162" s="36" t="n">
        <v>2408.34</v>
      </c>
      <c r="AA162" s="36" t="n">
        <v>2408.34</v>
      </c>
      <c r="AB162" s="36" t="n">
        <v>2408.34</v>
      </c>
      <c r="AC162" s="36" t="n">
        <v>2408.34</v>
      </c>
      <c r="AD162" s="36" t="n">
        <v>2408.34</v>
      </c>
      <c r="AE162" s="36" t="n">
        <v>2408.34</v>
      </c>
    </row>
    <row r="163">
      <c r="A163" s="13" t="n"/>
      <c r="B163" s="13" t="n"/>
      <c r="C163" s="27" t="n"/>
      <c r="D163" s="66" t="inlineStr">
        <is>
          <t>Eficiência</t>
        </is>
      </c>
      <c r="E163" s="69" t="n">
        <v>0.8571</v>
      </c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  <c r="AA163" s="68" t="n"/>
      <c r="AB163" s="68" t="n"/>
      <c r="AC163" s="68" t="n"/>
      <c r="AD163" s="68" t="n"/>
      <c r="AE163" s="68" t="n"/>
    </row>
    <row r="164">
      <c r="A164" s="20" t="inlineStr">
        <is>
          <t>eap-5_15</t>
        </is>
      </c>
      <c r="B164" s="20" t="inlineStr">
        <is>
          <t>Escavação mecanizada de cavas ou valas de solo local - volume geométrico</t>
        </is>
      </c>
      <c r="C164" s="53" t="inlineStr">
        <is>
          <t>m³</t>
        </is>
      </c>
      <c r="D164" s="54" t="inlineStr">
        <is>
          <t>Dias Trabalhados</t>
        </is>
      </c>
      <c r="E164" s="55" t="n">
        <v>6</v>
      </c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56" t="n"/>
      <c r="AB164" s="56" t="n"/>
      <c r="AC164" s="56" t="n"/>
      <c r="AD164" s="56" t="n"/>
      <c r="AE164" s="56" t="n"/>
    </row>
    <row r="165">
      <c r="A165" s="11" t="n"/>
      <c r="B165" s="11" t="n"/>
      <c r="C165" s="18" t="n"/>
      <c r="D165" s="57" t="inlineStr">
        <is>
          <t>Nº De Equipes</t>
        </is>
      </c>
      <c r="E165" s="58" t="n">
        <v>1</v>
      </c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  <c r="AB165" s="59" t="n"/>
      <c r="AC165" s="59" t="n"/>
      <c r="AD165" s="59" t="n"/>
      <c r="AE165" s="59" t="n"/>
    </row>
    <row r="166">
      <c r="A166" s="11" t="n"/>
      <c r="B166" s="11" t="n"/>
      <c r="C166" s="18" t="n"/>
      <c r="D166" s="57" t="inlineStr">
        <is>
          <t>Qtd. Planejada</t>
        </is>
      </c>
      <c r="E166" s="33" t="n">
        <v>268.91</v>
      </c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  <c r="AA166" s="59" t="n"/>
      <c r="AB166" s="59" t="n"/>
      <c r="AC166" s="59" t="n"/>
      <c r="AD166" s="59" t="n"/>
      <c r="AE166" s="59" t="n"/>
    </row>
    <row r="167">
      <c r="A167" s="11" t="n"/>
      <c r="B167" s="11" t="n"/>
      <c r="C167" s="18" t="n"/>
      <c r="D167" s="57" t="inlineStr">
        <is>
          <t>Qtd Plan. Acumulada</t>
        </is>
      </c>
      <c r="E167" s="33" t="n">
        <v>268.91</v>
      </c>
      <c r="F167" s="33" t="n">
        <v>268.91</v>
      </c>
      <c r="G167" s="33" t="n">
        <v>268.91</v>
      </c>
      <c r="H167" s="33" t="n">
        <v>268.91</v>
      </c>
      <c r="I167" s="33" t="n">
        <v>268.91</v>
      </c>
      <c r="J167" s="33" t="n">
        <v>268.91</v>
      </c>
      <c r="K167" s="33" t="n">
        <v>268.91</v>
      </c>
      <c r="L167" s="33" t="n">
        <v>268.91</v>
      </c>
      <c r="M167" s="33" t="n">
        <v>268.91</v>
      </c>
      <c r="N167" s="33" t="n">
        <v>268.91</v>
      </c>
      <c r="O167" s="33" t="n">
        <v>268.91</v>
      </c>
      <c r="P167" s="33" t="n">
        <v>268.91</v>
      </c>
      <c r="Q167" s="33" t="n">
        <v>268.91</v>
      </c>
      <c r="R167" s="33" t="n">
        <v>268.91</v>
      </c>
      <c r="S167" s="33" t="n">
        <v>268.91</v>
      </c>
      <c r="T167" s="33" t="n">
        <v>268.91</v>
      </c>
      <c r="U167" s="33" t="n">
        <v>268.91</v>
      </c>
      <c r="V167" s="33" t="n">
        <v>268.91</v>
      </c>
      <c r="W167" s="33" t="n">
        <v>268.91</v>
      </c>
      <c r="X167" s="33" t="n">
        <v>268.91</v>
      </c>
      <c r="Y167" s="33" t="n">
        <v>268.91</v>
      </c>
      <c r="Z167" s="33" t="n">
        <v>268.91</v>
      </c>
      <c r="AA167" s="33" t="n">
        <v>268.91</v>
      </c>
      <c r="AB167" s="33" t="n">
        <v>268.91</v>
      </c>
      <c r="AC167" s="33" t="n">
        <v>268.91</v>
      </c>
      <c r="AD167" s="33" t="n">
        <v>268.91</v>
      </c>
      <c r="AE167" s="33" t="n">
        <v>268.91</v>
      </c>
    </row>
    <row r="168">
      <c r="A168" s="11" t="n"/>
      <c r="B168" s="11" t="n"/>
      <c r="C168" s="18" t="n"/>
      <c r="D168" s="57" t="inlineStr">
        <is>
          <t>Eficiência</t>
        </is>
      </c>
      <c r="E168" s="60" t="n">
        <v>0.8571</v>
      </c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  <c r="AA168" s="59" t="n"/>
      <c r="AB168" s="59" t="n"/>
      <c r="AC168" s="59" t="n"/>
      <c r="AD168" s="59" t="n"/>
      <c r="AE168" s="59" t="n"/>
    </row>
    <row r="169">
      <c r="A169" s="61" t="inlineStr">
        <is>
          <t>eap-5_17</t>
        </is>
      </c>
      <c r="B169" s="61" t="inlineStr">
        <is>
          <t>Eegularização de bota-fora com espalhamento e compactação</t>
        </is>
      </c>
      <c r="C169" s="62" t="inlineStr">
        <is>
          <t>m³</t>
        </is>
      </c>
      <c r="D169" s="63" t="inlineStr">
        <is>
          <t>Dias Trabalhados</t>
        </is>
      </c>
      <c r="E169" s="64" t="n">
        <v>6</v>
      </c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  <c r="AA169" s="65" t="n"/>
      <c r="AB169" s="65" t="n"/>
      <c r="AC169" s="65" t="n"/>
      <c r="AD169" s="65" t="n"/>
      <c r="AE169" s="65" t="n"/>
    </row>
    <row r="170">
      <c r="A170" s="13" t="n"/>
      <c r="B170" s="13" t="n"/>
      <c r="C170" s="27" t="n"/>
      <c r="D170" s="66" t="inlineStr">
        <is>
          <t>Nº De Equipes</t>
        </is>
      </c>
      <c r="E170" s="67" t="n">
        <v>1</v>
      </c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  <c r="AA170" s="68" t="n"/>
      <c r="AB170" s="68" t="n"/>
      <c r="AC170" s="68" t="n"/>
      <c r="AD170" s="68" t="n"/>
      <c r="AE170" s="68" t="n"/>
    </row>
    <row r="171">
      <c r="A171" s="13" t="n"/>
      <c r="B171" s="13" t="n"/>
      <c r="C171" s="27" t="n"/>
      <c r="D171" s="66" t="inlineStr">
        <is>
          <t>Qtd. Planejada</t>
        </is>
      </c>
      <c r="E171" s="36" t="n">
        <v>268.91</v>
      </c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  <c r="AA171" s="68" t="n"/>
      <c r="AB171" s="68" t="n"/>
      <c r="AC171" s="68" t="n"/>
      <c r="AD171" s="68" t="n"/>
      <c r="AE171" s="68" t="n"/>
    </row>
    <row r="172">
      <c r="A172" s="13" t="n"/>
      <c r="B172" s="13" t="n"/>
      <c r="C172" s="27" t="n"/>
      <c r="D172" s="66" t="inlineStr">
        <is>
          <t>Qtd Plan. Acumulada</t>
        </is>
      </c>
      <c r="E172" s="36" t="n">
        <v>268.91</v>
      </c>
      <c r="F172" s="36" t="n">
        <v>268.91</v>
      </c>
      <c r="G172" s="36" t="n">
        <v>268.91</v>
      </c>
      <c r="H172" s="36" t="n">
        <v>268.91</v>
      </c>
      <c r="I172" s="36" t="n">
        <v>268.91</v>
      </c>
      <c r="J172" s="36" t="n">
        <v>268.91</v>
      </c>
      <c r="K172" s="36" t="n">
        <v>268.91</v>
      </c>
      <c r="L172" s="36" t="n">
        <v>268.91</v>
      </c>
      <c r="M172" s="36" t="n">
        <v>268.91</v>
      </c>
      <c r="N172" s="36" t="n">
        <v>268.91</v>
      </c>
      <c r="O172" s="36" t="n">
        <v>268.91</v>
      </c>
      <c r="P172" s="36" t="n">
        <v>268.91</v>
      </c>
      <c r="Q172" s="36" t="n">
        <v>268.91</v>
      </c>
      <c r="R172" s="36" t="n">
        <v>268.91</v>
      </c>
      <c r="S172" s="36" t="n">
        <v>268.91</v>
      </c>
      <c r="T172" s="36" t="n">
        <v>268.91</v>
      </c>
      <c r="U172" s="36" t="n">
        <v>268.91</v>
      </c>
      <c r="V172" s="36" t="n">
        <v>268.91</v>
      </c>
      <c r="W172" s="36" t="n">
        <v>268.91</v>
      </c>
      <c r="X172" s="36" t="n">
        <v>268.91</v>
      </c>
      <c r="Y172" s="36" t="n">
        <v>268.91</v>
      </c>
      <c r="Z172" s="36" t="n">
        <v>268.91</v>
      </c>
      <c r="AA172" s="36" t="n">
        <v>268.91</v>
      </c>
      <c r="AB172" s="36" t="n">
        <v>268.91</v>
      </c>
      <c r="AC172" s="36" t="n">
        <v>268.91</v>
      </c>
      <c r="AD172" s="36" t="n">
        <v>268.91</v>
      </c>
      <c r="AE172" s="36" t="n">
        <v>268.91</v>
      </c>
    </row>
    <row r="173">
      <c r="A173" s="13" t="n"/>
      <c r="B173" s="13" t="n"/>
      <c r="C173" s="27" t="n"/>
      <c r="D173" s="66" t="inlineStr">
        <is>
          <t>Eficiência</t>
        </is>
      </c>
      <c r="E173" s="69" t="n">
        <v>0.8571</v>
      </c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  <c r="AA173" s="68" t="n"/>
      <c r="AB173" s="68" t="n"/>
      <c r="AC173" s="68" t="n"/>
      <c r="AD173" s="68" t="n"/>
      <c r="AE173" s="68" t="n"/>
    </row>
    <row r="174">
      <c r="A174" s="20" t="inlineStr">
        <is>
          <t>eap-5_19</t>
        </is>
      </c>
      <c r="B174" s="20" t="inlineStr">
        <is>
          <t>manutenção de cobertura de gramíneas por hidrossemeadura</t>
        </is>
      </c>
      <c r="C174" s="53" t="inlineStr">
        <is>
          <t>m²</t>
        </is>
      </c>
      <c r="D174" s="54" t="inlineStr">
        <is>
          <t>Dias Trabalhados</t>
        </is>
      </c>
      <c r="E174" s="55" t="n">
        <v>6</v>
      </c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56" t="n"/>
      <c r="AB174" s="56" t="n"/>
      <c r="AC174" s="56" t="n"/>
      <c r="AD174" s="56" t="n"/>
      <c r="AE174" s="56" t="n"/>
    </row>
    <row r="175">
      <c r="A175" s="11" t="n"/>
      <c r="B175" s="11" t="n"/>
      <c r="C175" s="18" t="n"/>
      <c r="D175" s="57" t="inlineStr">
        <is>
          <t>Nº De Equipes</t>
        </is>
      </c>
      <c r="E175" s="58" t="n">
        <v>1</v>
      </c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  <c r="AB175" s="59" t="n"/>
      <c r="AC175" s="59" t="n"/>
      <c r="AD175" s="59" t="n"/>
      <c r="AE175" s="59" t="n"/>
    </row>
    <row r="176">
      <c r="A176" s="11" t="n"/>
      <c r="B176" s="11" t="n"/>
      <c r="C176" s="18" t="n"/>
      <c r="D176" s="57" t="inlineStr">
        <is>
          <t>Qtd. Planejada</t>
        </is>
      </c>
      <c r="E176" s="33" t="n">
        <v>537.8200000000001</v>
      </c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  <c r="AA176" s="59" t="n"/>
      <c r="AB176" s="59" t="n"/>
      <c r="AC176" s="59" t="n"/>
      <c r="AD176" s="59" t="n"/>
      <c r="AE176" s="59" t="n"/>
    </row>
    <row r="177">
      <c r="A177" s="11" t="n"/>
      <c r="B177" s="11" t="n"/>
      <c r="C177" s="18" t="n"/>
      <c r="D177" s="57" t="inlineStr">
        <is>
          <t>Qtd Plan. Acumulada</t>
        </is>
      </c>
      <c r="E177" s="33" t="n">
        <v>537.8200000000001</v>
      </c>
      <c r="F177" s="33" t="n">
        <v>537.8200000000001</v>
      </c>
      <c r="G177" s="33" t="n">
        <v>537.8200000000001</v>
      </c>
      <c r="H177" s="33" t="n">
        <v>537.8200000000001</v>
      </c>
      <c r="I177" s="33" t="n">
        <v>537.8200000000001</v>
      </c>
      <c r="J177" s="33" t="n">
        <v>537.8200000000001</v>
      </c>
      <c r="K177" s="33" t="n">
        <v>537.8200000000001</v>
      </c>
      <c r="L177" s="33" t="n">
        <v>537.8200000000001</v>
      </c>
      <c r="M177" s="33" t="n">
        <v>537.8200000000001</v>
      </c>
      <c r="N177" s="33" t="n">
        <v>537.8200000000001</v>
      </c>
      <c r="O177" s="33" t="n">
        <v>537.8200000000001</v>
      </c>
      <c r="P177" s="33" t="n">
        <v>537.8200000000001</v>
      </c>
      <c r="Q177" s="33" t="n">
        <v>537.8200000000001</v>
      </c>
      <c r="R177" s="33" t="n">
        <v>537.8200000000001</v>
      </c>
      <c r="S177" s="33" t="n">
        <v>537.8200000000001</v>
      </c>
      <c r="T177" s="33" t="n">
        <v>537.8200000000001</v>
      </c>
      <c r="U177" s="33" t="n">
        <v>537.8200000000001</v>
      </c>
      <c r="V177" s="33" t="n">
        <v>537.8200000000001</v>
      </c>
      <c r="W177" s="33" t="n">
        <v>537.8200000000001</v>
      </c>
      <c r="X177" s="33" t="n">
        <v>537.8200000000001</v>
      </c>
      <c r="Y177" s="33" t="n">
        <v>537.8200000000001</v>
      </c>
      <c r="Z177" s="33" t="n">
        <v>537.8200000000001</v>
      </c>
      <c r="AA177" s="33" t="n">
        <v>537.8200000000001</v>
      </c>
      <c r="AB177" s="33" t="n">
        <v>537.8200000000001</v>
      </c>
      <c r="AC177" s="33" t="n">
        <v>537.8200000000001</v>
      </c>
      <c r="AD177" s="33" t="n">
        <v>537.8200000000001</v>
      </c>
      <c r="AE177" s="33" t="n">
        <v>537.8200000000001</v>
      </c>
    </row>
    <row r="178">
      <c r="A178" s="11" t="n"/>
      <c r="B178" s="11" t="n"/>
      <c r="C178" s="18" t="n"/>
      <c r="D178" s="57" t="inlineStr">
        <is>
          <t>Eficiência</t>
        </is>
      </c>
      <c r="E178" s="60" t="n">
        <v>0.8571</v>
      </c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  <c r="AA178" s="59" t="n"/>
      <c r="AB178" s="59" t="n"/>
      <c r="AC178" s="59" t="n"/>
      <c r="AD178" s="59" t="n"/>
      <c r="AE178" s="59" t="n"/>
    </row>
    <row r="179">
      <c r="A179" s="61" t="inlineStr">
        <is>
          <t>eap-5_11</t>
        </is>
      </c>
      <c r="B179" s="61" t="inlineStr">
        <is>
          <t>Regularização de valas com apiloamento do fundo</t>
        </is>
      </c>
      <c r="C179" s="62" t="inlineStr">
        <is>
          <t>m²</t>
        </is>
      </c>
      <c r="D179" s="63" t="inlineStr">
        <is>
          <t>Dias Trabalhados</t>
        </is>
      </c>
      <c r="E179" s="64" t="n">
        <v>6</v>
      </c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  <c r="AA179" s="65" t="n"/>
      <c r="AB179" s="65" t="n"/>
      <c r="AC179" s="65" t="n"/>
      <c r="AD179" s="65" t="n"/>
      <c r="AE179" s="65" t="n"/>
    </row>
    <row r="180">
      <c r="A180" s="13" t="n"/>
      <c r="B180" s="13" t="n"/>
      <c r="C180" s="27" t="n"/>
      <c r="D180" s="66" t="inlineStr">
        <is>
          <t>Nº De Equipes</t>
        </is>
      </c>
      <c r="E180" s="67" t="n">
        <v>1</v>
      </c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  <c r="AA180" s="68" t="n"/>
      <c r="AB180" s="68" t="n"/>
      <c r="AC180" s="68" t="n"/>
      <c r="AD180" s="68" t="n"/>
      <c r="AE180" s="68" t="n"/>
    </row>
    <row r="181">
      <c r="A181" s="13" t="n"/>
      <c r="B181" s="13" t="n"/>
      <c r="C181" s="27" t="n"/>
      <c r="D181" s="66" t="inlineStr">
        <is>
          <t>Qtd. Planejada</t>
        </is>
      </c>
      <c r="E181" s="36" t="n">
        <v>30.95</v>
      </c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  <c r="AA181" s="68" t="n"/>
      <c r="AB181" s="68" t="n"/>
      <c r="AC181" s="68" t="n"/>
      <c r="AD181" s="68" t="n"/>
      <c r="AE181" s="68" t="n"/>
    </row>
    <row r="182">
      <c r="A182" s="13" t="n"/>
      <c r="B182" s="13" t="n"/>
      <c r="C182" s="27" t="n"/>
      <c r="D182" s="66" t="inlineStr">
        <is>
          <t>Qtd Plan. Acumulada</t>
        </is>
      </c>
      <c r="E182" s="36" t="n">
        <v>30.95</v>
      </c>
      <c r="F182" s="36" t="n">
        <v>30.95</v>
      </c>
      <c r="G182" s="36" t="n">
        <v>30.95</v>
      </c>
      <c r="H182" s="36" t="n">
        <v>30.95</v>
      </c>
      <c r="I182" s="36" t="n">
        <v>30.95</v>
      </c>
      <c r="J182" s="36" t="n">
        <v>30.95</v>
      </c>
      <c r="K182" s="36" t="n">
        <v>30.95</v>
      </c>
      <c r="L182" s="36" t="n">
        <v>30.95</v>
      </c>
      <c r="M182" s="36" t="n">
        <v>30.95</v>
      </c>
      <c r="N182" s="36" t="n">
        <v>30.95</v>
      </c>
      <c r="O182" s="36" t="n">
        <v>30.95</v>
      </c>
      <c r="P182" s="36" t="n">
        <v>30.95</v>
      </c>
      <c r="Q182" s="36" t="n">
        <v>30.95</v>
      </c>
      <c r="R182" s="36" t="n">
        <v>30.95</v>
      </c>
      <c r="S182" s="36" t="n">
        <v>30.95</v>
      </c>
      <c r="T182" s="36" t="n">
        <v>30.95</v>
      </c>
      <c r="U182" s="36" t="n">
        <v>30.95</v>
      </c>
      <c r="V182" s="36" t="n">
        <v>30.95</v>
      </c>
      <c r="W182" s="36" t="n">
        <v>30.95</v>
      </c>
      <c r="X182" s="36" t="n">
        <v>30.95</v>
      </c>
      <c r="Y182" s="36" t="n">
        <v>30.95</v>
      </c>
      <c r="Z182" s="36" t="n">
        <v>30.95</v>
      </c>
      <c r="AA182" s="36" t="n">
        <v>30.95</v>
      </c>
      <c r="AB182" s="36" t="n">
        <v>30.95</v>
      </c>
      <c r="AC182" s="36" t="n">
        <v>30.95</v>
      </c>
      <c r="AD182" s="36" t="n">
        <v>30.95</v>
      </c>
      <c r="AE182" s="36" t="n">
        <v>30.95</v>
      </c>
    </row>
    <row r="183">
      <c r="A183" s="13" t="n"/>
      <c r="B183" s="13" t="n"/>
      <c r="C183" s="27" t="n"/>
      <c r="D183" s="66" t="inlineStr">
        <is>
          <t>Eficiência</t>
        </is>
      </c>
      <c r="E183" s="69" t="n">
        <v>0.8571</v>
      </c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  <c r="AA183" s="68" t="n"/>
      <c r="AB183" s="68" t="n"/>
      <c r="AC183" s="68" t="n"/>
      <c r="AD183" s="68" t="n"/>
      <c r="AE183" s="68" t="n"/>
    </row>
    <row r="184">
      <c r="A184" s="20" t="inlineStr">
        <is>
          <t>eap-5_13</t>
        </is>
      </c>
      <c r="B184" s="20" t="inlineStr">
        <is>
          <t>Hidrossemeadura para cobertura de taludes</t>
        </is>
      </c>
      <c r="C184" s="53" t="inlineStr">
        <is>
          <t>m²</t>
        </is>
      </c>
      <c r="D184" s="54" t="inlineStr">
        <is>
          <t>Dias Trabalhados</t>
        </is>
      </c>
      <c r="E184" s="55" t="n">
        <v>6</v>
      </c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56" t="n"/>
      <c r="AB184" s="56" t="n"/>
      <c r="AC184" s="56" t="n"/>
      <c r="AD184" s="56" t="n"/>
      <c r="AE184" s="56" t="n"/>
    </row>
    <row r="185">
      <c r="A185" s="11" t="n"/>
      <c r="B185" s="11" t="n"/>
      <c r="C185" s="18" t="n"/>
      <c r="D185" s="57" t="inlineStr">
        <is>
          <t>Nº De Equipes</t>
        </is>
      </c>
      <c r="E185" s="58" t="n">
        <v>1</v>
      </c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  <c r="AB185" s="59" t="n"/>
      <c r="AC185" s="59" t="n"/>
      <c r="AD185" s="59" t="n"/>
      <c r="AE185" s="59" t="n"/>
    </row>
    <row r="186">
      <c r="A186" s="11" t="n"/>
      <c r="B186" s="11" t="n"/>
      <c r="C186" s="18" t="n"/>
      <c r="D186" s="57" t="inlineStr">
        <is>
          <t>Qtd. Planejada</t>
        </is>
      </c>
      <c r="E186" s="33" t="n">
        <v>30.95</v>
      </c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9" t="n"/>
      <c r="AB186" s="59" t="n"/>
      <c r="AC186" s="59" t="n"/>
      <c r="AD186" s="59" t="n"/>
      <c r="AE186" s="59" t="n"/>
    </row>
    <row r="187">
      <c r="A187" s="11" t="n"/>
      <c r="B187" s="11" t="n"/>
      <c r="C187" s="18" t="n"/>
      <c r="D187" s="57" t="inlineStr">
        <is>
          <t>Qtd Plan. Acumulada</t>
        </is>
      </c>
      <c r="E187" s="33" t="n">
        <v>30.95</v>
      </c>
      <c r="F187" s="33" t="n">
        <v>30.95</v>
      </c>
      <c r="G187" s="33" t="n">
        <v>30.95</v>
      </c>
      <c r="H187" s="33" t="n">
        <v>30.95</v>
      </c>
      <c r="I187" s="33" t="n">
        <v>30.95</v>
      </c>
      <c r="J187" s="33" t="n">
        <v>30.95</v>
      </c>
      <c r="K187" s="33" t="n">
        <v>30.95</v>
      </c>
      <c r="L187" s="33" t="n">
        <v>30.95</v>
      </c>
      <c r="M187" s="33" t="n">
        <v>30.95</v>
      </c>
      <c r="N187" s="33" t="n">
        <v>30.95</v>
      </c>
      <c r="O187" s="33" t="n">
        <v>30.95</v>
      </c>
      <c r="P187" s="33" t="n">
        <v>30.95</v>
      </c>
      <c r="Q187" s="33" t="n">
        <v>30.95</v>
      </c>
      <c r="R187" s="33" t="n">
        <v>30.95</v>
      </c>
      <c r="S187" s="33" t="n">
        <v>30.95</v>
      </c>
      <c r="T187" s="33" t="n">
        <v>30.95</v>
      </c>
      <c r="U187" s="33" t="n">
        <v>30.95</v>
      </c>
      <c r="V187" s="33" t="n">
        <v>30.95</v>
      </c>
      <c r="W187" s="33" t="n">
        <v>30.95</v>
      </c>
      <c r="X187" s="33" t="n">
        <v>30.95</v>
      </c>
      <c r="Y187" s="33" t="n">
        <v>30.95</v>
      </c>
      <c r="Z187" s="33" t="n">
        <v>30.95</v>
      </c>
      <c r="AA187" s="33" t="n">
        <v>30.95</v>
      </c>
      <c r="AB187" s="33" t="n">
        <v>30.95</v>
      </c>
      <c r="AC187" s="33" t="n">
        <v>30.95</v>
      </c>
      <c r="AD187" s="33" t="n">
        <v>30.95</v>
      </c>
      <c r="AE187" s="33" t="n">
        <v>30.95</v>
      </c>
    </row>
    <row r="188">
      <c r="A188" s="11" t="n"/>
      <c r="B188" s="11" t="n"/>
      <c r="C188" s="18" t="n"/>
      <c r="D188" s="57" t="inlineStr">
        <is>
          <t>Eficiência</t>
        </is>
      </c>
      <c r="E188" s="60" t="n">
        <v>0.8571</v>
      </c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  <c r="AA188" s="59" t="n"/>
      <c r="AB188" s="59" t="n"/>
      <c r="AC188" s="59" t="n"/>
      <c r="AD188" s="59" t="n"/>
      <c r="AE188" s="59" t="n"/>
    </row>
    <row r="189">
      <c r="A189" s="61" t="inlineStr">
        <is>
          <t>eap-5_10</t>
        </is>
      </c>
      <c r="B189" s="61" t="inlineStr">
        <is>
          <t>Escavação mecanizada de cavas ou valas de solo local - volume geométrico</t>
        </is>
      </c>
      <c r="C189" s="62" t="inlineStr">
        <is>
          <t>m³</t>
        </is>
      </c>
      <c r="D189" s="63" t="inlineStr">
        <is>
          <t>Dias Trabalhados</t>
        </is>
      </c>
      <c r="E189" s="64" t="n">
        <v>6</v>
      </c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  <c r="AA189" s="65" t="n"/>
      <c r="AB189" s="65" t="n"/>
      <c r="AC189" s="65" t="n"/>
      <c r="AD189" s="65" t="n"/>
      <c r="AE189" s="65" t="n"/>
    </row>
    <row r="190">
      <c r="A190" s="13" t="n"/>
      <c r="B190" s="13" t="n"/>
      <c r="C190" s="27" t="n"/>
      <c r="D190" s="66" t="inlineStr">
        <is>
          <t>Nº De Equipes</t>
        </is>
      </c>
      <c r="E190" s="67" t="n">
        <v>1</v>
      </c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  <c r="AA190" s="68" t="n"/>
      <c r="AB190" s="68" t="n"/>
      <c r="AC190" s="68" t="n"/>
      <c r="AD190" s="68" t="n"/>
      <c r="AE190" s="68" t="n"/>
    </row>
    <row r="191">
      <c r="A191" s="13" t="n"/>
      <c r="B191" s="13" t="n"/>
      <c r="C191" s="27" t="n"/>
      <c r="D191" s="66" t="inlineStr">
        <is>
          <t>Qtd. Planejada</t>
        </is>
      </c>
      <c r="E191" s="36" t="n">
        <v>18.57</v>
      </c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  <c r="AA191" s="68" t="n"/>
      <c r="AB191" s="68" t="n"/>
      <c r="AC191" s="68" t="n"/>
      <c r="AD191" s="68" t="n"/>
      <c r="AE191" s="68" t="n"/>
    </row>
    <row r="192">
      <c r="A192" s="13" t="n"/>
      <c r="B192" s="13" t="n"/>
      <c r="C192" s="27" t="n"/>
      <c r="D192" s="66" t="inlineStr">
        <is>
          <t>Qtd Plan. Acumulada</t>
        </is>
      </c>
      <c r="E192" s="36" t="n">
        <v>18.57</v>
      </c>
      <c r="F192" s="36" t="n">
        <v>18.57</v>
      </c>
      <c r="G192" s="36" t="n">
        <v>18.57</v>
      </c>
      <c r="H192" s="36" t="n">
        <v>18.57</v>
      </c>
      <c r="I192" s="36" t="n">
        <v>18.57</v>
      </c>
      <c r="J192" s="36" t="n">
        <v>18.57</v>
      </c>
      <c r="K192" s="36" t="n">
        <v>18.57</v>
      </c>
      <c r="L192" s="36" t="n">
        <v>18.57</v>
      </c>
      <c r="M192" s="36" t="n">
        <v>18.57</v>
      </c>
      <c r="N192" s="36" t="n">
        <v>18.57</v>
      </c>
      <c r="O192" s="36" t="n">
        <v>18.57</v>
      </c>
      <c r="P192" s="36" t="n">
        <v>18.57</v>
      </c>
      <c r="Q192" s="36" t="n">
        <v>18.57</v>
      </c>
      <c r="R192" s="36" t="n">
        <v>18.57</v>
      </c>
      <c r="S192" s="36" t="n">
        <v>18.57</v>
      </c>
      <c r="T192" s="36" t="n">
        <v>18.57</v>
      </c>
      <c r="U192" s="36" t="n">
        <v>18.57</v>
      </c>
      <c r="V192" s="36" t="n">
        <v>18.57</v>
      </c>
      <c r="W192" s="36" t="n">
        <v>18.57</v>
      </c>
      <c r="X192" s="36" t="n">
        <v>18.57</v>
      </c>
      <c r="Y192" s="36" t="n">
        <v>18.57</v>
      </c>
      <c r="Z192" s="36" t="n">
        <v>18.57</v>
      </c>
      <c r="AA192" s="36" t="n">
        <v>18.57</v>
      </c>
      <c r="AB192" s="36" t="n">
        <v>18.57</v>
      </c>
      <c r="AC192" s="36" t="n">
        <v>18.57</v>
      </c>
      <c r="AD192" s="36" t="n">
        <v>18.57</v>
      </c>
      <c r="AE192" s="36" t="n">
        <v>18.57</v>
      </c>
    </row>
    <row r="193">
      <c r="A193" s="13" t="n"/>
      <c r="B193" s="13" t="n"/>
      <c r="C193" s="27" t="n"/>
      <c r="D193" s="66" t="inlineStr">
        <is>
          <t>Eficiência</t>
        </is>
      </c>
      <c r="E193" s="69" t="n">
        <v>0.8571</v>
      </c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  <c r="AA193" s="68" t="n"/>
      <c r="AB193" s="68" t="n"/>
      <c r="AC193" s="68" t="n"/>
      <c r="AD193" s="68" t="n"/>
      <c r="AE193" s="68" t="n"/>
    </row>
    <row r="194">
      <c r="A194" s="20" t="inlineStr">
        <is>
          <t>eap-5_12</t>
        </is>
      </c>
      <c r="B194" s="20" t="inlineStr">
        <is>
          <t>Regularização de bota-fora com espalhamento e compactação</t>
        </is>
      </c>
      <c r="C194" s="53" t="inlineStr">
        <is>
          <t>m³</t>
        </is>
      </c>
      <c r="D194" s="54" t="inlineStr">
        <is>
          <t>Dias Trabalhados</t>
        </is>
      </c>
      <c r="E194" s="55" t="n">
        <v>6</v>
      </c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56" t="n"/>
      <c r="AB194" s="56" t="n"/>
      <c r="AC194" s="56" t="n"/>
      <c r="AD194" s="56" t="n"/>
      <c r="AE194" s="56" t="n"/>
    </row>
    <row r="195">
      <c r="A195" s="11" t="n"/>
      <c r="B195" s="11" t="n"/>
      <c r="C195" s="18" t="n"/>
      <c r="D195" s="57" t="inlineStr">
        <is>
          <t>Nº De Equipes</t>
        </is>
      </c>
      <c r="E195" s="58" t="n">
        <v>1</v>
      </c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  <c r="AB195" s="59" t="n"/>
      <c r="AC195" s="59" t="n"/>
      <c r="AD195" s="59" t="n"/>
      <c r="AE195" s="59" t="n"/>
    </row>
    <row r="196">
      <c r="A196" s="11" t="n"/>
      <c r="B196" s="11" t="n"/>
      <c r="C196" s="18" t="n"/>
      <c r="D196" s="57" t="inlineStr">
        <is>
          <t>Qtd. Planejada</t>
        </is>
      </c>
      <c r="E196" s="33" t="n">
        <v>18.57</v>
      </c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9" t="n"/>
      <c r="AB196" s="59" t="n"/>
      <c r="AC196" s="59" t="n"/>
      <c r="AD196" s="59" t="n"/>
      <c r="AE196" s="59" t="n"/>
    </row>
    <row r="197">
      <c r="A197" s="11" t="n"/>
      <c r="B197" s="11" t="n"/>
      <c r="C197" s="18" t="n"/>
      <c r="D197" s="57" t="inlineStr">
        <is>
          <t>Qtd Plan. Acumulada</t>
        </is>
      </c>
      <c r="E197" s="33" t="n">
        <v>18.57</v>
      </c>
      <c r="F197" s="33" t="n">
        <v>18.57</v>
      </c>
      <c r="G197" s="33" t="n">
        <v>18.57</v>
      </c>
      <c r="H197" s="33" t="n">
        <v>18.57</v>
      </c>
      <c r="I197" s="33" t="n">
        <v>18.57</v>
      </c>
      <c r="J197" s="33" t="n">
        <v>18.57</v>
      </c>
      <c r="K197" s="33" t="n">
        <v>18.57</v>
      </c>
      <c r="L197" s="33" t="n">
        <v>18.57</v>
      </c>
      <c r="M197" s="33" t="n">
        <v>18.57</v>
      </c>
      <c r="N197" s="33" t="n">
        <v>18.57</v>
      </c>
      <c r="O197" s="33" t="n">
        <v>18.57</v>
      </c>
      <c r="P197" s="33" t="n">
        <v>18.57</v>
      </c>
      <c r="Q197" s="33" t="n">
        <v>18.57</v>
      </c>
      <c r="R197" s="33" t="n">
        <v>18.57</v>
      </c>
      <c r="S197" s="33" t="n">
        <v>18.57</v>
      </c>
      <c r="T197" s="33" t="n">
        <v>18.57</v>
      </c>
      <c r="U197" s="33" t="n">
        <v>18.57</v>
      </c>
      <c r="V197" s="33" t="n">
        <v>18.57</v>
      </c>
      <c r="W197" s="33" t="n">
        <v>18.57</v>
      </c>
      <c r="X197" s="33" t="n">
        <v>18.57</v>
      </c>
      <c r="Y197" s="33" t="n">
        <v>18.57</v>
      </c>
      <c r="Z197" s="33" t="n">
        <v>18.57</v>
      </c>
      <c r="AA197" s="33" t="n">
        <v>18.57</v>
      </c>
      <c r="AB197" s="33" t="n">
        <v>18.57</v>
      </c>
      <c r="AC197" s="33" t="n">
        <v>18.57</v>
      </c>
      <c r="AD197" s="33" t="n">
        <v>18.57</v>
      </c>
      <c r="AE197" s="33" t="n">
        <v>18.57</v>
      </c>
    </row>
    <row r="198">
      <c r="A198" s="11" t="n"/>
      <c r="B198" s="11" t="n"/>
      <c r="C198" s="18" t="n"/>
      <c r="D198" s="57" t="inlineStr">
        <is>
          <t>Eficiência</t>
        </is>
      </c>
      <c r="E198" s="60" t="n">
        <v>0.8571</v>
      </c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  <c r="AA198" s="59" t="n"/>
      <c r="AB198" s="59" t="n"/>
      <c r="AC198" s="59" t="n"/>
      <c r="AD198" s="59" t="n"/>
      <c r="AE198" s="59" t="n"/>
    </row>
    <row r="199">
      <c r="A199" s="61" t="inlineStr">
        <is>
          <t>eap-5_14</t>
        </is>
      </c>
      <c r="B199" s="61" t="inlineStr">
        <is>
          <t>manutenção de cobertura de gramíneas por hidrossemeadura</t>
        </is>
      </c>
      <c r="C199" s="62" t="inlineStr">
        <is>
          <t>m²</t>
        </is>
      </c>
      <c r="D199" s="63" t="inlineStr">
        <is>
          <t>Dias Trabalhados</t>
        </is>
      </c>
      <c r="E199" s="64" t="n">
        <v>6</v>
      </c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  <c r="AA199" s="65" t="n"/>
      <c r="AB199" s="65" t="n"/>
      <c r="AC199" s="65" t="n"/>
      <c r="AD199" s="65" t="n"/>
      <c r="AE199" s="65" t="n"/>
    </row>
    <row r="200">
      <c r="A200" s="13" t="n"/>
      <c r="B200" s="13" t="n"/>
      <c r="C200" s="27" t="n"/>
      <c r="D200" s="66" t="inlineStr">
        <is>
          <t>Nº De Equipes</t>
        </is>
      </c>
      <c r="E200" s="67" t="n">
        <v>1</v>
      </c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  <c r="AA200" s="68" t="n"/>
      <c r="AB200" s="68" t="n"/>
      <c r="AC200" s="68" t="n"/>
      <c r="AD200" s="68" t="n"/>
      <c r="AE200" s="68" t="n"/>
    </row>
    <row r="201">
      <c r="A201" s="13" t="n"/>
      <c r="B201" s="13" t="n"/>
      <c r="C201" s="27" t="n"/>
      <c r="D201" s="66" t="inlineStr">
        <is>
          <t>Qtd. Planejada</t>
        </is>
      </c>
      <c r="E201" s="36" t="n">
        <v>30.95</v>
      </c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  <c r="AA201" s="68" t="n"/>
      <c r="AB201" s="68" t="n"/>
      <c r="AC201" s="68" t="n"/>
      <c r="AD201" s="68" t="n"/>
      <c r="AE201" s="68" t="n"/>
    </row>
    <row r="202">
      <c r="A202" s="13" t="n"/>
      <c r="B202" s="13" t="n"/>
      <c r="C202" s="27" t="n"/>
      <c r="D202" s="66" t="inlineStr">
        <is>
          <t>Qtd Plan. Acumulada</t>
        </is>
      </c>
      <c r="E202" s="36" t="n">
        <v>30.95</v>
      </c>
      <c r="F202" s="36" t="n">
        <v>30.95</v>
      </c>
      <c r="G202" s="36" t="n">
        <v>30.95</v>
      </c>
      <c r="H202" s="36" t="n">
        <v>30.95</v>
      </c>
      <c r="I202" s="36" t="n">
        <v>30.95</v>
      </c>
      <c r="J202" s="36" t="n">
        <v>30.95</v>
      </c>
      <c r="K202" s="36" t="n">
        <v>30.95</v>
      </c>
      <c r="L202" s="36" t="n">
        <v>30.95</v>
      </c>
      <c r="M202" s="36" t="n">
        <v>30.95</v>
      </c>
      <c r="N202" s="36" t="n">
        <v>30.95</v>
      </c>
      <c r="O202" s="36" t="n">
        <v>30.95</v>
      </c>
      <c r="P202" s="36" t="n">
        <v>30.95</v>
      </c>
      <c r="Q202" s="36" t="n">
        <v>30.95</v>
      </c>
      <c r="R202" s="36" t="n">
        <v>30.95</v>
      </c>
      <c r="S202" s="36" t="n">
        <v>30.95</v>
      </c>
      <c r="T202" s="36" t="n">
        <v>30.95</v>
      </c>
      <c r="U202" s="36" t="n">
        <v>30.95</v>
      </c>
      <c r="V202" s="36" t="n">
        <v>30.95</v>
      </c>
      <c r="W202" s="36" t="n">
        <v>30.95</v>
      </c>
      <c r="X202" s="36" t="n">
        <v>30.95</v>
      </c>
      <c r="Y202" s="36" t="n">
        <v>30.95</v>
      </c>
      <c r="Z202" s="36" t="n">
        <v>30.95</v>
      </c>
      <c r="AA202" s="36" t="n">
        <v>30.95</v>
      </c>
      <c r="AB202" s="36" t="n">
        <v>30.95</v>
      </c>
      <c r="AC202" s="36" t="n">
        <v>30.95</v>
      </c>
      <c r="AD202" s="36" t="n">
        <v>30.95</v>
      </c>
      <c r="AE202" s="36" t="n">
        <v>30.95</v>
      </c>
    </row>
    <row r="203">
      <c r="A203" s="13" t="n"/>
      <c r="B203" s="13" t="n"/>
      <c r="C203" s="27" t="n"/>
      <c r="D203" s="66" t="inlineStr">
        <is>
          <t>Eficiência</t>
        </is>
      </c>
      <c r="E203" s="69" t="n">
        <v>0.8571</v>
      </c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  <c r="AA203" s="68" t="n"/>
      <c r="AB203" s="68" t="n"/>
      <c r="AC203" s="68" t="n"/>
      <c r="AD203" s="68" t="n"/>
      <c r="AE20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eap-4_7</t>
        </is>
      </c>
      <c r="B3" s="70" t="inlineStr">
        <is>
          <t>Binder - camada de ligação (FAIXA B)</t>
        </is>
      </c>
      <c r="C3" s="18" t="inlineStr">
        <is>
          <t>m3</t>
        </is>
      </c>
      <c r="D3" s="32" t="n">
        <v>2438.0876</v>
      </c>
      <c r="E3" s="32" t="n">
        <v>1073.77</v>
      </c>
      <c r="F3" s="32" t="n">
        <v>1364.31</v>
      </c>
      <c r="G3" s="12" t="n"/>
      <c r="H3" s="12" t="n"/>
      <c r="I3" s="12" t="n"/>
      <c r="J3" s="12" t="n"/>
      <c r="K3" s="12" t="n"/>
    </row>
    <row r="4">
      <c r="A4" s="13" t="inlineStr">
        <is>
          <t>eap-4_8</t>
        </is>
      </c>
      <c r="B4" s="71" t="inlineStr">
        <is>
          <t>Cbuq - concreto betuminoso usinado a quente</t>
        </is>
      </c>
      <c r="C4" s="27" t="inlineStr">
        <is>
          <t>m3</t>
        </is>
      </c>
      <c r="D4" s="35" t="n">
        <v>2250.5424</v>
      </c>
      <c r="E4" s="35" t="n">
        <v>2057.04</v>
      </c>
      <c r="F4" s="35" t="n">
        <v>193.5</v>
      </c>
      <c r="G4" s="14" t="n"/>
      <c r="H4" s="14" t="n"/>
      <c r="I4" s="14" t="n"/>
      <c r="J4" s="14" t="n"/>
      <c r="K4" s="14" t="n"/>
    </row>
    <row r="5">
      <c r="A5" s="11" t="inlineStr">
        <is>
          <t>eap-4_4</t>
        </is>
      </c>
      <c r="B5" s="70" t="inlineStr">
        <is>
          <t>Base ou sub-base de brita graduada executada com vibroacabadora - brita comercial</t>
        </is>
      </c>
      <c r="C5" s="18" t="inlineStr">
        <is>
          <t>m3</t>
        </is>
      </c>
      <c r="D5" s="32" t="n">
        <v>5501.33</v>
      </c>
      <c r="E5" s="32" t="n">
        <v>2262.74</v>
      </c>
      <c r="F5" s="32" t="n">
        <v>3238.59</v>
      </c>
      <c r="G5" s="12" t="n"/>
      <c r="H5" s="12" t="n"/>
      <c r="I5" s="12" t="n"/>
      <c r="J5" s="12" t="n"/>
      <c r="K5" s="12" t="n"/>
    </row>
    <row r="6">
      <c r="A6" s="13" t="inlineStr">
        <is>
          <t>eap-7_1</t>
        </is>
      </c>
      <c r="B6" s="71" t="inlineStr">
        <is>
          <t>Hidrossemeadura para cobertura de taludes</t>
        </is>
      </c>
      <c r="C6" s="27" t="inlineStr">
        <is>
          <t>m2</t>
        </is>
      </c>
      <c r="D6" s="35" t="n">
        <v>85475.66</v>
      </c>
      <c r="E6" s="35" t="n">
        <v>18513.36</v>
      </c>
      <c r="F6" s="35" t="n">
        <v>66962.3</v>
      </c>
      <c r="G6" s="14" t="n"/>
      <c r="H6" s="14" t="n"/>
      <c r="I6" s="14" t="n"/>
      <c r="J6" s="14" t="n"/>
      <c r="K6" s="14" t="n"/>
    </row>
    <row r="7">
      <c r="A7" s="11" t="inlineStr">
        <is>
          <t>eap-2_2</t>
        </is>
      </c>
      <c r="B7" s="70" t="inlineStr">
        <is>
          <t>Escavação, carga e transporte de material de 1° cat. - dmt: 4700m (importação solo de jazida interna ao TBR070)</t>
        </is>
      </c>
      <c r="C7" s="18" t="inlineStr">
        <is>
          <t>m3</t>
        </is>
      </c>
      <c r="D7" s="32" t="n">
        <v>51353.781</v>
      </c>
      <c r="E7" s="32" t="n">
        <v>4525.49</v>
      </c>
      <c r="F7" s="32" t="n">
        <v>18102.48</v>
      </c>
      <c r="G7" s="32" t="n">
        <v>15085.48</v>
      </c>
      <c r="H7" s="32" t="n">
        <v>13640.32</v>
      </c>
      <c r="I7" s="12" t="n"/>
      <c r="J7" s="12" t="n"/>
      <c r="K7" s="12" t="n"/>
    </row>
    <row r="8">
      <c r="A8" s="13" t="inlineStr">
        <is>
          <t>eap-4_3</t>
        </is>
      </c>
      <c r="B8" s="71" t="inlineStr">
        <is>
          <t>Sub-base estabilizada granulometricamente com mistura solo brita (70% - 30%) na pista com material de jazida e brita comercial - volume geométrico</t>
        </is>
      </c>
      <c r="C8" s="27" t="inlineStr">
        <is>
          <t>m3</t>
        </is>
      </c>
      <c r="D8" s="35" t="n">
        <v>5626.356</v>
      </c>
      <c r="E8" s="35" t="n">
        <v>2262.74</v>
      </c>
      <c r="F8" s="35" t="n">
        <v>3363.61</v>
      </c>
      <c r="G8" s="14" t="n"/>
      <c r="H8" s="14" t="n"/>
      <c r="I8" s="14" t="n"/>
      <c r="J8" s="14" t="n"/>
      <c r="K8" s="14" t="n"/>
    </row>
    <row r="9">
      <c r="A9" s="11" t="inlineStr">
        <is>
          <t>eap-2_3</t>
        </is>
      </c>
      <c r="B9" s="70" t="inlineStr">
        <is>
          <t>Compactação de aterros a 100% do proctor intermediário (camada final) - volume homogeneizado (vol. geométrico x 1,25)</t>
        </is>
      </c>
      <c r="C9" s="18" t="inlineStr">
        <is>
          <t>m3</t>
        </is>
      </c>
      <c r="D9" s="32" t="n">
        <v>40421.87</v>
      </c>
      <c r="E9" s="32" t="n">
        <v>6669.75</v>
      </c>
      <c r="F9" s="32" t="n">
        <v>26679.77</v>
      </c>
      <c r="G9" s="32" t="n">
        <v>7072.36</v>
      </c>
      <c r="H9" s="12" t="n"/>
      <c r="I9" s="12" t="n"/>
      <c r="J9" s="12" t="n"/>
      <c r="K9" s="12" t="n"/>
    </row>
    <row r="10">
      <c r="A10" s="13" t="inlineStr">
        <is>
          <t>eap-3_1</t>
        </is>
      </c>
      <c r="B10" s="71" t="inlineStr">
        <is>
          <t>Demolição mecânica de pavimento</t>
        </is>
      </c>
      <c r="C10" s="27" t="inlineStr">
        <is>
          <t>m3</t>
        </is>
      </c>
      <c r="D10" s="35" t="n">
        <v>4200</v>
      </c>
      <c r="E10" s="35" t="n">
        <v>1073.77</v>
      </c>
      <c r="F10" s="35" t="n">
        <v>3126.22</v>
      </c>
      <c r="G10" s="14" t="n"/>
      <c r="H10" s="14" t="n"/>
      <c r="I10" s="14" t="n"/>
      <c r="J10" s="14" t="n"/>
      <c r="K10" s="14" t="n"/>
    </row>
    <row r="11">
      <c r="A11" s="11" t="inlineStr">
        <is>
          <t>eap-4_1</t>
        </is>
      </c>
      <c r="B11" s="70" t="inlineStr">
        <is>
          <t>Regularização do subleito</t>
        </is>
      </c>
      <c r="C11" s="18" t="inlineStr">
        <is>
          <t>m2</t>
        </is>
      </c>
      <c r="D11" s="32" t="n">
        <v>37509.04</v>
      </c>
      <c r="E11" s="32" t="n">
        <v>9050.98</v>
      </c>
      <c r="F11" s="32" t="n">
        <v>28458.07</v>
      </c>
      <c r="G11" s="12" t="n"/>
      <c r="H11" s="12" t="n"/>
      <c r="I11" s="12" t="n"/>
      <c r="J11" s="12" t="n"/>
      <c r="K11" s="12" t="n"/>
    </row>
    <row r="12">
      <c r="A12" s="13" t="inlineStr">
        <is>
          <t>eap-4_5</t>
        </is>
      </c>
      <c r="B12" s="71" t="inlineStr">
        <is>
          <t>Imprimação com asfalto diluído (EAI)</t>
        </is>
      </c>
      <c r="C12" s="27" t="inlineStr">
        <is>
          <t>m2</t>
        </is>
      </c>
      <c r="D12" s="35" t="n">
        <v>35842.04</v>
      </c>
      <c r="E12" s="35" t="n">
        <v>35842.04</v>
      </c>
      <c r="F12" s="14" t="n"/>
      <c r="G12" s="14" t="n"/>
      <c r="H12" s="14" t="n"/>
      <c r="I12" s="14" t="n"/>
      <c r="J12" s="14" t="n"/>
      <c r="K12" s="14" t="n"/>
    </row>
    <row r="13">
      <c r="A13" s="11" t="inlineStr">
        <is>
          <t>eap-4_2</t>
        </is>
      </c>
      <c r="B13" s="70" t="inlineStr">
        <is>
          <t>Reforço de subleito com solo de jazida selecionada - volume geométrico</t>
        </is>
      </c>
      <c r="C13" s="18" t="inlineStr">
        <is>
          <t>m3</t>
        </is>
      </c>
      <c r="D13" s="32" t="n">
        <v>22505.424</v>
      </c>
      <c r="E13" s="32" t="n">
        <v>4525.49</v>
      </c>
      <c r="F13" s="32" t="n">
        <v>17979.93</v>
      </c>
      <c r="G13" s="12" t="n"/>
      <c r="H13" s="12" t="n"/>
      <c r="I13" s="12" t="n"/>
      <c r="J13" s="12" t="n"/>
      <c r="K13" s="12" t="n"/>
    </row>
    <row r="14">
      <c r="A14" s="13" t="inlineStr">
        <is>
          <t>eap-4_6</t>
        </is>
      </c>
      <c r="B14" s="71" t="inlineStr">
        <is>
          <t>Pintura de ligação (RR1C)</t>
        </is>
      </c>
      <c r="C14" s="27" t="inlineStr">
        <is>
          <t>m2</t>
        </is>
      </c>
      <c r="D14" s="35" t="n">
        <v>71684.08</v>
      </c>
      <c r="E14" s="35" t="n">
        <v>33598.46</v>
      </c>
      <c r="F14" s="35" t="n">
        <v>38085.62</v>
      </c>
      <c r="G14" s="14" t="n"/>
      <c r="H14" s="14" t="n"/>
      <c r="I14" s="14" t="n"/>
      <c r="J14" s="14" t="n"/>
      <c r="K14" s="14" t="n"/>
    </row>
    <row r="15">
      <c r="A15" s="11" t="inlineStr">
        <is>
          <t>eap-1_2</t>
        </is>
      </c>
      <c r="B15" s="70" t="inlineStr">
        <is>
          <t>Transporte de solo excedente com caminhão basculante de 14 m3 (peso específico de transporte de 1,8 g/cm3) - dmt de até 3,0 km (interno à planta)</t>
        </is>
      </c>
      <c r="C15" s="18" t="inlineStr">
        <is>
          <t>m3</t>
        </is>
      </c>
      <c r="D15" s="32" t="n">
        <v>15600</v>
      </c>
      <c r="E15" s="32" t="n">
        <v>9834.299999999999</v>
      </c>
      <c r="F15" s="32" t="n">
        <v>5765.7</v>
      </c>
      <c r="G15" s="12" t="n"/>
      <c r="H15" s="12" t="n"/>
      <c r="I15" s="12" t="n"/>
      <c r="J15" s="12" t="n"/>
      <c r="K15" s="12" t="n"/>
    </row>
    <row r="16">
      <c r="A16" s="13" t="inlineStr">
        <is>
          <t>eap-1_3</t>
        </is>
      </c>
      <c r="B16" s="71" t="inlineStr">
        <is>
          <t>Regularização de bota-fora com espalhamento e compactação</t>
        </is>
      </c>
      <c r="C16" s="27" t="inlineStr">
        <is>
          <t>m3</t>
        </is>
      </c>
      <c r="D16" s="35" t="n">
        <v>15600</v>
      </c>
      <c r="E16" s="35" t="n">
        <v>10285.2</v>
      </c>
      <c r="F16" s="35" t="n">
        <v>5314.8</v>
      </c>
      <c r="G16" s="14" t="n"/>
      <c r="H16" s="14" t="n"/>
      <c r="I16" s="14" t="n"/>
      <c r="J16" s="14" t="n"/>
      <c r="K16" s="14" t="n"/>
    </row>
    <row r="17">
      <c r="A17" s="11" t="inlineStr">
        <is>
          <t>eap-1_1</t>
        </is>
      </c>
      <c r="B17" s="70" t="inlineStr">
        <is>
          <t>Limpeza mecanizada da camada vegetal (espessura média de 30 cm) - volume geométrico</t>
        </is>
      </c>
      <c r="C17" s="18" t="inlineStr">
        <is>
          <t>m2</t>
        </is>
      </c>
      <c r="D17" s="32" t="n">
        <v>52000</v>
      </c>
      <c r="E17" s="32" t="n">
        <v>30855.6</v>
      </c>
      <c r="F17" s="32" t="n">
        <v>21144.4</v>
      </c>
      <c r="G17" s="12" t="n"/>
      <c r="H17" s="12" t="n"/>
      <c r="I17" s="12" t="n"/>
      <c r="J17" s="12" t="n"/>
      <c r="K17" s="12" t="n"/>
    </row>
    <row r="18">
      <c r="A18" s="13" t="inlineStr">
        <is>
          <t>eap-5_6</t>
        </is>
      </c>
      <c r="B18" s="71" t="inlineStr">
        <is>
          <t>Regularização de valas com apiloamento do fundo</t>
        </is>
      </c>
      <c r="C18" s="27" t="inlineStr">
        <is>
          <t>m²</t>
        </is>
      </c>
      <c r="D18" s="35" t="n">
        <v>2408.34</v>
      </c>
      <c r="E18" s="35" t="n">
        <v>2408.34</v>
      </c>
      <c r="F18" s="14" t="n"/>
      <c r="G18" s="14" t="n"/>
      <c r="H18" s="14" t="n"/>
      <c r="I18" s="14" t="n"/>
      <c r="J18" s="14" t="n"/>
      <c r="K18" s="14" t="n"/>
    </row>
    <row r="19">
      <c r="A19" s="11" t="inlineStr">
        <is>
          <t>eap-6_5</t>
        </is>
      </c>
      <c r="B19" s="70" t="inlineStr">
        <is>
          <t>Pintura de faixa com tinta acrílica - espessura de 0,6 mm</t>
        </is>
      </c>
      <c r="C19" s="18" t="inlineStr">
        <is>
          <t>m2</t>
        </is>
      </c>
      <c r="D19" s="32" t="n">
        <v>1476.64</v>
      </c>
      <c r="E19" s="32" t="n">
        <v>1476.64</v>
      </c>
      <c r="F19" s="12" t="n"/>
      <c r="G19" s="12" t="n"/>
      <c r="H19" s="12" t="n"/>
      <c r="I19" s="12" t="n"/>
      <c r="J19" s="12" t="n"/>
      <c r="K19" s="12" t="n"/>
    </row>
    <row r="20">
      <c r="A20" s="13" t="inlineStr">
        <is>
          <t>eap-6_11</t>
        </is>
      </c>
      <c r="B20" s="71" t="inlineStr">
        <is>
          <t>Ancoragem de defensa semimaleável simples - fornecimento e implantação</t>
        </is>
      </c>
      <c r="C20" s="27" t="inlineStr">
        <is>
          <t>m</t>
        </is>
      </c>
      <c r="D20" s="35" t="n">
        <v>96</v>
      </c>
      <c r="E20" s="35" t="n">
        <v>96</v>
      </c>
      <c r="F20" s="14" t="n"/>
      <c r="G20" s="14" t="n"/>
      <c r="H20" s="14" t="n"/>
      <c r="I20" s="14" t="n"/>
      <c r="J20" s="14" t="n"/>
      <c r="K20" s="14" t="n"/>
    </row>
    <row r="21">
      <c r="A21" s="11" t="inlineStr">
        <is>
          <t>eap-3_2</t>
        </is>
      </c>
      <c r="B21" s="70" t="inlineStr">
        <is>
          <t>Carregamento e transporte de material de demolição para bota fora interno ao TBR070 em basculante de 14m³ - DMT até 4 km</t>
        </is>
      </c>
      <c r="C21" s="18" t="inlineStr">
        <is>
          <t>m3</t>
        </is>
      </c>
      <c r="D21" s="32" t="n">
        <v>4200</v>
      </c>
      <c r="E21" s="32" t="n">
        <v>4200</v>
      </c>
      <c r="F21" s="12" t="n"/>
      <c r="G21" s="12" t="n"/>
      <c r="H21" s="12" t="n"/>
      <c r="I21" s="12" t="n"/>
      <c r="J21" s="12" t="n"/>
      <c r="K21" s="12" t="n"/>
    </row>
    <row r="22">
      <c r="A22" s="13" t="inlineStr">
        <is>
          <t>eap-6_4</t>
        </is>
      </c>
      <c r="B22" s="71" t="inlineStr">
        <is>
          <t>Pintura de setas e zebrados com termoplástico por extrusão - espessura de 3,0 mm</t>
        </is>
      </c>
      <c r="C22" s="27" t="inlineStr">
        <is>
          <t>m2</t>
        </is>
      </c>
      <c r="D22" s="35" t="n">
        <v>339.96</v>
      </c>
      <c r="E22" s="35" t="n">
        <v>339.96</v>
      </c>
      <c r="F22" s="14" t="n"/>
      <c r="G22" s="14" t="n"/>
      <c r="H22" s="14" t="n"/>
      <c r="I22" s="14" t="n"/>
      <c r="J22" s="14" t="n"/>
      <c r="K22" s="14" t="n"/>
    </row>
    <row r="23">
      <c r="A23" s="11" t="inlineStr">
        <is>
          <t>eap-6_6</t>
        </is>
      </c>
      <c r="B23" s="70" t="inlineStr">
        <is>
          <t>Placa em alumínio composto, espessura de 3,0 mm, modulada, aérea - película retrorrefletiva tipo III + III - fornecimento e implantação</t>
        </is>
      </c>
      <c r="C23" s="18" t="inlineStr">
        <is>
          <t>m2</t>
        </is>
      </c>
      <c r="D23" s="32" t="n">
        <v>37.45</v>
      </c>
      <c r="E23" s="32" t="n">
        <v>37.45</v>
      </c>
      <c r="F23" s="12" t="n"/>
      <c r="G23" s="12" t="n"/>
      <c r="H23" s="12" t="n"/>
      <c r="I23" s="12" t="n"/>
      <c r="J23" s="12" t="n"/>
      <c r="K23" s="12" t="n"/>
    </row>
    <row r="24">
      <c r="A24" s="13" t="inlineStr">
        <is>
          <t>eap-5_8</t>
        </is>
      </c>
      <c r="B24" s="71" t="inlineStr">
        <is>
          <t>Hidrossemeadura para cobertura de taludes</t>
        </is>
      </c>
      <c r="C24" s="27" t="inlineStr">
        <is>
          <t>m²</t>
        </is>
      </c>
      <c r="D24" s="35" t="n">
        <v>2408.34</v>
      </c>
      <c r="E24" s="35" t="n">
        <v>2408.34</v>
      </c>
      <c r="F24" s="14" t="n"/>
      <c r="G24" s="14" t="n"/>
      <c r="H24" s="14" t="n"/>
      <c r="I24" s="14" t="n"/>
      <c r="J24" s="14" t="n"/>
      <c r="K24" s="14" t="n"/>
    </row>
    <row r="25">
      <c r="A25" s="11" t="inlineStr">
        <is>
          <t>eap-3_3</t>
        </is>
      </c>
      <c r="B25" s="70" t="inlineStr">
        <is>
          <t>Regularização de bota-fora com espalhamento e compactação</t>
        </is>
      </c>
      <c r="C25" s="18" t="inlineStr">
        <is>
          <t>m3</t>
        </is>
      </c>
      <c r="D25" s="32" t="n">
        <v>4200</v>
      </c>
      <c r="E25" s="32" t="n">
        <v>4200</v>
      </c>
      <c r="F25" s="12" t="n"/>
      <c r="G25" s="12" t="n"/>
      <c r="H25" s="12" t="n"/>
      <c r="I25" s="12" t="n"/>
      <c r="J25" s="12" t="n"/>
      <c r="K25" s="12" t="n"/>
    </row>
    <row r="26">
      <c r="A26" s="13" t="inlineStr">
        <is>
          <t>eap-6_3</t>
        </is>
      </c>
      <c r="B26" s="71" t="inlineStr">
        <is>
          <t>Tachão refletivo em plástico injetado - bidirecional - fornecimento e colocação</t>
        </is>
      </c>
      <c r="C26" s="27" t="inlineStr">
        <is>
          <t>und</t>
        </is>
      </c>
      <c r="D26" s="35" t="n">
        <v>220</v>
      </c>
      <c r="E26" s="35" t="n">
        <v>11.52</v>
      </c>
      <c r="F26" s="35" t="n">
        <v>46.08</v>
      </c>
      <c r="G26" s="35" t="n">
        <v>38.4</v>
      </c>
      <c r="H26" s="35" t="n">
        <v>46.08</v>
      </c>
      <c r="I26" s="35" t="n">
        <v>48</v>
      </c>
      <c r="J26" s="35" t="n">
        <v>29.93</v>
      </c>
      <c r="K26" s="14" t="n"/>
    </row>
    <row r="27">
      <c r="A27" s="11" t="inlineStr">
        <is>
          <t>eap-6_7</t>
        </is>
      </c>
      <c r="B27" s="70" t="inlineStr">
        <is>
          <t>Placa em aço - película III + III - fornecimento e implantação</t>
        </is>
      </c>
      <c r="C27" s="18" t="inlineStr">
        <is>
          <t>m2</t>
        </is>
      </c>
      <c r="D27" s="32" t="n">
        <v>27.39</v>
      </c>
      <c r="E27" s="32" t="n">
        <v>27.39</v>
      </c>
      <c r="F27" s="12" t="n"/>
      <c r="G27" s="12" t="n"/>
      <c r="H27" s="12" t="n"/>
      <c r="I27" s="12" t="n"/>
      <c r="J27" s="12" t="n"/>
      <c r="K27" s="12" t="n"/>
    </row>
    <row r="28">
      <c r="A28" s="13" t="inlineStr">
        <is>
          <t>eap-5_16</t>
        </is>
      </c>
      <c r="B28" s="71" t="inlineStr">
        <is>
          <t>Eegularização de valas com apiloamento do fundo</t>
        </is>
      </c>
      <c r="C28" s="27" t="inlineStr">
        <is>
          <t>m²</t>
        </is>
      </c>
      <c r="D28" s="35" t="n">
        <v>537.8160000000001</v>
      </c>
      <c r="E28" s="35" t="n">
        <v>537.8200000000001</v>
      </c>
      <c r="F28" s="14" t="n"/>
      <c r="G28" s="14" t="n"/>
      <c r="H28" s="14" t="n"/>
      <c r="I28" s="14" t="n"/>
      <c r="J28" s="14" t="n"/>
      <c r="K28" s="14" t="n"/>
    </row>
    <row r="29">
      <c r="A29" s="11" t="inlineStr">
        <is>
          <t>eap-5_5</t>
        </is>
      </c>
      <c r="B29" s="70" t="inlineStr">
        <is>
          <t>Escavação mecanizada de cavas ou valas de solo local - volume geométrico</t>
        </is>
      </c>
      <c r="C29" s="18" t="inlineStr">
        <is>
          <t>m³</t>
        </is>
      </c>
      <c r="D29" s="32" t="n">
        <v>1445.004</v>
      </c>
      <c r="E29" s="32" t="n">
        <v>1445</v>
      </c>
      <c r="F29" s="12" t="n"/>
      <c r="G29" s="12" t="n"/>
      <c r="H29" s="12" t="n"/>
      <c r="I29" s="12" t="n"/>
      <c r="J29" s="12" t="n"/>
      <c r="K29" s="12" t="n"/>
    </row>
    <row r="30">
      <c r="A30" s="13" t="inlineStr">
        <is>
          <t>eap-2_1</t>
        </is>
      </c>
      <c r="B30" s="71" t="inlineStr">
        <is>
          <t>Escavação, carga e transporte de material de 1ª categoria - dmt de 400 a 600 m - caminho de serviço em leito natural - com carregadeira e caminhão basculante de 14 m³ - volume geométrico</t>
        </is>
      </c>
      <c r="C30" s="27" t="inlineStr">
        <is>
          <t>m3</t>
        </is>
      </c>
      <c r="D30" s="35" t="n">
        <v>1194.65</v>
      </c>
      <c r="E30" s="35" t="n">
        <v>1194.65</v>
      </c>
      <c r="F30" s="14" t="n"/>
      <c r="G30" s="14" t="n"/>
      <c r="H30" s="14" t="n"/>
      <c r="I30" s="14" t="n"/>
      <c r="J30" s="14" t="n"/>
      <c r="K30" s="14" t="n"/>
    </row>
    <row r="31">
      <c r="A31" s="11" t="inlineStr">
        <is>
          <t>eap-5_7</t>
        </is>
      </c>
      <c r="B31" s="70" t="inlineStr">
        <is>
          <t>Regularização de bota-fora com espalhamento e compactação</t>
        </is>
      </c>
      <c r="C31" s="18" t="inlineStr">
        <is>
          <t>m³</t>
        </is>
      </c>
      <c r="D31" s="32" t="n">
        <v>1445.004</v>
      </c>
      <c r="E31" s="32" t="n">
        <v>1445</v>
      </c>
      <c r="F31" s="12" t="n"/>
      <c r="G31" s="12" t="n"/>
      <c r="H31" s="12" t="n"/>
      <c r="I31" s="12" t="n"/>
      <c r="J31" s="12" t="n"/>
      <c r="K31" s="12" t="n"/>
    </row>
    <row r="32">
      <c r="A32" s="13" t="inlineStr">
        <is>
          <t>eap-4_9</t>
        </is>
      </c>
      <c r="B32" s="71" t="inlineStr">
        <is>
          <t>Fresagem de pavimento esp=10cm (Para encaixes novas alças)</t>
        </is>
      </c>
      <c r="C32" s="27" t="inlineStr">
        <is>
          <t>m3</t>
        </is>
      </c>
      <c r="D32" s="35" t="n">
        <v>60</v>
      </c>
      <c r="E32" s="35" t="n">
        <v>60</v>
      </c>
      <c r="F32" s="14" t="n"/>
      <c r="G32" s="14" t="n"/>
      <c r="H32" s="14" t="n"/>
      <c r="I32" s="14" t="n"/>
      <c r="J32" s="14" t="n"/>
      <c r="K32" s="14" t="n"/>
    </row>
    <row r="33">
      <c r="A33" s="11" t="inlineStr">
        <is>
          <t>eap-5_18</t>
        </is>
      </c>
      <c r="B33" s="70" t="inlineStr">
        <is>
          <t>Hidrossemeadura para cobertura de taludes</t>
        </is>
      </c>
      <c r="C33" s="18" t="inlineStr">
        <is>
          <t>m²</t>
        </is>
      </c>
      <c r="D33" s="32" t="n">
        <v>537.8160000000001</v>
      </c>
      <c r="E33" s="32" t="n">
        <v>537.8200000000001</v>
      </c>
      <c r="F33" s="12" t="n"/>
      <c r="G33" s="12" t="n"/>
      <c r="H33" s="12" t="n"/>
      <c r="I33" s="12" t="n"/>
      <c r="J33" s="12" t="n"/>
      <c r="K33" s="12" t="n"/>
    </row>
    <row r="34">
      <c r="A34" s="13" t="inlineStr">
        <is>
          <t>eap-5_9</t>
        </is>
      </c>
      <c r="B34" s="71" t="inlineStr">
        <is>
          <t>Manutenção de cobertura de gramíneas por hidrossemeadura</t>
        </is>
      </c>
      <c r="C34" s="27" t="inlineStr">
        <is>
          <t>m²</t>
        </is>
      </c>
      <c r="D34" s="35" t="n">
        <v>2408.34</v>
      </c>
      <c r="E34" s="35" t="n">
        <v>2408.34</v>
      </c>
      <c r="F34" s="14" t="n"/>
      <c r="G34" s="14" t="n"/>
      <c r="H34" s="14" t="n"/>
      <c r="I34" s="14" t="n"/>
      <c r="J34" s="14" t="n"/>
      <c r="K34" s="14" t="n"/>
    </row>
    <row r="35">
      <c r="A35" s="11" t="inlineStr">
        <is>
          <t>eap-5_15</t>
        </is>
      </c>
      <c r="B35" s="70" t="inlineStr">
        <is>
          <t>Escavação mecanizada de cavas ou valas de solo local - volume geométrico</t>
        </is>
      </c>
      <c r="C35" s="18" t="inlineStr">
        <is>
          <t>m³</t>
        </is>
      </c>
      <c r="D35" s="32" t="n">
        <v>268.9080000000001</v>
      </c>
      <c r="E35" s="32" t="n">
        <v>268.91</v>
      </c>
      <c r="F35" s="12" t="n"/>
      <c r="G35" s="12" t="n"/>
      <c r="H35" s="12" t="n"/>
      <c r="I35" s="12" t="n"/>
      <c r="J35" s="12" t="n"/>
      <c r="K35" s="12" t="n"/>
    </row>
    <row r="36">
      <c r="A36" s="13" t="inlineStr">
        <is>
          <t>eap-5_17</t>
        </is>
      </c>
      <c r="B36" s="71" t="inlineStr">
        <is>
          <t>Eegularização de bota-fora com espalhamento e compactação</t>
        </is>
      </c>
      <c r="C36" s="27" t="inlineStr">
        <is>
          <t>m³</t>
        </is>
      </c>
      <c r="D36" s="35" t="n">
        <v>268.9080000000001</v>
      </c>
      <c r="E36" s="35" t="n">
        <v>268.91</v>
      </c>
      <c r="F36" s="14" t="n"/>
      <c r="G36" s="14" t="n"/>
      <c r="H36" s="14" t="n"/>
      <c r="I36" s="14" t="n"/>
      <c r="J36" s="14" t="n"/>
      <c r="K36" s="14" t="n"/>
    </row>
    <row r="37">
      <c r="A37" s="11" t="inlineStr">
        <is>
          <t>eap-5_19</t>
        </is>
      </c>
      <c r="B37" s="70" t="inlineStr">
        <is>
          <t>manutenção de cobertura de gramíneas por hidrossemeadura</t>
        </is>
      </c>
      <c r="C37" s="18" t="inlineStr">
        <is>
          <t>m²</t>
        </is>
      </c>
      <c r="D37" s="32" t="n">
        <v>537.8160000000001</v>
      </c>
      <c r="E37" s="32" t="n">
        <v>537.8200000000001</v>
      </c>
      <c r="F37" s="12" t="n"/>
      <c r="G37" s="12" t="n"/>
      <c r="H37" s="12" t="n"/>
      <c r="I37" s="12" t="n"/>
      <c r="J37" s="12" t="n"/>
      <c r="K37" s="12" t="n"/>
    </row>
    <row r="38">
      <c r="A38" s="13" t="inlineStr">
        <is>
          <t>eap-5_11</t>
        </is>
      </c>
      <c r="B38" s="71" t="inlineStr">
        <is>
          <t>Regularização de valas com apiloamento do fundo</t>
        </is>
      </c>
      <c r="C38" s="27" t="inlineStr">
        <is>
          <t>m²</t>
        </is>
      </c>
      <c r="D38" s="35" t="n">
        <v>30.948</v>
      </c>
      <c r="E38" s="35" t="n">
        <v>30.95</v>
      </c>
      <c r="F38" s="14" t="n"/>
      <c r="G38" s="14" t="n"/>
      <c r="H38" s="14" t="n"/>
      <c r="I38" s="14" t="n"/>
      <c r="J38" s="14" t="n"/>
      <c r="K38" s="14" t="n"/>
    </row>
    <row r="39">
      <c r="A39" s="11" t="inlineStr">
        <is>
          <t>eap-5_13</t>
        </is>
      </c>
      <c r="B39" s="70" t="inlineStr">
        <is>
          <t>Hidrossemeadura para cobertura de taludes</t>
        </is>
      </c>
      <c r="C39" s="18" t="inlineStr">
        <is>
          <t>m²</t>
        </is>
      </c>
      <c r="D39" s="32" t="n">
        <v>30.948</v>
      </c>
      <c r="E39" s="32" t="n">
        <v>30.95</v>
      </c>
      <c r="F39" s="12" t="n"/>
      <c r="G39" s="12" t="n"/>
      <c r="H39" s="12" t="n"/>
      <c r="I39" s="12" t="n"/>
      <c r="J39" s="12" t="n"/>
      <c r="K39" s="12" t="n"/>
    </row>
    <row r="40">
      <c r="A40" s="13" t="inlineStr">
        <is>
          <t>eap-5_10</t>
        </is>
      </c>
      <c r="B40" s="71" t="inlineStr">
        <is>
          <t>Escavação mecanizada de cavas ou valas de solo local - volume geométrico</t>
        </is>
      </c>
      <c r="C40" s="27" t="inlineStr">
        <is>
          <t>m³</t>
        </is>
      </c>
      <c r="D40" s="35" t="n">
        <v>18.5688</v>
      </c>
      <c r="E40" s="35" t="n">
        <v>18.57</v>
      </c>
      <c r="F40" s="14" t="n"/>
      <c r="G40" s="14" t="n"/>
      <c r="H40" s="14" t="n"/>
      <c r="I40" s="14" t="n"/>
      <c r="J40" s="14" t="n"/>
      <c r="K40" s="14" t="n"/>
    </row>
    <row r="41">
      <c r="A41" s="11" t="inlineStr">
        <is>
          <t>eap-5_12</t>
        </is>
      </c>
      <c r="B41" s="70" t="inlineStr">
        <is>
          <t>Regularização de bota-fora com espalhamento e compactação</t>
        </is>
      </c>
      <c r="C41" s="18" t="inlineStr">
        <is>
          <t>m³</t>
        </is>
      </c>
      <c r="D41" s="32" t="n">
        <v>18.5688</v>
      </c>
      <c r="E41" s="32" t="n">
        <v>18.57</v>
      </c>
      <c r="F41" s="12" t="n"/>
      <c r="G41" s="12" t="n"/>
      <c r="H41" s="12" t="n"/>
      <c r="I41" s="12" t="n"/>
      <c r="J41" s="12" t="n"/>
      <c r="K41" s="12" t="n"/>
    </row>
    <row r="42">
      <c r="A42" s="13" t="inlineStr">
        <is>
          <t>eap-5_14</t>
        </is>
      </c>
      <c r="B42" s="71" t="inlineStr">
        <is>
          <t>manutenção de cobertura de gramíneas por hidrossemeadura</t>
        </is>
      </c>
      <c r="C42" s="27" t="inlineStr">
        <is>
          <t>m²</t>
        </is>
      </c>
      <c r="D42" s="35" t="n">
        <v>30.948</v>
      </c>
      <c r="E42" s="35" t="n">
        <v>30.95</v>
      </c>
      <c r="F42" s="14" t="n"/>
      <c r="G42" s="14" t="n"/>
      <c r="H42" s="14" t="n"/>
      <c r="I42" s="14" t="n"/>
      <c r="J42" s="14" t="n"/>
      <c r="K42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eap-4_7 — Binder - camada de ligação (FAIXA B)</t>
        </is>
      </c>
    </row>
    <row r="4">
      <c r="A4" s="11" t="inlineStr">
        <is>
          <t>eap-4_7</t>
        </is>
      </c>
      <c r="B4" s="11" t="inlineStr">
        <is>
          <t>CPU-PAVIM-ATI-060</t>
        </is>
      </c>
      <c r="C4" s="11" t="inlineStr">
        <is>
          <t>Operador de Escavadeira</t>
        </is>
      </c>
      <c r="D4" s="15" t="inlineStr">
        <is>
          <t>DIRETO</t>
        </is>
      </c>
      <c r="E4" s="16" t="n">
        <v>1</v>
      </c>
      <c r="F4" s="17" t="n">
        <v>12875</v>
      </c>
      <c r="G4" s="16" t="n">
        <v>0.92</v>
      </c>
      <c r="H4" s="16" t="n">
        <v>1</v>
      </c>
      <c r="I4" s="17" t="n">
        <v>11845</v>
      </c>
    </row>
    <row r="5">
      <c r="A5" s="11" t="inlineStr">
        <is>
          <t>eap-4_7</t>
        </is>
      </c>
      <c r="B5" s="11" t="inlineStr">
        <is>
          <t>CPU-PAVIM-ATI-060</t>
        </is>
      </c>
      <c r="C5" s="11" t="inlineStr">
        <is>
          <t>Motorista de Caminhão Basculante</t>
        </is>
      </c>
      <c r="D5" s="15" t="inlineStr">
        <is>
          <t>DIRETO</t>
        </is>
      </c>
      <c r="E5" s="16" t="n">
        <v>2</v>
      </c>
      <c r="F5" s="17" t="n">
        <v>21370.68</v>
      </c>
      <c r="G5" s="16" t="n">
        <v>0.92</v>
      </c>
      <c r="H5" s="16" t="n">
        <v>1</v>
      </c>
      <c r="I5" s="17" t="n">
        <v>19661.03</v>
      </c>
    </row>
    <row r="6">
      <c r="A6" s="11" t="inlineStr">
        <is>
          <t>eap-4_7</t>
        </is>
      </c>
      <c r="B6" s="11" t="inlineStr">
        <is>
          <t>CPU-PAVIM-ATI-060</t>
        </is>
      </c>
      <c r="C6" s="11" t="inlineStr">
        <is>
          <t>Operador de Escavadeira</t>
        </is>
      </c>
      <c r="D6" s="15" t="inlineStr">
        <is>
          <t>DIRETO</t>
        </is>
      </c>
      <c r="E6" s="16" t="n">
        <v>1</v>
      </c>
      <c r="F6" s="17" t="n">
        <v>12875</v>
      </c>
      <c r="G6" s="16" t="n">
        <v>0.92</v>
      </c>
      <c r="H6" s="16" t="n">
        <v>1</v>
      </c>
      <c r="I6" s="17" t="n">
        <v>11845</v>
      </c>
    </row>
    <row r="7">
      <c r="A7" s="11" t="inlineStr">
        <is>
          <t>eap-4_7</t>
        </is>
      </c>
      <c r="B7" s="11" t="inlineStr">
        <is>
          <t>EQ-E0016</t>
        </is>
      </c>
      <c r="C7" s="11" t="inlineStr">
        <is>
          <t>Escavadeira Hidráulica 22t [EQ]</t>
        </is>
      </c>
      <c r="D7" s="72" t="inlineStr">
        <is>
          <t>EQ</t>
        </is>
      </c>
      <c r="E7" s="16" t="n">
        <v>1</v>
      </c>
      <c r="F7" s="17" t="n">
        <v>35639.3</v>
      </c>
      <c r="G7" s="16" t="n">
        <v>0.92</v>
      </c>
      <c r="H7" s="16" t="n">
        <v>1</v>
      </c>
      <c r="I7" s="17" t="n">
        <v>32788.16</v>
      </c>
    </row>
    <row r="8">
      <c r="A8" s="11" t="inlineStr">
        <is>
          <t>eap-4_7</t>
        </is>
      </c>
      <c r="B8" s="11" t="inlineStr">
        <is>
          <t>EQ-E0050</t>
        </is>
      </c>
      <c r="C8" s="11" t="inlineStr">
        <is>
          <t>Escavadeira 35t com rompedor [EQ]</t>
        </is>
      </c>
      <c r="D8" s="72" t="inlineStr">
        <is>
          <t>EQ</t>
        </is>
      </c>
      <c r="E8" s="16" t="n">
        <v>1</v>
      </c>
      <c r="F8" s="17" t="n">
        <v>35318.8</v>
      </c>
      <c r="G8" s="16" t="n">
        <v>0.92</v>
      </c>
      <c r="H8" s="16" t="n">
        <v>1</v>
      </c>
      <c r="I8" s="17" t="n">
        <v>32493.3</v>
      </c>
    </row>
    <row r="9">
      <c r="A9" s="11" t="inlineStr">
        <is>
          <t>eap-4_7</t>
        </is>
      </c>
      <c r="B9" s="11" t="inlineStr">
        <is>
          <t>EQ-E0050</t>
        </is>
      </c>
      <c r="C9" s="19" t="inlineStr">
        <is>
          <t>Diesel — Escavadeira 35t com rompedor</t>
        </is>
      </c>
      <c r="D9" s="73" t="inlineStr">
        <is>
          <t>COMB</t>
        </is>
      </c>
      <c r="E9" s="16" t="n">
        <v>1</v>
      </c>
      <c r="F9" s="17" t="n">
        <v>33161.14</v>
      </c>
      <c r="G9" s="16" t="n">
        <v>0.92</v>
      </c>
      <c r="H9" s="16" t="n">
        <v>1</v>
      </c>
      <c r="I9" s="17" t="n">
        <v>30508.25</v>
      </c>
    </row>
    <row r="10">
      <c r="A10" s="11" t="inlineStr">
        <is>
          <t>eap-4_7</t>
        </is>
      </c>
      <c r="B10" s="11" t="inlineStr">
        <is>
          <t>EQ-E0008</t>
        </is>
      </c>
      <c r="C10" s="11" t="inlineStr">
        <is>
          <t>Caminhão Basculante 16m³ [EQ]</t>
        </is>
      </c>
      <c r="D10" s="72" t="inlineStr">
        <is>
          <t>EQ</t>
        </is>
      </c>
      <c r="E10" s="16" t="n">
        <v>2</v>
      </c>
      <c r="F10" s="17" t="n">
        <v>40084.35</v>
      </c>
      <c r="G10" s="16" t="n">
        <v>0.92</v>
      </c>
      <c r="H10" s="16" t="n">
        <v>1</v>
      </c>
      <c r="I10" s="17" t="n">
        <v>36877.6</v>
      </c>
    </row>
    <row r="11">
      <c r="A11" s="11" t="inlineStr">
        <is>
          <t>eap-4_7</t>
        </is>
      </c>
      <c r="B11" s="11" t="inlineStr">
        <is>
          <t>EQ-E0008</t>
        </is>
      </c>
      <c r="C11" s="19" t="inlineStr">
        <is>
          <t>Diesel — Caminhão Basculante 16m³</t>
        </is>
      </c>
      <c r="D11" s="73" t="inlineStr">
        <is>
          <t>COMB</t>
        </is>
      </c>
      <c r="E11" s="16" t="n">
        <v>2</v>
      </c>
      <c r="F11" s="17" t="n">
        <v>3188.57</v>
      </c>
      <c r="G11" s="16" t="n">
        <v>0.92</v>
      </c>
      <c r="H11" s="16" t="n">
        <v>1</v>
      </c>
      <c r="I11" s="17" t="n">
        <v>2933.48</v>
      </c>
    </row>
    <row r="12">
      <c r="A12" s="20" t="inlineStr">
        <is>
          <t>Subtotal eap-4_7</t>
        </is>
      </c>
      <c r="B12" s="21" t="n"/>
      <c r="C12" s="21" t="n"/>
      <c r="D12" s="21" t="n"/>
      <c r="E12" s="21" t="n"/>
      <c r="F12" s="21" t="n"/>
      <c r="G12" s="21" t="n"/>
      <c r="H12" s="21" t="n"/>
      <c r="I12" s="22" t="n">
        <v>213557.25</v>
      </c>
    </row>
    <row r="13">
      <c r="A13" s="9" t="inlineStr">
        <is>
          <t>eap-4_8 — Cbuq - concreto betuminoso usinado a quente</t>
        </is>
      </c>
    </row>
    <row r="14">
      <c r="A14" s="13" t="inlineStr">
        <is>
          <t>eap-4_8</t>
        </is>
      </c>
      <c r="B14" s="13" t="inlineStr">
        <is>
          <t>CPU-DIVER-ATI-066</t>
        </is>
      </c>
      <c r="C14" s="13" t="inlineStr">
        <is>
          <t>Encarregado de Terraplenagem</t>
        </is>
      </c>
      <c r="D14" s="24" t="inlineStr">
        <is>
          <t>DIRETO</t>
        </is>
      </c>
      <c r="E14" s="25" t="n">
        <v>1</v>
      </c>
      <c r="F14" s="26" t="n">
        <v>11549.8</v>
      </c>
      <c r="G14" s="25" t="n">
        <v>0.46</v>
      </c>
      <c r="H14" s="25" t="n">
        <v>1</v>
      </c>
      <c r="I14" s="26" t="n">
        <v>5312.91</v>
      </c>
    </row>
    <row r="15">
      <c r="A15" s="13" t="inlineStr">
        <is>
          <t>eap-4_8</t>
        </is>
      </c>
      <c r="B15" s="13" t="inlineStr">
        <is>
          <t>CPU-DIVER-ATI-066</t>
        </is>
      </c>
      <c r="C15" s="13" t="inlineStr">
        <is>
          <t>Cerqueiro</t>
        </is>
      </c>
      <c r="D15" s="24" t="inlineStr">
        <is>
          <t>DIRETO</t>
        </is>
      </c>
      <c r="E15" s="25" t="n">
        <v>3</v>
      </c>
      <c r="F15" s="26" t="n">
        <v>29703.51</v>
      </c>
      <c r="G15" s="25" t="n">
        <v>0.46</v>
      </c>
      <c r="H15" s="25" t="n">
        <v>1</v>
      </c>
      <c r="I15" s="26" t="n">
        <v>13663.61</v>
      </c>
    </row>
    <row r="16">
      <c r="A16" s="13" t="inlineStr">
        <is>
          <t>eap-4_8</t>
        </is>
      </c>
      <c r="B16" s="13" t="inlineStr">
        <is>
          <t>EQ-E0001</t>
        </is>
      </c>
      <c r="C16" s="13" t="inlineStr">
        <is>
          <t>Automóvel (veículo leve) [EQ]</t>
        </is>
      </c>
      <c r="D16" s="74" t="inlineStr">
        <is>
          <t>EQ</t>
        </is>
      </c>
      <c r="E16" s="25" t="n">
        <v>1</v>
      </c>
      <c r="F16" s="26" t="n">
        <v>3872</v>
      </c>
      <c r="G16" s="25" t="n">
        <v>0.46</v>
      </c>
      <c r="H16" s="25" t="n">
        <v>1</v>
      </c>
      <c r="I16" s="26" t="n">
        <v>1781.12</v>
      </c>
    </row>
    <row r="17">
      <c r="A17" s="13" t="inlineStr">
        <is>
          <t>eap-4_8</t>
        </is>
      </c>
      <c r="B17" s="13" t="inlineStr">
        <is>
          <t>EQ-E0001</t>
        </is>
      </c>
      <c r="C17" s="28" t="inlineStr">
        <is>
          <t>Diesel — Automóvel (veículo leve)</t>
        </is>
      </c>
      <c r="D17" s="75" t="inlineStr">
        <is>
          <t>COMB</t>
        </is>
      </c>
      <c r="E17" s="25" t="n">
        <v>1</v>
      </c>
      <c r="F17" s="26" t="n">
        <v>1020.34</v>
      </c>
      <c r="G17" s="25" t="n">
        <v>0.46</v>
      </c>
      <c r="H17" s="25" t="n">
        <v>1</v>
      </c>
      <c r="I17" s="26" t="n">
        <v>469.36</v>
      </c>
    </row>
    <row r="18">
      <c r="A18" s="20" t="inlineStr">
        <is>
          <t>Subtotal eap-4_8</t>
        </is>
      </c>
      <c r="B18" s="21" t="n"/>
      <c r="C18" s="21" t="n"/>
      <c r="D18" s="21" t="n"/>
      <c r="E18" s="21" t="n"/>
      <c r="F18" s="21" t="n"/>
      <c r="G18" s="21" t="n"/>
      <c r="H18" s="21" t="n"/>
      <c r="I18" s="22" t="n">
        <v>21192.62</v>
      </c>
    </row>
    <row r="19">
      <c r="A19" s="9" t="inlineStr">
        <is>
          <t>eap-4_4 — Base ou sub-base de brita graduada executada com vibroacabadora - brita comercial</t>
        </is>
      </c>
    </row>
    <row r="20">
      <c r="A20" s="11" t="inlineStr">
        <is>
          <t>eap-4_4</t>
        </is>
      </c>
      <c r="B20" s="11" t="inlineStr">
        <is>
          <t>CPU-PAVIM-ATI-054</t>
        </is>
      </c>
      <c r="C20" s="11" t="inlineStr">
        <is>
          <t>Operador de Motoniveladora</t>
        </is>
      </c>
      <c r="D20" s="15" t="inlineStr">
        <is>
          <t>DIRETO</t>
        </is>
      </c>
      <c r="E20" s="16" t="n">
        <v>1</v>
      </c>
      <c r="F20" s="17" t="n">
        <v>17356.25</v>
      </c>
      <c r="G20" s="16" t="n">
        <v>0.92</v>
      </c>
      <c r="H20" s="16" t="n">
        <v>1</v>
      </c>
      <c r="I20" s="17" t="n">
        <v>15967.75</v>
      </c>
    </row>
    <row r="21">
      <c r="A21" s="11" t="inlineStr">
        <is>
          <t>eap-4_4</t>
        </is>
      </c>
      <c r="B21" s="11" t="inlineStr">
        <is>
          <t>CPU-PAVIM-ATI-054</t>
        </is>
      </c>
      <c r="C21" s="11" t="inlineStr">
        <is>
          <t>Motorista de Caminhão Basculante</t>
        </is>
      </c>
      <c r="D21" s="15" t="inlineStr">
        <is>
          <t>DIRETO</t>
        </is>
      </c>
      <c r="E21" s="16" t="n">
        <v>2</v>
      </c>
      <c r="F21" s="17" t="n">
        <v>21370.68</v>
      </c>
      <c r="G21" s="16" t="n">
        <v>0.92</v>
      </c>
      <c r="H21" s="16" t="n">
        <v>1</v>
      </c>
      <c r="I21" s="17" t="n">
        <v>19661.03</v>
      </c>
    </row>
    <row r="22">
      <c r="A22" s="11" t="inlineStr">
        <is>
          <t>eap-4_4</t>
        </is>
      </c>
      <c r="B22" s="11" t="inlineStr">
        <is>
          <t>CPU-PAVIM-ATI-054</t>
        </is>
      </c>
      <c r="C22" s="11" t="inlineStr">
        <is>
          <t>Motorista de Caminhão Pipa</t>
        </is>
      </c>
      <c r="D22" s="15" t="inlineStr">
        <is>
          <t>DIRETO</t>
        </is>
      </c>
      <c r="E22" s="16" t="n">
        <v>1</v>
      </c>
      <c r="F22" s="17" t="n">
        <v>10685.34</v>
      </c>
      <c r="G22" s="16" t="n">
        <v>0.92</v>
      </c>
      <c r="H22" s="16" t="n">
        <v>1</v>
      </c>
      <c r="I22" s="17" t="n">
        <v>9830.51</v>
      </c>
    </row>
    <row r="23">
      <c r="A23" s="11" t="inlineStr">
        <is>
          <t>eap-4_4</t>
        </is>
      </c>
      <c r="B23" s="11" t="inlineStr">
        <is>
          <t>CPU-PAVIM-ATI-054</t>
        </is>
      </c>
      <c r="C23" s="11" t="inlineStr">
        <is>
          <t>Operador de Rolo Compactador</t>
        </is>
      </c>
      <c r="D23" s="15" t="inlineStr">
        <is>
          <t>DIRETO</t>
        </is>
      </c>
      <c r="E23" s="16" t="n">
        <v>1</v>
      </c>
      <c r="F23" s="17" t="n">
        <v>10685.34</v>
      </c>
      <c r="G23" s="16" t="n">
        <v>0.92</v>
      </c>
      <c r="H23" s="16" t="n">
        <v>1</v>
      </c>
      <c r="I23" s="17" t="n">
        <v>9830.51</v>
      </c>
    </row>
    <row r="24">
      <c r="A24" s="11" t="inlineStr">
        <is>
          <t>eap-4_4</t>
        </is>
      </c>
      <c r="B24" s="11" t="inlineStr">
        <is>
          <t>CPU-PAVIM-ATI-054</t>
        </is>
      </c>
      <c r="C24" s="11" t="inlineStr">
        <is>
          <t>Encarregado de Capa</t>
        </is>
      </c>
      <c r="D24" s="15" t="inlineStr">
        <is>
          <t>DIRETO</t>
        </is>
      </c>
      <c r="E24" s="16" t="n">
        <v>1</v>
      </c>
      <c r="F24" s="17" t="n">
        <v>15569.81</v>
      </c>
      <c r="G24" s="16" t="n">
        <v>0.92</v>
      </c>
      <c r="H24" s="16" t="n">
        <v>1</v>
      </c>
      <c r="I24" s="17" t="n">
        <v>14324.23</v>
      </c>
    </row>
    <row r="25">
      <c r="A25" s="11" t="inlineStr">
        <is>
          <t>eap-4_4</t>
        </is>
      </c>
      <c r="B25" s="11" t="inlineStr">
        <is>
          <t>EQ-E0028</t>
        </is>
      </c>
      <c r="C25" s="11" t="inlineStr">
        <is>
          <t>Motoniveladora 120HP [EQ]</t>
        </is>
      </c>
      <c r="D25" s="72" t="inlineStr">
        <is>
          <t>EQ</t>
        </is>
      </c>
      <c r="E25" s="16" t="n">
        <v>1</v>
      </c>
      <c r="F25" s="17" t="n">
        <v>36664.32</v>
      </c>
      <c r="G25" s="16" t="n">
        <v>0.92</v>
      </c>
      <c r="H25" s="16" t="n">
        <v>1</v>
      </c>
      <c r="I25" s="17" t="n">
        <v>33731.17</v>
      </c>
    </row>
    <row r="26">
      <c r="A26" s="11" t="inlineStr">
        <is>
          <t>eap-4_4</t>
        </is>
      </c>
      <c r="B26" s="11" t="inlineStr">
        <is>
          <t>EQ-E0028</t>
        </is>
      </c>
      <c r="C26" s="19" t="inlineStr">
        <is>
          <t>Diesel — Motoniveladora 120HP</t>
        </is>
      </c>
      <c r="D26" s="73" t="inlineStr">
        <is>
          <t>COMB</t>
        </is>
      </c>
      <c r="E26" s="16" t="n">
        <v>1</v>
      </c>
      <c r="F26" s="17" t="n">
        <v>11478.86</v>
      </c>
      <c r="G26" s="16" t="n">
        <v>0.92</v>
      </c>
      <c r="H26" s="16" t="n">
        <v>1</v>
      </c>
      <c r="I26" s="17" t="n">
        <v>10560.55</v>
      </c>
    </row>
    <row r="27">
      <c r="A27" s="11" t="inlineStr">
        <is>
          <t>eap-4_4</t>
        </is>
      </c>
      <c r="B27" s="11" t="inlineStr">
        <is>
          <t>EQ-E0035</t>
        </is>
      </c>
      <c r="C27" s="11" t="inlineStr">
        <is>
          <t>Trator de esteiras 20T [EQ]</t>
        </is>
      </c>
      <c r="D27" s="72" t="inlineStr">
        <is>
          <t>EQ</t>
        </is>
      </c>
      <c r="E27" s="16" t="n">
        <v>1</v>
      </c>
      <c r="F27" s="17" t="n">
        <v>21683.2</v>
      </c>
      <c r="G27" s="16" t="n">
        <v>0.92</v>
      </c>
      <c r="H27" s="16" t="n">
        <v>1</v>
      </c>
      <c r="I27" s="17" t="n">
        <v>19948.54</v>
      </c>
    </row>
    <row r="28">
      <c r="A28" s="11" t="inlineStr">
        <is>
          <t>eap-4_4</t>
        </is>
      </c>
      <c r="B28" s="11" t="inlineStr">
        <is>
          <t>EQ-E0035</t>
        </is>
      </c>
      <c r="C28" s="19" t="inlineStr">
        <is>
          <t>Diesel — Trator de esteiras 20T</t>
        </is>
      </c>
      <c r="D28" s="73" t="inlineStr">
        <is>
          <t>COMB</t>
        </is>
      </c>
      <c r="E28" s="16" t="n">
        <v>1</v>
      </c>
      <c r="F28" s="17" t="n">
        <v>22957.71</v>
      </c>
      <c r="G28" s="16" t="n">
        <v>0.92</v>
      </c>
      <c r="H28" s="16" t="n">
        <v>1</v>
      </c>
      <c r="I28" s="17" t="n">
        <v>21121.09</v>
      </c>
    </row>
    <row r="29">
      <c r="A29" s="11" t="inlineStr">
        <is>
          <t>eap-4_4</t>
        </is>
      </c>
      <c r="B29" s="11" t="inlineStr">
        <is>
          <t>EQ-E0010</t>
        </is>
      </c>
      <c r="C29" s="11" t="inlineStr">
        <is>
          <t>Caminhão Pipa 10.000L [EQ]</t>
        </is>
      </c>
      <c r="D29" s="72" t="inlineStr">
        <is>
          <t>EQ</t>
        </is>
      </c>
      <c r="E29" s="16" t="n">
        <v>1</v>
      </c>
      <c r="F29" s="17" t="n">
        <v>19360</v>
      </c>
      <c r="G29" s="16" t="n">
        <v>0.92</v>
      </c>
      <c r="H29" s="16" t="n">
        <v>1</v>
      </c>
      <c r="I29" s="17" t="n">
        <v>17811.2</v>
      </c>
    </row>
    <row r="30">
      <c r="A30" s="11" t="inlineStr">
        <is>
          <t>eap-4_4</t>
        </is>
      </c>
      <c r="B30" s="11" t="inlineStr">
        <is>
          <t>EQ-E0010</t>
        </is>
      </c>
      <c r="C30" s="19" t="inlineStr">
        <is>
          <t>Diesel — Caminhão Pipa 10.000L</t>
        </is>
      </c>
      <c r="D30" s="73" t="inlineStr">
        <is>
          <t>COMB</t>
        </is>
      </c>
      <c r="E30" s="16" t="n">
        <v>1</v>
      </c>
      <c r="F30" s="17" t="n">
        <v>2550.86</v>
      </c>
      <c r="G30" s="16" t="n">
        <v>0.92</v>
      </c>
      <c r="H30" s="16" t="n">
        <v>1</v>
      </c>
      <c r="I30" s="17" t="n">
        <v>2346.79</v>
      </c>
    </row>
    <row r="31">
      <c r="A31" s="11" t="inlineStr">
        <is>
          <t>eap-4_4</t>
        </is>
      </c>
      <c r="B31" s="11" t="inlineStr">
        <is>
          <t>EQ-E0008</t>
        </is>
      </c>
      <c r="C31" s="11" t="inlineStr">
        <is>
          <t>Caminhão Basculante 16m³ [EQ]</t>
        </is>
      </c>
      <c r="D31" s="72" t="inlineStr">
        <is>
          <t>EQ</t>
        </is>
      </c>
      <c r="E31" s="16" t="n">
        <v>2</v>
      </c>
      <c r="F31" s="17" t="n">
        <v>40084.35</v>
      </c>
      <c r="G31" s="16" t="n">
        <v>0.92</v>
      </c>
      <c r="H31" s="16" t="n">
        <v>1</v>
      </c>
      <c r="I31" s="17" t="n">
        <v>36877.6</v>
      </c>
    </row>
    <row r="32">
      <c r="A32" s="11" t="inlineStr">
        <is>
          <t>eap-4_4</t>
        </is>
      </c>
      <c r="B32" s="11" t="inlineStr">
        <is>
          <t>EQ-E0008</t>
        </is>
      </c>
      <c r="C32" s="19" t="inlineStr">
        <is>
          <t>Diesel — Caminhão Basculante 16m³</t>
        </is>
      </c>
      <c r="D32" s="73" t="inlineStr">
        <is>
          <t>COMB</t>
        </is>
      </c>
      <c r="E32" s="16" t="n">
        <v>2</v>
      </c>
      <c r="F32" s="17" t="n">
        <v>3188.57</v>
      </c>
      <c r="G32" s="16" t="n">
        <v>0.92</v>
      </c>
      <c r="H32" s="16" t="n">
        <v>1</v>
      </c>
      <c r="I32" s="17" t="n">
        <v>2933.48</v>
      </c>
    </row>
    <row r="33">
      <c r="A33" s="20" t="inlineStr">
        <is>
          <t>Subtotal eap-4_4</t>
        </is>
      </c>
      <c r="B33" s="21" t="n"/>
      <c r="C33" s="21" t="n"/>
      <c r="D33" s="21" t="n"/>
      <c r="E33" s="21" t="n"/>
      <c r="F33" s="21" t="n"/>
      <c r="G33" s="21" t="n"/>
      <c r="H33" s="21" t="n"/>
      <c r="I33" s="22" t="n">
        <v>249045.54</v>
      </c>
    </row>
    <row r="34">
      <c r="A34" s="9" t="inlineStr">
        <is>
          <t>eap-7_1 — Hidrossemeadura para cobertura de taludes</t>
        </is>
      </c>
    </row>
    <row r="35">
      <c r="A35" s="13" t="inlineStr">
        <is>
          <t>eap-7_1</t>
        </is>
      </c>
      <c r="B35" s="13" t="inlineStr">
        <is>
          <t>CPU-TERRA-ATI-080</t>
        </is>
      </c>
      <c r="C35" s="13" t="inlineStr">
        <is>
          <t>Ajudante</t>
        </is>
      </c>
      <c r="D35" s="24" t="inlineStr">
        <is>
          <t>DIRETO</t>
        </is>
      </c>
      <c r="E35" s="25" t="n">
        <v>4</v>
      </c>
      <c r="F35" s="26" t="n">
        <v>21046.6</v>
      </c>
      <c r="G35" s="25" t="n">
        <v>1.61</v>
      </c>
      <c r="H35" s="25" t="n">
        <v>1</v>
      </c>
      <c r="I35" s="26" t="n">
        <v>33885.03</v>
      </c>
    </row>
    <row r="36">
      <c r="A36" s="13" t="inlineStr">
        <is>
          <t>eap-7_1</t>
        </is>
      </c>
      <c r="B36" s="13" t="inlineStr">
        <is>
          <t>EQ-HIDROSSEMEADORA</t>
        </is>
      </c>
      <c r="C36" s="13" t="inlineStr">
        <is>
          <t>Hidrossemeadora rebocável [EQ]</t>
        </is>
      </c>
      <c r="D36" s="74" t="inlineStr">
        <is>
          <t>EQ</t>
        </is>
      </c>
      <c r="E36" s="25" t="n">
        <v>1</v>
      </c>
      <c r="F36" s="26" t="n">
        <v>6160</v>
      </c>
      <c r="G36" s="25" t="n">
        <v>1.61</v>
      </c>
      <c r="H36" s="25" t="n">
        <v>1</v>
      </c>
      <c r="I36" s="26" t="n">
        <v>9917.6</v>
      </c>
    </row>
    <row r="37">
      <c r="A37" s="20" t="inlineStr">
        <is>
          <t>Subtotal eap-7_1</t>
        </is>
      </c>
      <c r="B37" s="21" t="n"/>
      <c r="C37" s="21" t="n"/>
      <c r="D37" s="21" t="n"/>
      <c r="E37" s="21" t="n"/>
      <c r="F37" s="21" t="n"/>
      <c r="G37" s="21" t="n"/>
      <c r="H37" s="21" t="n"/>
      <c r="I37" s="22" t="n">
        <v>43800.87</v>
      </c>
    </row>
    <row r="38">
      <c r="A38" s="9" t="inlineStr">
        <is>
          <t>eap-2_2 — Escavação, carga e transporte de material de 1° cat. - dmt: 4700m (importação solo de jazida interna ao TBR070)</t>
        </is>
      </c>
    </row>
    <row r="39">
      <c r="A39" s="11" t="inlineStr">
        <is>
          <t>eap-2_2</t>
        </is>
      </c>
      <c r="B39" s="11" t="inlineStr">
        <is>
          <t>CPU-TERRA-ATI-011-DMT-LONGA</t>
        </is>
      </c>
      <c r="C39" s="11" t="inlineStr">
        <is>
          <t>Operador de Escavadeira</t>
        </is>
      </c>
      <c r="D39" s="15" t="inlineStr">
        <is>
          <t>DIRETO</t>
        </is>
      </c>
      <c r="E39" s="16" t="n">
        <v>1</v>
      </c>
      <c r="F39" s="17" t="n">
        <v>12875</v>
      </c>
      <c r="G39" s="16" t="n">
        <v>3.45</v>
      </c>
      <c r="H39" s="16" t="n">
        <v>1</v>
      </c>
      <c r="I39" s="17" t="n">
        <v>44418.75</v>
      </c>
    </row>
    <row r="40">
      <c r="A40" s="11" t="inlineStr">
        <is>
          <t>eap-2_2</t>
        </is>
      </c>
      <c r="B40" s="11" t="inlineStr">
        <is>
          <t>CPU-TERRA-ATI-011-DMT-LONGA</t>
        </is>
      </c>
      <c r="C40" s="11" t="inlineStr">
        <is>
          <t>Motorista de Caminhão Basculante</t>
        </is>
      </c>
      <c r="D40" s="15" t="inlineStr">
        <is>
          <t>DIRETO</t>
        </is>
      </c>
      <c r="E40" s="16" t="n">
        <v>5</v>
      </c>
      <c r="F40" s="17" t="n">
        <v>53426.7</v>
      </c>
      <c r="G40" s="16" t="n">
        <v>3.45</v>
      </c>
      <c r="H40" s="16" t="n">
        <v>1</v>
      </c>
      <c r="I40" s="17" t="n">
        <v>184322.11</v>
      </c>
    </row>
    <row r="41">
      <c r="A41" s="11" t="inlineStr">
        <is>
          <t>eap-2_2</t>
        </is>
      </c>
      <c r="B41" s="11" t="inlineStr">
        <is>
          <t>CPU-TERRA-ATI-011-DMT-LONGA</t>
        </is>
      </c>
      <c r="C41" s="11" t="inlineStr">
        <is>
          <t>Encarregado de Terraplenagem</t>
        </is>
      </c>
      <c r="D41" s="15" t="inlineStr">
        <is>
          <t>DIRETO</t>
        </is>
      </c>
      <c r="E41" s="16" t="n">
        <v>1</v>
      </c>
      <c r="F41" s="17" t="n">
        <v>11549.8</v>
      </c>
      <c r="G41" s="16" t="n">
        <v>3.45</v>
      </c>
      <c r="H41" s="16" t="n">
        <v>1</v>
      </c>
      <c r="I41" s="17" t="n">
        <v>39846.81</v>
      </c>
    </row>
    <row r="42">
      <c r="A42" s="11" t="inlineStr">
        <is>
          <t>eap-2_2</t>
        </is>
      </c>
      <c r="B42" s="11" t="inlineStr">
        <is>
          <t>EQ-E0016</t>
        </is>
      </c>
      <c r="C42" s="11" t="inlineStr">
        <is>
          <t>Escavadeira Hidráulica 22t [EQ]</t>
        </is>
      </c>
      <c r="D42" s="72" t="inlineStr">
        <is>
          <t>EQ</t>
        </is>
      </c>
      <c r="E42" s="16" t="n">
        <v>1</v>
      </c>
      <c r="F42" s="17" t="n">
        <v>35639.3</v>
      </c>
      <c r="G42" s="16" t="n">
        <v>3.45</v>
      </c>
      <c r="H42" s="16" t="n">
        <v>1</v>
      </c>
      <c r="I42" s="17" t="n">
        <v>122955.59</v>
      </c>
    </row>
    <row r="43">
      <c r="A43" s="11" t="inlineStr">
        <is>
          <t>eap-2_2</t>
        </is>
      </c>
      <c r="B43" s="11" t="inlineStr">
        <is>
          <t>EQ-E0008</t>
        </is>
      </c>
      <c r="C43" s="11" t="inlineStr">
        <is>
          <t>Caminhão Basculante 16m³ [EQ]</t>
        </is>
      </c>
      <c r="D43" s="72" t="inlineStr">
        <is>
          <t>EQ</t>
        </is>
      </c>
      <c r="E43" s="16" t="n">
        <v>5</v>
      </c>
      <c r="F43" s="17" t="n">
        <v>40084.35</v>
      </c>
      <c r="G43" s="16" t="n">
        <v>3.45</v>
      </c>
      <c r="H43" s="16" t="n">
        <v>1</v>
      </c>
      <c r="I43" s="17" t="n">
        <v>138291.01</v>
      </c>
    </row>
    <row r="44">
      <c r="A44" s="11" t="inlineStr">
        <is>
          <t>eap-2_2</t>
        </is>
      </c>
      <c r="B44" s="11" t="inlineStr">
        <is>
          <t>EQ-E0008</t>
        </is>
      </c>
      <c r="C44" s="19" t="inlineStr">
        <is>
          <t>Diesel — Caminhão Basculante 16m³</t>
        </is>
      </c>
      <c r="D44" s="73" t="inlineStr">
        <is>
          <t>COMB</t>
        </is>
      </c>
      <c r="E44" s="16" t="n">
        <v>5</v>
      </c>
      <c r="F44" s="17" t="n">
        <v>3188.57</v>
      </c>
      <c r="G44" s="16" t="n">
        <v>3.45</v>
      </c>
      <c r="H44" s="16" t="n">
        <v>1</v>
      </c>
      <c r="I44" s="17" t="n">
        <v>11000.57</v>
      </c>
    </row>
    <row r="45">
      <c r="A45" s="20" t="inlineStr">
        <is>
          <t>Subtotal eap-2_2</t>
        </is>
      </c>
      <c r="B45" s="21" t="n"/>
      <c r="C45" s="21" t="n"/>
      <c r="D45" s="21" t="n"/>
      <c r="E45" s="21" t="n"/>
      <c r="F45" s="21" t="n"/>
      <c r="G45" s="21" t="n"/>
      <c r="H45" s="21" t="n"/>
      <c r="I45" s="22" t="n">
        <v>1125382.83</v>
      </c>
    </row>
    <row r="46">
      <c r="A46" s="9" t="inlineStr">
        <is>
          <t>eap-4_3 — Sub-base estabilizada granulometricamente com mistura solo brita (70% - 30%) na pista com material de jazida e brita comercial - volume geométrico</t>
        </is>
      </c>
    </row>
    <row r="47">
      <c r="A47" s="13" t="inlineStr">
        <is>
          <t>eap-4_3</t>
        </is>
      </c>
      <c r="B47" s="13" t="inlineStr">
        <is>
          <t>CPU-PAVIM-ATI-054</t>
        </is>
      </c>
      <c r="C47" s="13" t="inlineStr">
        <is>
          <t>Operador de Motoniveladora</t>
        </is>
      </c>
      <c r="D47" s="24" t="inlineStr">
        <is>
          <t>DIRETO</t>
        </is>
      </c>
      <c r="E47" s="25" t="n">
        <v>1</v>
      </c>
      <c r="F47" s="26" t="n">
        <v>17356.25</v>
      </c>
      <c r="G47" s="25" t="n">
        <v>0.92</v>
      </c>
      <c r="H47" s="25" t="n">
        <v>1</v>
      </c>
      <c r="I47" s="26" t="n">
        <v>15967.75</v>
      </c>
    </row>
    <row r="48">
      <c r="A48" s="13" t="inlineStr">
        <is>
          <t>eap-4_3</t>
        </is>
      </c>
      <c r="B48" s="13" t="inlineStr">
        <is>
          <t>CPU-PAVIM-ATI-054</t>
        </is>
      </c>
      <c r="C48" s="13" t="inlineStr">
        <is>
          <t>Motorista de Caminhão Basculante</t>
        </is>
      </c>
      <c r="D48" s="24" t="inlineStr">
        <is>
          <t>DIRETO</t>
        </is>
      </c>
      <c r="E48" s="25" t="n">
        <v>2</v>
      </c>
      <c r="F48" s="26" t="n">
        <v>21370.68</v>
      </c>
      <c r="G48" s="25" t="n">
        <v>0.92</v>
      </c>
      <c r="H48" s="25" t="n">
        <v>1</v>
      </c>
      <c r="I48" s="26" t="n">
        <v>19661.03</v>
      </c>
    </row>
    <row r="49">
      <c r="A49" s="13" t="inlineStr">
        <is>
          <t>eap-4_3</t>
        </is>
      </c>
      <c r="B49" s="13" t="inlineStr">
        <is>
          <t>CPU-PAVIM-ATI-054</t>
        </is>
      </c>
      <c r="C49" s="13" t="inlineStr">
        <is>
          <t>Motorista de Caminhão Pipa</t>
        </is>
      </c>
      <c r="D49" s="24" t="inlineStr">
        <is>
          <t>DIRETO</t>
        </is>
      </c>
      <c r="E49" s="25" t="n">
        <v>1</v>
      </c>
      <c r="F49" s="26" t="n">
        <v>10685.34</v>
      </c>
      <c r="G49" s="25" t="n">
        <v>0.92</v>
      </c>
      <c r="H49" s="25" t="n">
        <v>1</v>
      </c>
      <c r="I49" s="26" t="n">
        <v>9830.51</v>
      </c>
    </row>
    <row r="50">
      <c r="A50" s="13" t="inlineStr">
        <is>
          <t>eap-4_3</t>
        </is>
      </c>
      <c r="B50" s="13" t="inlineStr">
        <is>
          <t>CPU-PAVIM-ATI-054</t>
        </is>
      </c>
      <c r="C50" s="13" t="inlineStr">
        <is>
          <t>Operador de Rolo Compactador</t>
        </is>
      </c>
      <c r="D50" s="24" t="inlineStr">
        <is>
          <t>DIRETO</t>
        </is>
      </c>
      <c r="E50" s="25" t="n">
        <v>1</v>
      </c>
      <c r="F50" s="26" t="n">
        <v>10685.34</v>
      </c>
      <c r="G50" s="25" t="n">
        <v>0.92</v>
      </c>
      <c r="H50" s="25" t="n">
        <v>1</v>
      </c>
      <c r="I50" s="26" t="n">
        <v>9830.51</v>
      </c>
    </row>
    <row r="51">
      <c r="A51" s="13" t="inlineStr">
        <is>
          <t>eap-4_3</t>
        </is>
      </c>
      <c r="B51" s="13" t="inlineStr">
        <is>
          <t>CPU-PAVIM-ATI-054</t>
        </is>
      </c>
      <c r="C51" s="13" t="inlineStr">
        <is>
          <t>Encarregado de Capa</t>
        </is>
      </c>
      <c r="D51" s="24" t="inlineStr">
        <is>
          <t>DIRETO</t>
        </is>
      </c>
      <c r="E51" s="25" t="n">
        <v>1</v>
      </c>
      <c r="F51" s="26" t="n">
        <v>15569.81</v>
      </c>
      <c r="G51" s="25" t="n">
        <v>0.92</v>
      </c>
      <c r="H51" s="25" t="n">
        <v>1</v>
      </c>
      <c r="I51" s="26" t="n">
        <v>14324.23</v>
      </c>
    </row>
    <row r="52">
      <c r="A52" s="13" t="inlineStr">
        <is>
          <t>eap-4_3</t>
        </is>
      </c>
      <c r="B52" s="13" t="inlineStr">
        <is>
          <t>EQ-E0028</t>
        </is>
      </c>
      <c r="C52" s="13" t="inlineStr">
        <is>
          <t>Motoniveladora 120HP [EQ]</t>
        </is>
      </c>
      <c r="D52" s="74" t="inlineStr">
        <is>
          <t>EQ</t>
        </is>
      </c>
      <c r="E52" s="25" t="n">
        <v>1</v>
      </c>
      <c r="F52" s="26" t="n">
        <v>36664.32</v>
      </c>
      <c r="G52" s="25" t="n">
        <v>0.92</v>
      </c>
      <c r="H52" s="25" t="n">
        <v>1</v>
      </c>
      <c r="I52" s="26" t="n">
        <v>33731.17</v>
      </c>
    </row>
    <row r="53">
      <c r="A53" s="13" t="inlineStr">
        <is>
          <t>eap-4_3</t>
        </is>
      </c>
      <c r="B53" s="13" t="inlineStr">
        <is>
          <t>EQ-E0028</t>
        </is>
      </c>
      <c r="C53" s="28" t="inlineStr">
        <is>
          <t>Diesel — Motoniveladora 120HP</t>
        </is>
      </c>
      <c r="D53" s="75" t="inlineStr">
        <is>
          <t>COMB</t>
        </is>
      </c>
      <c r="E53" s="25" t="n">
        <v>1</v>
      </c>
      <c r="F53" s="26" t="n">
        <v>11478.86</v>
      </c>
      <c r="G53" s="25" t="n">
        <v>0.92</v>
      </c>
      <c r="H53" s="25" t="n">
        <v>1</v>
      </c>
      <c r="I53" s="26" t="n">
        <v>10560.55</v>
      </c>
    </row>
    <row r="54">
      <c r="A54" s="13" t="inlineStr">
        <is>
          <t>eap-4_3</t>
        </is>
      </c>
      <c r="B54" s="13" t="inlineStr">
        <is>
          <t>EQ-E0035</t>
        </is>
      </c>
      <c r="C54" s="13" t="inlineStr">
        <is>
          <t>Trator de esteiras 20T [EQ]</t>
        </is>
      </c>
      <c r="D54" s="74" t="inlineStr">
        <is>
          <t>EQ</t>
        </is>
      </c>
      <c r="E54" s="25" t="n">
        <v>1</v>
      </c>
      <c r="F54" s="26" t="n">
        <v>21683.2</v>
      </c>
      <c r="G54" s="25" t="n">
        <v>0.92</v>
      </c>
      <c r="H54" s="25" t="n">
        <v>1</v>
      </c>
      <c r="I54" s="26" t="n">
        <v>19948.54</v>
      </c>
    </row>
    <row r="55">
      <c r="A55" s="13" t="inlineStr">
        <is>
          <t>eap-4_3</t>
        </is>
      </c>
      <c r="B55" s="13" t="inlineStr">
        <is>
          <t>EQ-E0035</t>
        </is>
      </c>
      <c r="C55" s="28" t="inlineStr">
        <is>
          <t>Diesel — Trator de esteiras 20T</t>
        </is>
      </c>
      <c r="D55" s="75" t="inlineStr">
        <is>
          <t>COMB</t>
        </is>
      </c>
      <c r="E55" s="25" t="n">
        <v>1</v>
      </c>
      <c r="F55" s="26" t="n">
        <v>22957.71</v>
      </c>
      <c r="G55" s="25" t="n">
        <v>0.92</v>
      </c>
      <c r="H55" s="25" t="n">
        <v>1</v>
      </c>
      <c r="I55" s="26" t="n">
        <v>21121.09</v>
      </c>
    </row>
    <row r="56">
      <c r="A56" s="13" t="inlineStr">
        <is>
          <t>eap-4_3</t>
        </is>
      </c>
      <c r="B56" s="13" t="inlineStr">
        <is>
          <t>EQ-E0010</t>
        </is>
      </c>
      <c r="C56" s="13" t="inlineStr">
        <is>
          <t>Caminhão Pipa 10.000L [EQ]</t>
        </is>
      </c>
      <c r="D56" s="74" t="inlineStr">
        <is>
          <t>EQ</t>
        </is>
      </c>
      <c r="E56" s="25" t="n">
        <v>1</v>
      </c>
      <c r="F56" s="26" t="n">
        <v>19360</v>
      </c>
      <c r="G56" s="25" t="n">
        <v>0.92</v>
      </c>
      <c r="H56" s="25" t="n">
        <v>1</v>
      </c>
      <c r="I56" s="26" t="n">
        <v>17811.2</v>
      </c>
    </row>
    <row r="57">
      <c r="A57" s="13" t="inlineStr">
        <is>
          <t>eap-4_3</t>
        </is>
      </c>
      <c r="B57" s="13" t="inlineStr">
        <is>
          <t>EQ-E0010</t>
        </is>
      </c>
      <c r="C57" s="28" t="inlineStr">
        <is>
          <t>Diesel — Caminhão Pipa 10.000L</t>
        </is>
      </c>
      <c r="D57" s="75" t="inlineStr">
        <is>
          <t>COMB</t>
        </is>
      </c>
      <c r="E57" s="25" t="n">
        <v>1</v>
      </c>
      <c r="F57" s="26" t="n">
        <v>2550.86</v>
      </c>
      <c r="G57" s="25" t="n">
        <v>0.92</v>
      </c>
      <c r="H57" s="25" t="n">
        <v>1</v>
      </c>
      <c r="I57" s="26" t="n">
        <v>2346.79</v>
      </c>
    </row>
    <row r="58">
      <c r="A58" s="13" t="inlineStr">
        <is>
          <t>eap-4_3</t>
        </is>
      </c>
      <c r="B58" s="13" t="inlineStr">
        <is>
          <t>EQ-E0008</t>
        </is>
      </c>
      <c r="C58" s="13" t="inlineStr">
        <is>
          <t>Caminhão Basculante 16m³ [EQ]</t>
        </is>
      </c>
      <c r="D58" s="74" t="inlineStr">
        <is>
          <t>EQ</t>
        </is>
      </c>
      <c r="E58" s="25" t="n">
        <v>2</v>
      </c>
      <c r="F58" s="26" t="n">
        <v>40084.35</v>
      </c>
      <c r="G58" s="25" t="n">
        <v>0.92</v>
      </c>
      <c r="H58" s="25" t="n">
        <v>1</v>
      </c>
      <c r="I58" s="26" t="n">
        <v>36877.6</v>
      </c>
    </row>
    <row r="59">
      <c r="A59" s="13" t="inlineStr">
        <is>
          <t>eap-4_3</t>
        </is>
      </c>
      <c r="B59" s="13" t="inlineStr">
        <is>
          <t>EQ-E0008</t>
        </is>
      </c>
      <c r="C59" s="28" t="inlineStr">
        <is>
          <t>Diesel — Caminhão Basculante 16m³</t>
        </is>
      </c>
      <c r="D59" s="75" t="inlineStr">
        <is>
          <t>COMB</t>
        </is>
      </c>
      <c r="E59" s="25" t="n">
        <v>2</v>
      </c>
      <c r="F59" s="26" t="n">
        <v>3188.57</v>
      </c>
      <c r="G59" s="25" t="n">
        <v>0.92</v>
      </c>
      <c r="H59" s="25" t="n">
        <v>1</v>
      </c>
      <c r="I59" s="26" t="n">
        <v>2933.48</v>
      </c>
    </row>
    <row r="60">
      <c r="A60" s="20" t="inlineStr">
        <is>
          <t>Subtotal eap-4_3</t>
        </is>
      </c>
      <c r="B60" s="21" t="n"/>
      <c r="C60" s="21" t="n"/>
      <c r="D60" s="21" t="n"/>
      <c r="E60" s="21" t="n"/>
      <c r="F60" s="21" t="n"/>
      <c r="G60" s="21" t="n"/>
      <c r="H60" s="21" t="n"/>
      <c r="I60" s="22" t="n">
        <v>249045.54</v>
      </c>
    </row>
    <row r="61">
      <c r="A61" s="9" t="inlineStr">
        <is>
          <t>eap-2_3 — Compactação de aterros a 100% do proctor intermediário (camada final) - volume homogeneizado (vol. geométrico x 1,25)</t>
        </is>
      </c>
    </row>
    <row r="62">
      <c r="A62" s="11" t="inlineStr">
        <is>
          <t>eap-2_3</t>
        </is>
      </c>
      <c r="B62" s="11" t="inlineStr">
        <is>
          <t>CPU-TERRA-ATI-017</t>
        </is>
      </c>
      <c r="C62" s="11" t="inlineStr">
        <is>
          <t>Operador de Motoniveladora</t>
        </is>
      </c>
      <c r="D62" s="15" t="inlineStr">
        <is>
          <t>DIRETO</t>
        </is>
      </c>
      <c r="E62" s="16" t="n">
        <v>1</v>
      </c>
      <c r="F62" s="17" t="n">
        <v>17356.25</v>
      </c>
      <c r="G62" s="16" t="n">
        <v>2.07</v>
      </c>
      <c r="H62" s="16" t="n">
        <v>1</v>
      </c>
      <c r="I62" s="17" t="n">
        <v>35927.44</v>
      </c>
    </row>
    <row r="63">
      <c r="A63" s="11" t="inlineStr">
        <is>
          <t>eap-2_3</t>
        </is>
      </c>
      <c r="B63" s="11" t="inlineStr">
        <is>
          <t>CPU-TERRA-ATI-017</t>
        </is>
      </c>
      <c r="C63" s="11" t="inlineStr">
        <is>
          <t>Operador de Rolo Compactador</t>
        </is>
      </c>
      <c r="D63" s="15" t="inlineStr">
        <is>
          <t>DIRETO</t>
        </is>
      </c>
      <c r="E63" s="16" t="n">
        <v>1</v>
      </c>
      <c r="F63" s="17" t="n">
        <v>10685.34</v>
      </c>
      <c r="G63" s="16" t="n">
        <v>2.07</v>
      </c>
      <c r="H63" s="16" t="n">
        <v>1</v>
      </c>
      <c r="I63" s="17" t="n">
        <v>22118.65</v>
      </c>
    </row>
    <row r="64">
      <c r="A64" s="11" t="inlineStr">
        <is>
          <t>eap-2_3</t>
        </is>
      </c>
      <c r="B64" s="11" t="inlineStr">
        <is>
          <t>CPU-TERRA-ATI-017</t>
        </is>
      </c>
      <c r="C64" s="11" t="inlineStr">
        <is>
          <t>Motorista de Caminhão Pipa</t>
        </is>
      </c>
      <c r="D64" s="15" t="inlineStr">
        <is>
          <t>DIRETO</t>
        </is>
      </c>
      <c r="E64" s="16" t="n">
        <v>1</v>
      </c>
      <c r="F64" s="17" t="n">
        <v>10685.34</v>
      </c>
      <c r="G64" s="16" t="n">
        <v>2.07</v>
      </c>
      <c r="H64" s="16" t="n">
        <v>1</v>
      </c>
      <c r="I64" s="17" t="n">
        <v>22118.65</v>
      </c>
    </row>
    <row r="65">
      <c r="A65" s="11" t="inlineStr">
        <is>
          <t>eap-2_3</t>
        </is>
      </c>
      <c r="B65" s="11" t="inlineStr">
        <is>
          <t>CPU-TERRA-ATI-017</t>
        </is>
      </c>
      <c r="C65" s="11" t="inlineStr">
        <is>
          <t>Operador de Rolo Compactador</t>
        </is>
      </c>
      <c r="D65" s="15" t="inlineStr">
        <is>
          <t>DIRETO</t>
        </is>
      </c>
      <c r="E65" s="16" t="n">
        <v>1</v>
      </c>
      <c r="F65" s="17" t="n">
        <v>10685.34</v>
      </c>
      <c r="G65" s="16" t="n">
        <v>2.07</v>
      </c>
      <c r="H65" s="16" t="n">
        <v>1</v>
      </c>
      <c r="I65" s="17" t="n">
        <v>22118.65</v>
      </c>
    </row>
    <row r="66">
      <c r="A66" s="11" t="inlineStr">
        <is>
          <t>eap-2_3</t>
        </is>
      </c>
      <c r="B66" s="11" t="inlineStr">
        <is>
          <t>CPU-TERRA-ATI-017</t>
        </is>
      </c>
      <c r="C66" s="11" t="inlineStr">
        <is>
          <t>Encarregado de Terraplenagem</t>
        </is>
      </c>
      <c r="D66" s="15" t="inlineStr">
        <is>
          <t>DIRETO</t>
        </is>
      </c>
      <c r="E66" s="16" t="n">
        <v>1</v>
      </c>
      <c r="F66" s="17" t="n">
        <v>11549.8</v>
      </c>
      <c r="G66" s="16" t="n">
        <v>2.07</v>
      </c>
      <c r="H66" s="16" t="n">
        <v>1</v>
      </c>
      <c r="I66" s="17" t="n">
        <v>23908.09</v>
      </c>
    </row>
    <row r="67">
      <c r="A67" s="11" t="inlineStr">
        <is>
          <t>eap-2_3</t>
        </is>
      </c>
      <c r="B67" s="11" t="inlineStr">
        <is>
          <t>EQ-E0029</t>
        </is>
      </c>
      <c r="C67" s="11" t="inlineStr">
        <is>
          <t>Motoniveladora 140HP [EQ]</t>
        </is>
      </c>
      <c r="D67" s="72" t="inlineStr">
        <is>
          <t>EQ</t>
        </is>
      </c>
      <c r="E67" s="16" t="n">
        <v>1</v>
      </c>
      <c r="F67" s="17" t="n">
        <v>43326.98</v>
      </c>
      <c r="G67" s="16" t="n">
        <v>2.07</v>
      </c>
      <c r="H67" s="16" t="n">
        <v>1</v>
      </c>
      <c r="I67" s="17" t="n">
        <v>89686.85000000001</v>
      </c>
    </row>
    <row r="68">
      <c r="A68" s="11" t="inlineStr">
        <is>
          <t>eap-2_3</t>
        </is>
      </c>
      <c r="B68" s="11" t="inlineStr">
        <is>
          <t>EQ-E0029</t>
        </is>
      </c>
      <c r="C68" s="19" t="inlineStr">
        <is>
          <t>Diesel — Motoniveladora 140HP</t>
        </is>
      </c>
      <c r="D68" s="73" t="inlineStr">
        <is>
          <t>COMB</t>
        </is>
      </c>
      <c r="E68" s="16" t="n">
        <v>1</v>
      </c>
      <c r="F68" s="17" t="n">
        <v>14029.71</v>
      </c>
      <c r="G68" s="16" t="n">
        <v>2.07</v>
      </c>
      <c r="H68" s="16" t="n">
        <v>1</v>
      </c>
      <c r="I68" s="17" t="n">
        <v>29041.5</v>
      </c>
    </row>
    <row r="69">
      <c r="A69" s="11" t="inlineStr">
        <is>
          <t>eap-2_3</t>
        </is>
      </c>
      <c r="B69" s="11" t="inlineStr">
        <is>
          <t>EQ-E0035</t>
        </is>
      </c>
      <c r="C69" s="11" t="inlineStr">
        <is>
          <t>Trator de esteiras 20T [EQ]</t>
        </is>
      </c>
      <c r="D69" s="72" t="inlineStr">
        <is>
          <t>EQ</t>
        </is>
      </c>
      <c r="E69" s="16" t="n">
        <v>1</v>
      </c>
      <c r="F69" s="17" t="n">
        <v>21683.2</v>
      </c>
      <c r="G69" s="16" t="n">
        <v>2.07</v>
      </c>
      <c r="H69" s="16" t="n">
        <v>1</v>
      </c>
      <c r="I69" s="17" t="n">
        <v>44884.22</v>
      </c>
    </row>
    <row r="70">
      <c r="A70" s="11" t="inlineStr">
        <is>
          <t>eap-2_3</t>
        </is>
      </c>
      <c r="B70" s="11" t="inlineStr">
        <is>
          <t>EQ-E0035</t>
        </is>
      </c>
      <c r="C70" s="19" t="inlineStr">
        <is>
          <t>Diesel — Trator de esteiras 20T</t>
        </is>
      </c>
      <c r="D70" s="73" t="inlineStr">
        <is>
          <t>COMB</t>
        </is>
      </c>
      <c r="E70" s="16" t="n">
        <v>1</v>
      </c>
      <c r="F70" s="17" t="n">
        <v>22957.71</v>
      </c>
      <c r="G70" s="16" t="n">
        <v>2.07</v>
      </c>
      <c r="H70" s="16" t="n">
        <v>1</v>
      </c>
      <c r="I70" s="17" t="n">
        <v>47522.46</v>
      </c>
    </row>
    <row r="71">
      <c r="A71" s="11" t="inlineStr">
        <is>
          <t>eap-2_3</t>
        </is>
      </c>
      <c r="B71" s="11" t="inlineStr">
        <is>
          <t>EQ-E0010</t>
        </is>
      </c>
      <c r="C71" s="11" t="inlineStr">
        <is>
          <t>Caminhão Pipa 10.000L [EQ]</t>
        </is>
      </c>
      <c r="D71" s="72" t="inlineStr">
        <is>
          <t>EQ</t>
        </is>
      </c>
      <c r="E71" s="16" t="n">
        <v>1</v>
      </c>
      <c r="F71" s="17" t="n">
        <v>19360</v>
      </c>
      <c r="G71" s="16" t="n">
        <v>2.07</v>
      </c>
      <c r="H71" s="16" t="n">
        <v>1</v>
      </c>
      <c r="I71" s="17" t="n">
        <v>40075.2</v>
      </c>
    </row>
    <row r="72">
      <c r="A72" s="11" t="inlineStr">
        <is>
          <t>eap-2_3</t>
        </is>
      </c>
      <c r="B72" s="11" t="inlineStr">
        <is>
          <t>EQ-E0010</t>
        </is>
      </c>
      <c r="C72" s="19" t="inlineStr">
        <is>
          <t>Diesel — Caminhão Pipa 10.000L</t>
        </is>
      </c>
      <c r="D72" s="73" t="inlineStr">
        <is>
          <t>COMB</t>
        </is>
      </c>
      <c r="E72" s="16" t="n">
        <v>1</v>
      </c>
      <c r="F72" s="17" t="n">
        <v>2550.86</v>
      </c>
      <c r="G72" s="16" t="n">
        <v>2.07</v>
      </c>
      <c r="H72" s="16" t="n">
        <v>1</v>
      </c>
      <c r="I72" s="17" t="n">
        <v>5280.28</v>
      </c>
    </row>
    <row r="73">
      <c r="A73" s="20" t="inlineStr">
        <is>
          <t>Subtotal eap-2_3</t>
        </is>
      </c>
      <c r="B73" s="21" t="n"/>
      <c r="C73" s="21" t="n"/>
      <c r="D73" s="21" t="n"/>
      <c r="E73" s="21" t="n"/>
      <c r="F73" s="21" t="n"/>
      <c r="G73" s="21" t="n"/>
      <c r="H73" s="21" t="n"/>
      <c r="I73" s="22" t="n">
        <v>365777.44</v>
      </c>
    </row>
    <row r="74">
      <c r="A74" s="9" t="inlineStr">
        <is>
          <t>eap-3_1 — Demolição mecânica de pavimento</t>
        </is>
      </c>
    </row>
    <row r="75">
      <c r="A75" s="13" t="inlineStr">
        <is>
          <t>eap-3_1</t>
        </is>
      </c>
      <c r="B75" s="13" t="inlineStr">
        <is>
          <t>CPU-PAVIM-ATI-060</t>
        </is>
      </c>
      <c r="C75" s="13" t="inlineStr">
        <is>
          <t>Operador de Escavadeira</t>
        </is>
      </c>
      <c r="D75" s="24" t="inlineStr">
        <is>
          <t>DIRETO</t>
        </is>
      </c>
      <c r="E75" s="25" t="n">
        <v>1</v>
      </c>
      <c r="F75" s="26" t="n">
        <v>12875</v>
      </c>
      <c r="G75" s="25" t="n">
        <v>1.38</v>
      </c>
      <c r="H75" s="25" t="n">
        <v>1</v>
      </c>
      <c r="I75" s="26" t="n">
        <v>17767.5</v>
      </c>
    </row>
    <row r="76">
      <c r="A76" s="13" t="inlineStr">
        <is>
          <t>eap-3_1</t>
        </is>
      </c>
      <c r="B76" s="13" t="inlineStr">
        <is>
          <t>CPU-PAVIM-ATI-060</t>
        </is>
      </c>
      <c r="C76" s="13" t="inlineStr">
        <is>
          <t>Motorista de Caminhão Basculante</t>
        </is>
      </c>
      <c r="D76" s="24" t="inlineStr">
        <is>
          <t>DIRETO</t>
        </is>
      </c>
      <c r="E76" s="25" t="n">
        <v>2</v>
      </c>
      <c r="F76" s="26" t="n">
        <v>21370.68</v>
      </c>
      <c r="G76" s="25" t="n">
        <v>1.38</v>
      </c>
      <c r="H76" s="25" t="n">
        <v>1</v>
      </c>
      <c r="I76" s="26" t="n">
        <v>29491.54</v>
      </c>
    </row>
    <row r="77">
      <c r="A77" s="13" t="inlineStr">
        <is>
          <t>eap-3_1</t>
        </is>
      </c>
      <c r="B77" s="13" t="inlineStr">
        <is>
          <t>CPU-PAVIM-ATI-060</t>
        </is>
      </c>
      <c r="C77" s="13" t="inlineStr">
        <is>
          <t>Operador de Escavadeira</t>
        </is>
      </c>
      <c r="D77" s="24" t="inlineStr">
        <is>
          <t>DIRETO</t>
        </is>
      </c>
      <c r="E77" s="25" t="n">
        <v>1</v>
      </c>
      <c r="F77" s="26" t="n">
        <v>12875</v>
      </c>
      <c r="G77" s="25" t="n">
        <v>1.38</v>
      </c>
      <c r="H77" s="25" t="n">
        <v>1</v>
      </c>
      <c r="I77" s="26" t="n">
        <v>17767.5</v>
      </c>
    </row>
    <row r="78">
      <c r="A78" s="13" t="inlineStr">
        <is>
          <t>eap-3_1</t>
        </is>
      </c>
      <c r="B78" s="13" t="inlineStr">
        <is>
          <t>EQ-E0016</t>
        </is>
      </c>
      <c r="C78" s="13" t="inlineStr">
        <is>
          <t>Escavadeira Hidráulica 22t [EQ]</t>
        </is>
      </c>
      <c r="D78" s="74" t="inlineStr">
        <is>
          <t>EQ</t>
        </is>
      </c>
      <c r="E78" s="25" t="n">
        <v>1</v>
      </c>
      <c r="F78" s="26" t="n">
        <v>35639.3</v>
      </c>
      <c r="G78" s="25" t="n">
        <v>1.38</v>
      </c>
      <c r="H78" s="25" t="n">
        <v>1</v>
      </c>
      <c r="I78" s="26" t="n">
        <v>49182.23</v>
      </c>
    </row>
    <row r="79">
      <c r="A79" s="13" t="inlineStr">
        <is>
          <t>eap-3_1</t>
        </is>
      </c>
      <c r="B79" s="13" t="inlineStr">
        <is>
          <t>EQ-E0050</t>
        </is>
      </c>
      <c r="C79" s="13" t="inlineStr">
        <is>
          <t>Escavadeira 35t com rompedor [EQ]</t>
        </is>
      </c>
      <c r="D79" s="74" t="inlineStr">
        <is>
          <t>EQ</t>
        </is>
      </c>
      <c r="E79" s="25" t="n">
        <v>1</v>
      </c>
      <c r="F79" s="26" t="n">
        <v>35318.8</v>
      </c>
      <c r="G79" s="25" t="n">
        <v>1.38</v>
      </c>
      <c r="H79" s="25" t="n">
        <v>1</v>
      </c>
      <c r="I79" s="26" t="n">
        <v>48739.94</v>
      </c>
    </row>
    <row r="80">
      <c r="A80" s="13" t="inlineStr">
        <is>
          <t>eap-3_1</t>
        </is>
      </c>
      <c r="B80" s="13" t="inlineStr">
        <is>
          <t>EQ-E0050</t>
        </is>
      </c>
      <c r="C80" s="28" t="inlineStr">
        <is>
          <t>Diesel — Escavadeira 35t com rompedor</t>
        </is>
      </c>
      <c r="D80" s="75" t="inlineStr">
        <is>
          <t>COMB</t>
        </is>
      </c>
      <c r="E80" s="25" t="n">
        <v>1</v>
      </c>
      <c r="F80" s="26" t="n">
        <v>33161.14</v>
      </c>
      <c r="G80" s="25" t="n">
        <v>1.38</v>
      </c>
      <c r="H80" s="25" t="n">
        <v>1</v>
      </c>
      <c r="I80" s="26" t="n">
        <v>45762.37</v>
      </c>
    </row>
    <row r="81">
      <c r="A81" s="13" t="inlineStr">
        <is>
          <t>eap-3_1</t>
        </is>
      </c>
      <c r="B81" s="13" t="inlineStr">
        <is>
          <t>EQ-E0008</t>
        </is>
      </c>
      <c r="C81" s="13" t="inlineStr">
        <is>
          <t>Caminhão Basculante 16m³ [EQ]</t>
        </is>
      </c>
      <c r="D81" s="74" t="inlineStr">
        <is>
          <t>EQ</t>
        </is>
      </c>
      <c r="E81" s="25" t="n">
        <v>2</v>
      </c>
      <c r="F81" s="26" t="n">
        <v>40084.35</v>
      </c>
      <c r="G81" s="25" t="n">
        <v>1.38</v>
      </c>
      <c r="H81" s="25" t="n">
        <v>1</v>
      </c>
      <c r="I81" s="26" t="n">
        <v>55316.4</v>
      </c>
    </row>
    <row r="82">
      <c r="A82" s="13" t="inlineStr">
        <is>
          <t>eap-3_1</t>
        </is>
      </c>
      <c r="B82" s="13" t="inlineStr">
        <is>
          <t>EQ-E0008</t>
        </is>
      </c>
      <c r="C82" s="28" t="inlineStr">
        <is>
          <t>Diesel — Caminhão Basculante 16m³</t>
        </is>
      </c>
      <c r="D82" s="75" t="inlineStr">
        <is>
          <t>COMB</t>
        </is>
      </c>
      <c r="E82" s="25" t="n">
        <v>2</v>
      </c>
      <c r="F82" s="26" t="n">
        <v>3188.57</v>
      </c>
      <c r="G82" s="25" t="n">
        <v>1.38</v>
      </c>
      <c r="H82" s="25" t="n">
        <v>1</v>
      </c>
      <c r="I82" s="26" t="n">
        <v>4400.23</v>
      </c>
    </row>
    <row r="83">
      <c r="A83" s="20" t="inlineStr">
        <is>
          <t>Subtotal eap-3_1</t>
        </is>
      </c>
      <c r="B83" s="21" t="n"/>
      <c r="C83" s="21" t="n"/>
      <c r="D83" s="21" t="n"/>
      <c r="E83" s="21" t="n"/>
      <c r="F83" s="21" t="n"/>
      <c r="G83" s="21" t="n"/>
      <c r="H83" s="21" t="n"/>
      <c r="I83" s="22" t="n">
        <v>319036.87</v>
      </c>
    </row>
    <row r="84">
      <c r="A84" s="9" t="inlineStr">
        <is>
          <t>eap-4_1 — Regularização do subleito</t>
        </is>
      </c>
    </row>
    <row r="85">
      <c r="A85" s="11" t="inlineStr">
        <is>
          <t>eap-4_1</t>
        </is>
      </c>
      <c r="B85" s="11" t="inlineStr">
        <is>
          <t>CPU-TERRA-ATI-019-M2</t>
        </is>
      </c>
      <c r="C85" s="11" t="inlineStr">
        <is>
          <t>Operador de Motoniveladora</t>
        </is>
      </c>
      <c r="D85" s="15" t="inlineStr">
        <is>
          <t>DIRETO</t>
        </is>
      </c>
      <c r="E85" s="16" t="n">
        <v>1</v>
      </c>
      <c r="F85" s="17" t="n">
        <v>17356.25</v>
      </c>
      <c r="G85" s="16" t="n">
        <v>1.38</v>
      </c>
      <c r="H85" s="16" t="n">
        <v>1</v>
      </c>
      <c r="I85" s="17" t="n">
        <v>23951.62</v>
      </c>
    </row>
    <row r="86">
      <c r="A86" s="11" t="inlineStr">
        <is>
          <t>eap-4_1</t>
        </is>
      </c>
      <c r="B86" s="11" t="inlineStr">
        <is>
          <t>CPU-TERRA-ATI-019-M2</t>
        </is>
      </c>
      <c r="C86" s="11" t="inlineStr">
        <is>
          <t>Encarregado de Terraplenagem</t>
        </is>
      </c>
      <c r="D86" s="15" t="inlineStr">
        <is>
          <t>DIRETO</t>
        </is>
      </c>
      <c r="E86" s="16" t="n">
        <v>1</v>
      </c>
      <c r="F86" s="17" t="n">
        <v>11549.8</v>
      </c>
      <c r="G86" s="16" t="n">
        <v>1.38</v>
      </c>
      <c r="H86" s="16" t="n">
        <v>1</v>
      </c>
      <c r="I86" s="17" t="n">
        <v>15938.72</v>
      </c>
    </row>
    <row r="87">
      <c r="A87" s="11" t="inlineStr">
        <is>
          <t>eap-4_1</t>
        </is>
      </c>
      <c r="B87" s="11" t="inlineStr">
        <is>
          <t>EQ-E0029</t>
        </is>
      </c>
      <c r="C87" s="11" t="inlineStr">
        <is>
          <t>Motoniveladora 140HP [EQ]</t>
        </is>
      </c>
      <c r="D87" s="72" t="inlineStr">
        <is>
          <t>EQ</t>
        </is>
      </c>
      <c r="E87" s="16" t="n">
        <v>1</v>
      </c>
      <c r="F87" s="17" t="n">
        <v>43326.98</v>
      </c>
      <c r="G87" s="16" t="n">
        <v>1.38</v>
      </c>
      <c r="H87" s="16" t="n">
        <v>1</v>
      </c>
      <c r="I87" s="17" t="n">
        <v>59791.23</v>
      </c>
    </row>
    <row r="88">
      <c r="A88" s="11" t="inlineStr">
        <is>
          <t>eap-4_1</t>
        </is>
      </c>
      <c r="B88" s="11" t="inlineStr">
        <is>
          <t>EQ-E0029</t>
        </is>
      </c>
      <c r="C88" s="19" t="inlineStr">
        <is>
          <t>Diesel — Motoniveladora 140HP</t>
        </is>
      </c>
      <c r="D88" s="73" t="inlineStr">
        <is>
          <t>COMB</t>
        </is>
      </c>
      <c r="E88" s="16" t="n">
        <v>1</v>
      </c>
      <c r="F88" s="17" t="n">
        <v>14029.71</v>
      </c>
      <c r="G88" s="16" t="n">
        <v>1.38</v>
      </c>
      <c r="H88" s="16" t="n">
        <v>1</v>
      </c>
      <c r="I88" s="17" t="n">
        <v>19361</v>
      </c>
    </row>
    <row r="89">
      <c r="A89" s="20" t="inlineStr">
        <is>
          <t>Subtotal eap-4_1</t>
        </is>
      </c>
      <c r="B89" s="21" t="n"/>
      <c r="C89" s="21" t="n"/>
      <c r="D89" s="21" t="n"/>
      <c r="E89" s="21" t="n"/>
      <c r="F89" s="21" t="n"/>
      <c r="G89" s="21" t="n"/>
      <c r="H89" s="21" t="n"/>
      <c r="I89" s="22" t="n">
        <v>115810.79</v>
      </c>
    </row>
    <row r="90">
      <c r="A90" s="9" t="inlineStr">
        <is>
          <t>eap-4_5 — Imprimação com asfalto diluído (EAI)</t>
        </is>
      </c>
    </row>
    <row r="91">
      <c r="A91" s="13" t="inlineStr">
        <is>
          <t>eap-4_5</t>
        </is>
      </c>
      <c r="B91" s="13" t="inlineStr">
        <is>
          <t>CPU-PAVIM-ATI-056</t>
        </is>
      </c>
      <c r="C91" s="13" t="inlineStr">
        <is>
          <t>Operador de Espargidor</t>
        </is>
      </c>
      <c r="D91" s="24" t="inlineStr">
        <is>
          <t>DIRETO</t>
        </is>
      </c>
      <c r="E91" s="25" t="n">
        <v>1</v>
      </c>
      <c r="F91" s="26" t="n">
        <v>13892.78</v>
      </c>
      <c r="G91" s="25" t="n">
        <v>0.23</v>
      </c>
      <c r="H91" s="25" t="n">
        <v>1</v>
      </c>
      <c r="I91" s="26" t="n">
        <v>3195.34</v>
      </c>
    </row>
    <row r="92">
      <c r="A92" s="13" t="inlineStr">
        <is>
          <t>eap-4_5</t>
        </is>
      </c>
      <c r="B92" s="13" t="inlineStr">
        <is>
          <t>CPU-PAVIM-ATI-056</t>
        </is>
      </c>
      <c r="C92" s="13" t="inlineStr">
        <is>
          <t>Motorista de Caminhão Pipa</t>
        </is>
      </c>
      <c r="D92" s="24" t="inlineStr">
        <is>
          <t>DIRETO</t>
        </is>
      </c>
      <c r="E92" s="25" t="n">
        <v>1</v>
      </c>
      <c r="F92" s="26" t="n">
        <v>10685.34</v>
      </c>
      <c r="G92" s="25" t="n">
        <v>0.23</v>
      </c>
      <c r="H92" s="25" t="n">
        <v>1</v>
      </c>
      <c r="I92" s="26" t="n">
        <v>2457.63</v>
      </c>
    </row>
    <row r="93">
      <c r="A93" s="13" t="inlineStr">
        <is>
          <t>eap-4_5</t>
        </is>
      </c>
      <c r="B93" s="13" t="inlineStr">
        <is>
          <t>CPU-PAVIM-ATI-056</t>
        </is>
      </c>
      <c r="C93" s="13" t="inlineStr">
        <is>
          <t>Sinaleiro</t>
        </is>
      </c>
      <c r="D93" s="24" t="inlineStr">
        <is>
          <t>DIRETO</t>
        </is>
      </c>
      <c r="E93" s="25" t="n">
        <v>1</v>
      </c>
      <c r="F93" s="26" t="n">
        <v>5811.57</v>
      </c>
      <c r="G93" s="25" t="n">
        <v>0.23</v>
      </c>
      <c r="H93" s="25" t="n">
        <v>1</v>
      </c>
      <c r="I93" s="26" t="n">
        <v>1336.66</v>
      </c>
    </row>
    <row r="94">
      <c r="A94" s="13" t="inlineStr">
        <is>
          <t>eap-4_5</t>
        </is>
      </c>
      <c r="B94" s="13" t="inlineStr">
        <is>
          <t>EQ-E0020</t>
        </is>
      </c>
      <c r="C94" s="13" t="inlineStr">
        <is>
          <t>Espargidor de Ligante Betuminoso [EQ]</t>
        </is>
      </c>
      <c r="D94" s="74" t="inlineStr">
        <is>
          <t>EQ</t>
        </is>
      </c>
      <c r="E94" s="25" t="n">
        <v>1</v>
      </c>
      <c r="F94" s="26" t="n">
        <v>17248</v>
      </c>
      <c r="G94" s="25" t="n">
        <v>0.23</v>
      </c>
      <c r="H94" s="25" t="n">
        <v>1</v>
      </c>
      <c r="I94" s="26" t="n">
        <v>3967.04</v>
      </c>
    </row>
    <row r="95">
      <c r="A95" s="13" t="inlineStr">
        <is>
          <t>eap-4_5</t>
        </is>
      </c>
      <c r="B95" s="13" t="inlineStr">
        <is>
          <t>EQ-E0020</t>
        </is>
      </c>
      <c r="C95" s="28" t="inlineStr">
        <is>
          <t>Diesel — Espargidor de Ligante Betuminoso</t>
        </is>
      </c>
      <c r="D95" s="75" t="inlineStr">
        <is>
          <t>COMB</t>
        </is>
      </c>
      <c r="E95" s="25" t="n">
        <v>1</v>
      </c>
      <c r="F95" s="26" t="n">
        <v>3188.57</v>
      </c>
      <c r="G95" s="25" t="n">
        <v>0.23</v>
      </c>
      <c r="H95" s="25" t="n">
        <v>1</v>
      </c>
      <c r="I95" s="26" t="n">
        <v>733.37</v>
      </c>
    </row>
    <row r="96">
      <c r="A96" s="13" t="inlineStr">
        <is>
          <t>eap-4_5</t>
        </is>
      </c>
      <c r="B96" s="13" t="inlineStr">
        <is>
          <t>EQ-E0010</t>
        </is>
      </c>
      <c r="C96" s="13" t="inlineStr">
        <is>
          <t>Caminhão Pipa 10.000L [EQ]</t>
        </is>
      </c>
      <c r="D96" s="74" t="inlineStr">
        <is>
          <t>EQ</t>
        </is>
      </c>
      <c r="E96" s="25" t="n">
        <v>1</v>
      </c>
      <c r="F96" s="26" t="n">
        <v>19360</v>
      </c>
      <c r="G96" s="25" t="n">
        <v>0.23</v>
      </c>
      <c r="H96" s="25" t="n">
        <v>1</v>
      </c>
      <c r="I96" s="26" t="n">
        <v>4452.8</v>
      </c>
    </row>
    <row r="97">
      <c r="A97" s="13" t="inlineStr">
        <is>
          <t>eap-4_5</t>
        </is>
      </c>
      <c r="B97" s="13" t="inlineStr">
        <is>
          <t>EQ-E0010</t>
        </is>
      </c>
      <c r="C97" s="28" t="inlineStr">
        <is>
          <t>Diesel — Caminhão Pipa 10.000L</t>
        </is>
      </c>
      <c r="D97" s="75" t="inlineStr">
        <is>
          <t>COMB</t>
        </is>
      </c>
      <c r="E97" s="25" t="n">
        <v>1</v>
      </c>
      <c r="F97" s="26" t="n">
        <v>2550.86</v>
      </c>
      <c r="G97" s="25" t="n">
        <v>0.23</v>
      </c>
      <c r="H97" s="25" t="n">
        <v>1</v>
      </c>
      <c r="I97" s="26" t="n">
        <v>586.7</v>
      </c>
    </row>
    <row r="98">
      <c r="A98" s="20" t="inlineStr">
        <is>
          <t>Subtotal eap-4_5</t>
        </is>
      </c>
      <c r="B98" s="21" t="n"/>
      <c r="C98" s="21" t="n"/>
      <c r="D98" s="21" t="n"/>
      <c r="E98" s="21" t="n"/>
      <c r="F98" s="21" t="n"/>
      <c r="G98" s="21" t="n"/>
      <c r="H98" s="21" t="n"/>
      <c r="I98" s="22" t="n">
        <v>16540.24</v>
      </c>
    </row>
    <row r="99">
      <c r="A99" s="9" t="inlineStr">
        <is>
          <t>eap-4_2 — Reforço de subleito com solo de jazida selecionada - volume geométrico</t>
        </is>
      </c>
    </row>
    <row r="100">
      <c r="A100" s="11" t="inlineStr">
        <is>
          <t>eap-4_2</t>
        </is>
      </c>
      <c r="B100" s="11" t="inlineStr">
        <is>
          <t>CPU-TERRA-ATI-011-DMT-LONGA</t>
        </is>
      </c>
      <c r="C100" s="11" t="inlineStr">
        <is>
          <t>Operador de Escavadeira</t>
        </is>
      </c>
      <c r="D100" s="15" t="inlineStr">
        <is>
          <t>DIRETO</t>
        </is>
      </c>
      <c r="E100" s="16" t="n">
        <v>1</v>
      </c>
      <c r="F100" s="17" t="n">
        <v>12875</v>
      </c>
      <c r="G100" s="16" t="n">
        <v>1.84</v>
      </c>
      <c r="H100" s="16" t="n">
        <v>1</v>
      </c>
      <c r="I100" s="17" t="n">
        <v>23690</v>
      </c>
    </row>
    <row r="101">
      <c r="A101" s="11" t="inlineStr">
        <is>
          <t>eap-4_2</t>
        </is>
      </c>
      <c r="B101" s="11" t="inlineStr">
        <is>
          <t>CPU-TERRA-ATI-011-DMT-LONGA</t>
        </is>
      </c>
      <c r="C101" s="11" t="inlineStr">
        <is>
          <t>Motorista de Caminhão Basculante</t>
        </is>
      </c>
      <c r="D101" s="15" t="inlineStr">
        <is>
          <t>DIRETO</t>
        </is>
      </c>
      <c r="E101" s="16" t="n">
        <v>5</v>
      </c>
      <c r="F101" s="17" t="n">
        <v>53426.7</v>
      </c>
      <c r="G101" s="16" t="n">
        <v>1.84</v>
      </c>
      <c r="H101" s="16" t="n">
        <v>1</v>
      </c>
      <c r="I101" s="17" t="n">
        <v>98305.13</v>
      </c>
    </row>
    <row r="102">
      <c r="A102" s="11" t="inlineStr">
        <is>
          <t>eap-4_2</t>
        </is>
      </c>
      <c r="B102" s="11" t="inlineStr">
        <is>
          <t>CPU-TERRA-ATI-011-DMT-LONGA</t>
        </is>
      </c>
      <c r="C102" s="11" t="inlineStr">
        <is>
          <t>Encarregado de Terraplenagem</t>
        </is>
      </c>
      <c r="D102" s="15" t="inlineStr">
        <is>
          <t>DIRETO</t>
        </is>
      </c>
      <c r="E102" s="16" t="n">
        <v>1</v>
      </c>
      <c r="F102" s="17" t="n">
        <v>11549.8</v>
      </c>
      <c r="G102" s="16" t="n">
        <v>1.84</v>
      </c>
      <c r="H102" s="16" t="n">
        <v>1</v>
      </c>
      <c r="I102" s="17" t="n">
        <v>21251.63</v>
      </c>
    </row>
    <row r="103">
      <c r="A103" s="11" t="inlineStr">
        <is>
          <t>eap-4_2</t>
        </is>
      </c>
      <c r="B103" s="11" t="inlineStr">
        <is>
          <t>EQ-E0016</t>
        </is>
      </c>
      <c r="C103" s="11" t="inlineStr">
        <is>
          <t>Escavadeira Hidráulica 22t [EQ]</t>
        </is>
      </c>
      <c r="D103" s="72" t="inlineStr">
        <is>
          <t>EQ</t>
        </is>
      </c>
      <c r="E103" s="16" t="n">
        <v>1</v>
      </c>
      <c r="F103" s="17" t="n">
        <v>35639.3</v>
      </c>
      <c r="G103" s="16" t="n">
        <v>1.84</v>
      </c>
      <c r="H103" s="16" t="n">
        <v>1</v>
      </c>
      <c r="I103" s="17" t="n">
        <v>65576.31</v>
      </c>
    </row>
    <row r="104">
      <c r="A104" s="11" t="inlineStr">
        <is>
          <t>eap-4_2</t>
        </is>
      </c>
      <c r="B104" s="11" t="inlineStr">
        <is>
          <t>EQ-E0008</t>
        </is>
      </c>
      <c r="C104" s="11" t="inlineStr">
        <is>
          <t>Caminhão Basculante 16m³ [EQ]</t>
        </is>
      </c>
      <c r="D104" s="72" t="inlineStr">
        <is>
          <t>EQ</t>
        </is>
      </c>
      <c r="E104" s="16" t="n">
        <v>5</v>
      </c>
      <c r="F104" s="17" t="n">
        <v>40084.35</v>
      </c>
      <c r="G104" s="16" t="n">
        <v>1.84</v>
      </c>
      <c r="H104" s="16" t="n">
        <v>1</v>
      </c>
      <c r="I104" s="17" t="n">
        <v>73755.2</v>
      </c>
    </row>
    <row r="105">
      <c r="A105" s="11" t="inlineStr">
        <is>
          <t>eap-4_2</t>
        </is>
      </c>
      <c r="B105" s="11" t="inlineStr">
        <is>
          <t>EQ-E0008</t>
        </is>
      </c>
      <c r="C105" s="19" t="inlineStr">
        <is>
          <t>Diesel — Caminhão Basculante 16m³</t>
        </is>
      </c>
      <c r="D105" s="73" t="inlineStr">
        <is>
          <t>COMB</t>
        </is>
      </c>
      <c r="E105" s="16" t="n">
        <v>5</v>
      </c>
      <c r="F105" s="17" t="n">
        <v>3188.57</v>
      </c>
      <c r="G105" s="16" t="n">
        <v>1.84</v>
      </c>
      <c r="H105" s="16" t="n">
        <v>1</v>
      </c>
      <c r="I105" s="17" t="n">
        <v>5866.97</v>
      </c>
    </row>
    <row r="106">
      <c r="A106" s="20" t="inlineStr">
        <is>
          <t>Subtotal eap-4_2</t>
        </is>
      </c>
      <c r="B106" s="21" t="n"/>
      <c r="C106" s="21" t="n"/>
      <c r="D106" s="21" t="n"/>
      <c r="E106" s="21" t="n"/>
      <c r="F106" s="21" t="n"/>
      <c r="G106" s="21" t="n"/>
      <c r="H106" s="21" t="n"/>
      <c r="I106" s="22" t="n">
        <v>601147.0600000001</v>
      </c>
    </row>
    <row r="107">
      <c r="A107" s="9" t="inlineStr">
        <is>
          <t>eap-4_6 — Pintura de ligação (RR1C)</t>
        </is>
      </c>
    </row>
    <row r="108">
      <c r="A108" s="13" t="inlineStr">
        <is>
          <t>eap-4_6</t>
        </is>
      </c>
      <c r="B108" s="13" t="inlineStr">
        <is>
          <t>CPU-PAVIM-ATI-057</t>
        </is>
      </c>
      <c r="C108" s="13" t="inlineStr">
        <is>
          <t>Operador de Espargidor</t>
        </is>
      </c>
      <c r="D108" s="24" t="inlineStr">
        <is>
          <t>DIRETO</t>
        </is>
      </c>
      <c r="E108" s="25" t="n">
        <v>1</v>
      </c>
      <c r="F108" s="26" t="n">
        <v>13892.78</v>
      </c>
      <c r="G108" s="25" t="n">
        <v>0.92</v>
      </c>
      <c r="H108" s="25" t="n">
        <v>1</v>
      </c>
      <c r="I108" s="26" t="n">
        <v>12781.36</v>
      </c>
    </row>
    <row r="109">
      <c r="A109" s="13" t="inlineStr">
        <is>
          <t>eap-4_6</t>
        </is>
      </c>
      <c r="B109" s="13" t="inlineStr">
        <is>
          <t>CPU-PAVIM-ATI-057</t>
        </is>
      </c>
      <c r="C109" s="13" t="inlineStr">
        <is>
          <t>Motorista de Caminhão Pipa</t>
        </is>
      </c>
      <c r="D109" s="24" t="inlineStr">
        <is>
          <t>DIRETO</t>
        </is>
      </c>
      <c r="E109" s="25" t="n">
        <v>1</v>
      </c>
      <c r="F109" s="26" t="n">
        <v>10685.34</v>
      </c>
      <c r="G109" s="25" t="n">
        <v>0.92</v>
      </c>
      <c r="H109" s="25" t="n">
        <v>1</v>
      </c>
      <c r="I109" s="26" t="n">
        <v>9830.51</v>
      </c>
    </row>
    <row r="110">
      <c r="A110" s="13" t="inlineStr">
        <is>
          <t>eap-4_6</t>
        </is>
      </c>
      <c r="B110" s="13" t="inlineStr">
        <is>
          <t>CPU-PAVIM-ATI-057</t>
        </is>
      </c>
      <c r="C110" s="13" t="inlineStr">
        <is>
          <t>Sinaleiro</t>
        </is>
      </c>
      <c r="D110" s="24" t="inlineStr">
        <is>
          <t>DIRETO</t>
        </is>
      </c>
      <c r="E110" s="25" t="n">
        <v>1</v>
      </c>
      <c r="F110" s="26" t="n">
        <v>5811.57</v>
      </c>
      <c r="G110" s="25" t="n">
        <v>0.92</v>
      </c>
      <c r="H110" s="25" t="n">
        <v>1</v>
      </c>
      <c r="I110" s="26" t="n">
        <v>5346.64</v>
      </c>
    </row>
    <row r="111">
      <c r="A111" s="13" t="inlineStr">
        <is>
          <t>eap-4_6</t>
        </is>
      </c>
      <c r="B111" s="13" t="inlineStr">
        <is>
          <t>EQ-E0020</t>
        </is>
      </c>
      <c r="C111" s="13" t="inlineStr">
        <is>
          <t>Espargidor de Ligante Betuminoso [EQ]</t>
        </is>
      </c>
      <c r="D111" s="74" t="inlineStr">
        <is>
          <t>EQ</t>
        </is>
      </c>
      <c r="E111" s="25" t="n">
        <v>1</v>
      </c>
      <c r="F111" s="26" t="n">
        <v>17248</v>
      </c>
      <c r="G111" s="25" t="n">
        <v>0.92</v>
      </c>
      <c r="H111" s="25" t="n">
        <v>1</v>
      </c>
      <c r="I111" s="26" t="n">
        <v>15868.16</v>
      </c>
    </row>
    <row r="112">
      <c r="A112" s="13" t="inlineStr">
        <is>
          <t>eap-4_6</t>
        </is>
      </c>
      <c r="B112" s="13" t="inlineStr">
        <is>
          <t>EQ-E0020</t>
        </is>
      </c>
      <c r="C112" s="28" t="inlineStr">
        <is>
          <t>Diesel — Espargidor de Ligante Betuminoso</t>
        </is>
      </c>
      <c r="D112" s="75" t="inlineStr">
        <is>
          <t>COMB</t>
        </is>
      </c>
      <c r="E112" s="25" t="n">
        <v>1</v>
      </c>
      <c r="F112" s="26" t="n">
        <v>3188.57</v>
      </c>
      <c r="G112" s="25" t="n">
        <v>0.92</v>
      </c>
      <c r="H112" s="25" t="n">
        <v>1</v>
      </c>
      <c r="I112" s="26" t="n">
        <v>2933.48</v>
      </c>
    </row>
    <row r="113">
      <c r="A113" s="13" t="inlineStr">
        <is>
          <t>eap-4_6</t>
        </is>
      </c>
      <c r="B113" s="13" t="inlineStr">
        <is>
          <t>EQ-E0010</t>
        </is>
      </c>
      <c r="C113" s="13" t="inlineStr">
        <is>
          <t>Caminhão Pipa 10.000L [EQ]</t>
        </is>
      </c>
      <c r="D113" s="74" t="inlineStr">
        <is>
          <t>EQ</t>
        </is>
      </c>
      <c r="E113" s="25" t="n">
        <v>1</v>
      </c>
      <c r="F113" s="26" t="n">
        <v>19360</v>
      </c>
      <c r="G113" s="25" t="n">
        <v>0.92</v>
      </c>
      <c r="H113" s="25" t="n">
        <v>1</v>
      </c>
      <c r="I113" s="26" t="n">
        <v>17811.2</v>
      </c>
    </row>
    <row r="114">
      <c r="A114" s="13" t="inlineStr">
        <is>
          <t>eap-4_6</t>
        </is>
      </c>
      <c r="B114" s="13" t="inlineStr">
        <is>
          <t>EQ-E0010</t>
        </is>
      </c>
      <c r="C114" s="28" t="inlineStr">
        <is>
          <t>Diesel — Caminhão Pipa 10.000L</t>
        </is>
      </c>
      <c r="D114" s="75" t="inlineStr">
        <is>
          <t>COMB</t>
        </is>
      </c>
      <c r="E114" s="25" t="n">
        <v>1</v>
      </c>
      <c r="F114" s="26" t="n">
        <v>2550.86</v>
      </c>
      <c r="G114" s="25" t="n">
        <v>0.92</v>
      </c>
      <c r="H114" s="25" t="n">
        <v>1</v>
      </c>
      <c r="I114" s="26" t="n">
        <v>2346.79</v>
      </c>
    </row>
    <row r="115">
      <c r="A115" s="20" t="inlineStr">
        <is>
          <t>Subtotal eap-4_6</t>
        </is>
      </c>
      <c r="B115" s="21" t="n"/>
      <c r="C115" s="21" t="n"/>
      <c r="D115" s="21" t="n"/>
      <c r="E115" s="21" t="n"/>
      <c r="F115" s="21" t="n"/>
      <c r="G115" s="21" t="n"/>
      <c r="H115" s="21" t="n"/>
      <c r="I115" s="22" t="n">
        <v>66161.08</v>
      </c>
    </row>
    <row r="116">
      <c r="A116" s="9" t="inlineStr">
        <is>
          <t>eap-1_2 — Transporte de solo excedente com caminhão basculante de 14 m3 (peso específico de transporte de 1,8 g/cm3) - dmt de até 3,0 km (interno à planta)</t>
        </is>
      </c>
    </row>
    <row r="117">
      <c r="A117" s="11" t="inlineStr">
        <is>
          <t>eap-1_2</t>
        </is>
      </c>
      <c r="B117" s="11" t="inlineStr">
        <is>
          <t>CPU-TERRA-ESCO-CARGA-1CAT-DMT2000</t>
        </is>
      </c>
      <c r="C117" s="11" t="inlineStr">
        <is>
          <t>Operador de Escavadeira</t>
        </is>
      </c>
      <c r="D117" s="15" t="inlineStr">
        <is>
          <t>DIRETO</t>
        </is>
      </c>
      <c r="E117" s="16" t="n">
        <v>1</v>
      </c>
      <c r="F117" s="17" t="n">
        <v>10300</v>
      </c>
      <c r="G117" s="16" t="n">
        <v>0.6899999999999999</v>
      </c>
      <c r="H117" s="16" t="n">
        <v>1</v>
      </c>
      <c r="I117" s="17" t="n">
        <v>7107</v>
      </c>
    </row>
    <row r="118">
      <c r="A118" s="11" t="inlineStr">
        <is>
          <t>eap-1_2</t>
        </is>
      </c>
      <c r="B118" s="11" t="inlineStr">
        <is>
          <t>CPU-TERRA-ESCO-CARGA-1CAT-DMT2000</t>
        </is>
      </c>
      <c r="C118" s="11" t="inlineStr">
        <is>
          <t>Ajudante</t>
        </is>
      </c>
      <c r="D118" s="15" t="inlineStr">
        <is>
          <t>DIRETO</t>
        </is>
      </c>
      <c r="E118" s="16" t="n">
        <v>1</v>
      </c>
      <c r="F118" s="17" t="n">
        <v>4209.32</v>
      </c>
      <c r="G118" s="16" t="n">
        <v>0.6899999999999999</v>
      </c>
      <c r="H118" s="16" t="n">
        <v>1</v>
      </c>
      <c r="I118" s="17" t="n">
        <v>2904.43</v>
      </c>
    </row>
    <row r="119">
      <c r="A119" s="11" t="inlineStr">
        <is>
          <t>eap-1_2</t>
        </is>
      </c>
      <c r="B119" s="11" t="inlineStr">
        <is>
          <t>CPU-TERRA-ESCO-CARGA-1CAT-DMT2000</t>
        </is>
      </c>
      <c r="C119" s="11" t="inlineStr">
        <is>
          <t>Encarregado de Frente</t>
        </is>
      </c>
      <c r="D119" s="15" t="inlineStr">
        <is>
          <t>DIRETO</t>
        </is>
      </c>
      <c r="E119" s="16" t="n">
        <v>1</v>
      </c>
      <c r="F119" s="17" t="n">
        <v>7500</v>
      </c>
      <c r="G119" s="16" t="n">
        <v>0.6899999999999999</v>
      </c>
      <c r="H119" s="16" t="n">
        <v>1</v>
      </c>
      <c r="I119" s="17" t="n">
        <v>5175</v>
      </c>
    </row>
    <row r="120">
      <c r="A120" s="11" t="inlineStr">
        <is>
          <t>eap-1_2</t>
        </is>
      </c>
      <c r="B120" s="11" t="inlineStr">
        <is>
          <t>CPU-TERRA-ESCO-CARGA-1CAT-DMT2000</t>
        </is>
      </c>
      <c r="C120" s="11" t="inlineStr">
        <is>
          <t>Motorista de Caminhão Basculante</t>
        </is>
      </c>
      <c r="D120" s="15" t="inlineStr">
        <is>
          <t>DIRETO</t>
        </is>
      </c>
      <c r="E120" s="16" t="n">
        <v>7</v>
      </c>
      <c r="F120" s="17" t="n">
        <v>44388.19</v>
      </c>
      <c r="G120" s="16" t="n">
        <v>0.6899999999999999</v>
      </c>
      <c r="H120" s="16" t="n">
        <v>1</v>
      </c>
      <c r="I120" s="17" t="n">
        <v>30627.85</v>
      </c>
    </row>
    <row r="121">
      <c r="A121" s="11" t="inlineStr">
        <is>
          <t>eap-1_2</t>
        </is>
      </c>
      <c r="B121" s="11" t="inlineStr">
        <is>
          <t>EQ-E0015</t>
        </is>
      </c>
      <c r="C121" s="11" t="inlineStr">
        <is>
          <t>Distribuidor de Brita [EQ]</t>
        </is>
      </c>
      <c r="D121" s="72" t="inlineStr">
        <is>
          <t>EQ</t>
        </is>
      </c>
      <c r="E121" s="16" t="n">
        <v>1</v>
      </c>
      <c r="F121" s="17" t="n">
        <v>3449.6</v>
      </c>
      <c r="G121" s="16" t="n">
        <v>0.6899999999999999</v>
      </c>
      <c r="H121" s="16" t="n">
        <v>1</v>
      </c>
      <c r="I121" s="17" t="n">
        <v>2380.22</v>
      </c>
    </row>
    <row r="122">
      <c r="A122" s="11" t="inlineStr">
        <is>
          <t>eap-1_2</t>
        </is>
      </c>
      <c r="B122" s="11" t="inlineStr">
        <is>
          <t>EQ-E0015</t>
        </is>
      </c>
      <c r="C122" s="19" t="inlineStr">
        <is>
          <t>Diesel — Distribuidor de Brita</t>
        </is>
      </c>
      <c r="D122" s="73" t="inlineStr">
        <is>
          <t>COMB</t>
        </is>
      </c>
      <c r="E122" s="16" t="n">
        <v>1</v>
      </c>
      <c r="F122" s="17" t="n">
        <v>1913.14</v>
      </c>
      <c r="G122" s="16" t="n">
        <v>0.6899999999999999</v>
      </c>
      <c r="H122" s="16" t="n">
        <v>1</v>
      </c>
      <c r="I122" s="17" t="n">
        <v>1320.07</v>
      </c>
    </row>
    <row r="123">
      <c r="A123" s="11" t="inlineStr">
        <is>
          <t>eap-1_2</t>
        </is>
      </c>
      <c r="B123" s="11" t="inlineStr">
        <is>
          <t>EQ-E0002</t>
        </is>
      </c>
      <c r="C123" s="11" t="inlineStr">
        <is>
          <t>Betoneira 400L [EQ]</t>
        </is>
      </c>
      <c r="D123" s="72" t="inlineStr">
        <is>
          <t>EQ</t>
        </is>
      </c>
      <c r="E123" s="16" t="n">
        <v>7</v>
      </c>
      <c r="F123" s="17" t="n">
        <v>607.2</v>
      </c>
      <c r="G123" s="16" t="n">
        <v>0.6899999999999999</v>
      </c>
      <c r="H123" s="16" t="n">
        <v>1</v>
      </c>
      <c r="I123" s="17" t="n">
        <v>418.97</v>
      </c>
    </row>
    <row r="124">
      <c r="A124" s="11" t="inlineStr">
        <is>
          <t>eap-1_2</t>
        </is>
      </c>
      <c r="B124" s="11" t="inlineStr">
        <is>
          <t>EQ-E0002</t>
        </is>
      </c>
      <c r="C124" s="19" t="inlineStr">
        <is>
          <t>Diesel — Betoneira 400L</t>
        </is>
      </c>
      <c r="D124" s="73" t="inlineStr">
        <is>
          <t>COMB</t>
        </is>
      </c>
      <c r="E124" s="16" t="n">
        <v>7</v>
      </c>
      <c r="F124" s="17" t="n">
        <v>1913.14</v>
      </c>
      <c r="G124" s="16" t="n">
        <v>0.6899999999999999</v>
      </c>
      <c r="H124" s="16" t="n">
        <v>1</v>
      </c>
      <c r="I124" s="17" t="n">
        <v>1320.07</v>
      </c>
    </row>
    <row r="125">
      <c r="A125" s="20" t="inlineStr">
        <is>
          <t>Subtotal eap-1_2</t>
        </is>
      </c>
      <c r="B125" s="21" t="n"/>
      <c r="C125" s="21" t="n"/>
      <c r="D125" s="21" t="n"/>
      <c r="E125" s="21" t="n"/>
      <c r="F125" s="21" t="n"/>
      <c r="G125" s="21" t="n"/>
      <c r="H125" s="21" t="n"/>
      <c r="I125" s="22" t="n">
        <v>60679.32</v>
      </c>
    </row>
    <row r="126">
      <c r="A126" s="9" t="inlineStr">
        <is>
          <t>eap-1_3 — Regularização de bota-fora com espalhamento e compactação</t>
        </is>
      </c>
    </row>
    <row r="127">
      <c r="A127" s="13" t="inlineStr">
        <is>
          <t>eap-1_3</t>
        </is>
      </c>
      <c r="B127" s="13" t="inlineStr">
        <is>
          <t>CPU-TERRA-ATI-019</t>
        </is>
      </c>
      <c r="C127" s="13" t="inlineStr">
        <is>
          <t>Operador de Motoniveladora</t>
        </is>
      </c>
      <c r="D127" s="24" t="inlineStr">
        <is>
          <t>DIRETO</t>
        </is>
      </c>
      <c r="E127" s="25" t="n">
        <v>1</v>
      </c>
      <c r="F127" s="26" t="n">
        <v>17356.25</v>
      </c>
      <c r="G127" s="25" t="n">
        <v>0.6899999999999999</v>
      </c>
      <c r="H127" s="25" t="n">
        <v>1</v>
      </c>
      <c r="I127" s="26" t="n">
        <v>11975.81</v>
      </c>
    </row>
    <row r="128">
      <c r="A128" s="13" t="inlineStr">
        <is>
          <t>eap-1_3</t>
        </is>
      </c>
      <c r="B128" s="13" t="inlineStr">
        <is>
          <t>CPU-TERRA-ATI-019</t>
        </is>
      </c>
      <c r="C128" s="13" t="inlineStr">
        <is>
          <t>Operador de Rolo Compactador</t>
        </is>
      </c>
      <c r="D128" s="24" t="inlineStr">
        <is>
          <t>DIRETO</t>
        </is>
      </c>
      <c r="E128" s="25" t="n">
        <v>1</v>
      </c>
      <c r="F128" s="26" t="n">
        <v>10685.34</v>
      </c>
      <c r="G128" s="25" t="n">
        <v>0.6899999999999999</v>
      </c>
      <c r="H128" s="25" t="n">
        <v>1</v>
      </c>
      <c r="I128" s="26" t="n">
        <v>7372.88</v>
      </c>
    </row>
    <row r="129">
      <c r="A129" s="13" t="inlineStr">
        <is>
          <t>eap-1_3</t>
        </is>
      </c>
      <c r="B129" s="13" t="inlineStr">
        <is>
          <t>CPU-TERRA-ATI-019</t>
        </is>
      </c>
      <c r="C129" s="13" t="inlineStr">
        <is>
          <t>Operador de Rolo Compactador</t>
        </is>
      </c>
      <c r="D129" s="24" t="inlineStr">
        <is>
          <t>DIRETO</t>
        </is>
      </c>
      <c r="E129" s="25" t="n">
        <v>1</v>
      </c>
      <c r="F129" s="26" t="n">
        <v>10685.34</v>
      </c>
      <c r="G129" s="25" t="n">
        <v>0.6899999999999999</v>
      </c>
      <c r="H129" s="25" t="n">
        <v>1</v>
      </c>
      <c r="I129" s="26" t="n">
        <v>7372.88</v>
      </c>
    </row>
    <row r="130">
      <c r="A130" s="13" t="inlineStr">
        <is>
          <t>eap-1_3</t>
        </is>
      </c>
      <c r="B130" s="13" t="inlineStr">
        <is>
          <t>CPU-TERRA-ATI-019</t>
        </is>
      </c>
      <c r="C130" s="13" t="inlineStr">
        <is>
          <t>Encarregado de Terraplenagem</t>
        </is>
      </c>
      <c r="D130" s="24" t="inlineStr">
        <is>
          <t>DIRETO</t>
        </is>
      </c>
      <c r="E130" s="25" t="n">
        <v>1</v>
      </c>
      <c r="F130" s="26" t="n">
        <v>11549.8</v>
      </c>
      <c r="G130" s="25" t="n">
        <v>0.6899999999999999</v>
      </c>
      <c r="H130" s="25" t="n">
        <v>1</v>
      </c>
      <c r="I130" s="26" t="n">
        <v>7969.36</v>
      </c>
    </row>
    <row r="131">
      <c r="A131" s="13" t="inlineStr">
        <is>
          <t>eap-1_3</t>
        </is>
      </c>
      <c r="B131" s="13" t="inlineStr">
        <is>
          <t>EQ-E0029</t>
        </is>
      </c>
      <c r="C131" s="13" t="inlineStr">
        <is>
          <t>Motoniveladora 140HP [EQ]</t>
        </is>
      </c>
      <c r="D131" s="74" t="inlineStr">
        <is>
          <t>EQ</t>
        </is>
      </c>
      <c r="E131" s="25" t="n">
        <v>1</v>
      </c>
      <c r="F131" s="26" t="n">
        <v>43326.98</v>
      </c>
      <c r="G131" s="25" t="n">
        <v>0.6899999999999999</v>
      </c>
      <c r="H131" s="25" t="n">
        <v>1</v>
      </c>
      <c r="I131" s="26" t="n">
        <v>29895.62</v>
      </c>
    </row>
    <row r="132">
      <c r="A132" s="13" t="inlineStr">
        <is>
          <t>eap-1_3</t>
        </is>
      </c>
      <c r="B132" s="13" t="inlineStr">
        <is>
          <t>EQ-E0029</t>
        </is>
      </c>
      <c r="C132" s="28" t="inlineStr">
        <is>
          <t>Diesel — Motoniveladora 140HP</t>
        </is>
      </c>
      <c r="D132" s="75" t="inlineStr">
        <is>
          <t>COMB</t>
        </is>
      </c>
      <c r="E132" s="25" t="n">
        <v>1</v>
      </c>
      <c r="F132" s="26" t="n">
        <v>14029.71</v>
      </c>
      <c r="G132" s="25" t="n">
        <v>0.6899999999999999</v>
      </c>
      <c r="H132" s="25" t="n">
        <v>1</v>
      </c>
      <c r="I132" s="26" t="n">
        <v>9680.5</v>
      </c>
    </row>
    <row r="133">
      <c r="A133" s="13" t="inlineStr">
        <is>
          <t>eap-1_3</t>
        </is>
      </c>
      <c r="B133" s="13" t="inlineStr">
        <is>
          <t>EQ-E0035</t>
        </is>
      </c>
      <c r="C133" s="13" t="inlineStr">
        <is>
          <t>Trator de esteiras 20T [EQ]</t>
        </is>
      </c>
      <c r="D133" s="74" t="inlineStr">
        <is>
          <t>EQ</t>
        </is>
      </c>
      <c r="E133" s="25" t="n">
        <v>1</v>
      </c>
      <c r="F133" s="26" t="n">
        <v>21683.2</v>
      </c>
      <c r="G133" s="25" t="n">
        <v>0.6899999999999999</v>
      </c>
      <c r="H133" s="25" t="n">
        <v>1</v>
      </c>
      <c r="I133" s="26" t="n">
        <v>14961.41</v>
      </c>
    </row>
    <row r="134">
      <c r="A134" s="13" t="inlineStr">
        <is>
          <t>eap-1_3</t>
        </is>
      </c>
      <c r="B134" s="13" t="inlineStr">
        <is>
          <t>EQ-E0035</t>
        </is>
      </c>
      <c r="C134" s="28" t="inlineStr">
        <is>
          <t>Diesel — Trator de esteiras 20T</t>
        </is>
      </c>
      <c r="D134" s="75" t="inlineStr">
        <is>
          <t>COMB</t>
        </is>
      </c>
      <c r="E134" s="25" t="n">
        <v>1</v>
      </c>
      <c r="F134" s="26" t="n">
        <v>22957.71</v>
      </c>
      <c r="G134" s="25" t="n">
        <v>0.6899999999999999</v>
      </c>
      <c r="H134" s="25" t="n">
        <v>1</v>
      </c>
      <c r="I134" s="26" t="n">
        <v>15840.82</v>
      </c>
    </row>
    <row r="135">
      <c r="A135" s="13" t="inlineStr">
        <is>
          <t>eap-1_3</t>
        </is>
      </c>
      <c r="B135" s="13" t="inlineStr">
        <is>
          <t>EQ-E0010</t>
        </is>
      </c>
      <c r="C135" s="13" t="inlineStr">
        <is>
          <t>Caminhão Pipa 10.000L [EQ]</t>
        </is>
      </c>
      <c r="D135" s="74" t="inlineStr">
        <is>
          <t>EQ</t>
        </is>
      </c>
      <c r="E135" s="25" t="n">
        <v>1</v>
      </c>
      <c r="F135" s="26" t="n">
        <v>19360</v>
      </c>
      <c r="G135" s="25" t="n">
        <v>0.6899999999999999</v>
      </c>
      <c r="H135" s="25" t="n">
        <v>1</v>
      </c>
      <c r="I135" s="26" t="n">
        <v>13358.4</v>
      </c>
    </row>
    <row r="136">
      <c r="A136" s="13" t="inlineStr">
        <is>
          <t>eap-1_3</t>
        </is>
      </c>
      <c r="B136" s="13" t="inlineStr">
        <is>
          <t>EQ-E0010</t>
        </is>
      </c>
      <c r="C136" s="28" t="inlineStr">
        <is>
          <t>Diesel — Caminhão Pipa 10.000L</t>
        </is>
      </c>
      <c r="D136" s="75" t="inlineStr">
        <is>
          <t>COMB</t>
        </is>
      </c>
      <c r="E136" s="25" t="n">
        <v>1</v>
      </c>
      <c r="F136" s="26" t="n">
        <v>2550.86</v>
      </c>
      <c r="G136" s="25" t="n">
        <v>0.6899999999999999</v>
      </c>
      <c r="H136" s="25" t="n">
        <v>1</v>
      </c>
      <c r="I136" s="26" t="n">
        <v>1760.09</v>
      </c>
    </row>
    <row r="137">
      <c r="A137" s="20" t="inlineStr">
        <is>
          <t>Subtotal eap-1_3</t>
        </is>
      </c>
      <c r="B137" s="21" t="n"/>
      <c r="C137" s="21" t="n"/>
      <c r="D137" s="21" t="n"/>
      <c r="E137" s="21" t="n"/>
      <c r="F137" s="21" t="n"/>
      <c r="G137" s="21" t="n"/>
      <c r="H137" s="21" t="n"/>
      <c r="I137" s="22" t="n">
        <v>117584.07</v>
      </c>
    </row>
    <row r="138">
      <c r="A138" s="9" t="inlineStr">
        <is>
          <t>eap-1_1 — Limpeza mecanizada da camada vegetal (espessura média de 30 cm) - volume geométrico</t>
        </is>
      </c>
    </row>
    <row r="139">
      <c r="A139" s="11" t="inlineStr">
        <is>
          <t>eap-1_1</t>
        </is>
      </c>
      <c r="B139" s="11" t="inlineStr">
        <is>
          <t>CPU-TERRA-ATI-003</t>
        </is>
      </c>
      <c r="C139" s="11" t="inlineStr">
        <is>
          <t>Operador de Escavadeira</t>
        </is>
      </c>
      <c r="D139" s="15" t="inlineStr">
        <is>
          <t>DIRETO</t>
        </is>
      </c>
      <c r="E139" s="16" t="n">
        <v>1</v>
      </c>
      <c r="F139" s="17" t="n">
        <v>12875</v>
      </c>
      <c r="G139" s="16" t="n">
        <v>1.38</v>
      </c>
      <c r="H139" s="16" t="n">
        <v>1</v>
      </c>
      <c r="I139" s="17" t="n">
        <v>17767.5</v>
      </c>
    </row>
    <row r="140">
      <c r="A140" s="11" t="inlineStr">
        <is>
          <t>eap-1_1</t>
        </is>
      </c>
      <c r="B140" s="11" t="inlineStr">
        <is>
          <t>CPU-TERRA-ATI-003</t>
        </is>
      </c>
      <c r="C140" s="11" t="inlineStr">
        <is>
          <t>Operador de Trator de Esteiras</t>
        </is>
      </c>
      <c r="D140" s="15" t="inlineStr">
        <is>
          <t>DIRETO</t>
        </is>
      </c>
      <c r="E140" s="16" t="n">
        <v>1</v>
      </c>
      <c r="F140" s="17" t="n">
        <v>12875</v>
      </c>
      <c r="G140" s="16" t="n">
        <v>1.38</v>
      </c>
      <c r="H140" s="16" t="n">
        <v>1</v>
      </c>
      <c r="I140" s="17" t="n">
        <v>17767.5</v>
      </c>
    </row>
    <row r="141">
      <c r="A141" s="11" t="inlineStr">
        <is>
          <t>eap-1_1</t>
        </is>
      </c>
      <c r="B141" s="11" t="inlineStr">
        <is>
          <t>CPU-TERRA-ATI-003</t>
        </is>
      </c>
      <c r="C141" s="11" t="inlineStr">
        <is>
          <t>Ajudante</t>
        </is>
      </c>
      <c r="D141" s="15" t="inlineStr">
        <is>
          <t>DIRETO</t>
        </is>
      </c>
      <c r="E141" s="16" t="n">
        <v>3</v>
      </c>
      <c r="F141" s="17" t="n">
        <v>15784.95</v>
      </c>
      <c r="G141" s="16" t="n">
        <v>1.38</v>
      </c>
      <c r="H141" s="16" t="n">
        <v>1</v>
      </c>
      <c r="I141" s="17" t="n">
        <v>21783.23</v>
      </c>
    </row>
    <row r="142">
      <c r="A142" s="11" t="inlineStr">
        <is>
          <t>eap-1_1</t>
        </is>
      </c>
      <c r="B142" s="11" t="inlineStr">
        <is>
          <t>EQ-E0016</t>
        </is>
      </c>
      <c r="C142" s="11" t="inlineStr">
        <is>
          <t>Escavadeira Hidráulica 22t [EQ]</t>
        </is>
      </c>
      <c r="D142" s="72" t="inlineStr">
        <is>
          <t>EQ</t>
        </is>
      </c>
      <c r="E142" s="16" t="n">
        <v>1</v>
      </c>
      <c r="F142" s="17" t="n">
        <v>35639.3</v>
      </c>
      <c r="G142" s="16" t="n">
        <v>1.38</v>
      </c>
      <c r="H142" s="16" t="n">
        <v>1</v>
      </c>
      <c r="I142" s="17" t="n">
        <v>49182.23</v>
      </c>
    </row>
    <row r="143">
      <c r="A143" s="11" t="inlineStr">
        <is>
          <t>eap-1_1</t>
        </is>
      </c>
      <c r="B143" s="11" t="inlineStr">
        <is>
          <t>EQ-E0024</t>
        </is>
      </c>
      <c r="C143" s="11" t="inlineStr">
        <is>
          <t>Trator de Esteiras 20t (300HP) [EQ]</t>
        </is>
      </c>
      <c r="D143" s="72" t="inlineStr">
        <is>
          <t>EQ</t>
        </is>
      </c>
      <c r="E143" s="16" t="n">
        <v>1</v>
      </c>
      <c r="F143" s="17" t="n">
        <v>49477.12</v>
      </c>
      <c r="G143" s="16" t="n">
        <v>1.38</v>
      </c>
      <c r="H143" s="16" t="n">
        <v>1</v>
      </c>
      <c r="I143" s="17" t="n">
        <v>68278.42999999999</v>
      </c>
    </row>
    <row r="144">
      <c r="A144" s="11" t="inlineStr">
        <is>
          <t>eap-1_1</t>
        </is>
      </c>
      <c r="B144" s="11" t="inlineStr">
        <is>
          <t>EQ-E0024</t>
        </is>
      </c>
      <c r="C144" s="19" t="inlineStr">
        <is>
          <t>Diesel — Trator de Esteiras 20t (300HP)</t>
        </is>
      </c>
      <c r="D144" s="73" t="inlineStr">
        <is>
          <t>COMB</t>
        </is>
      </c>
      <c r="E144" s="16" t="n">
        <v>1</v>
      </c>
      <c r="F144" s="17" t="n">
        <v>22957.71</v>
      </c>
      <c r="G144" s="16" t="n">
        <v>1.38</v>
      </c>
      <c r="H144" s="16" t="n">
        <v>1</v>
      </c>
      <c r="I144" s="17" t="n">
        <v>31681.64</v>
      </c>
    </row>
    <row r="145">
      <c r="A145" s="20" t="inlineStr">
        <is>
          <t>Subtotal eap-1_1</t>
        </is>
      </c>
      <c r="B145" s="21" t="n"/>
      <c r="C145" s="21" t="n"/>
      <c r="D145" s="21" t="n"/>
      <c r="E145" s="21" t="n"/>
      <c r="F145" s="21" t="n"/>
      <c r="G145" s="21" t="n"/>
      <c r="H145" s="21" t="n"/>
      <c r="I145" s="22" t="n">
        <v>201171.68</v>
      </c>
    </row>
    <row r="146">
      <c r="A146" s="9" t="inlineStr">
        <is>
          <t>eap-5_6 — Regularização de valas com apiloamento do fundo</t>
        </is>
      </c>
    </row>
    <row r="147">
      <c r="A147" s="13" t="inlineStr">
        <is>
          <t>eap-5_6</t>
        </is>
      </c>
      <c r="B147" s="13" t="inlineStr">
        <is>
          <t>CPU-TERRA-ATI-019-M2</t>
        </is>
      </c>
      <c r="C147" s="13" t="inlineStr">
        <is>
          <t>Operador de Motoniveladora</t>
        </is>
      </c>
      <c r="D147" s="24" t="inlineStr">
        <is>
          <t>DIRETO</t>
        </is>
      </c>
      <c r="E147" s="25" t="n">
        <v>1</v>
      </c>
      <c r="F147" s="26" t="n">
        <v>17356.25</v>
      </c>
      <c r="G147" s="25" t="n">
        <v>0.23</v>
      </c>
      <c r="H147" s="25" t="n">
        <v>1</v>
      </c>
      <c r="I147" s="26" t="n">
        <v>3991.94</v>
      </c>
    </row>
    <row r="148">
      <c r="A148" s="13" t="inlineStr">
        <is>
          <t>eap-5_6</t>
        </is>
      </c>
      <c r="B148" s="13" t="inlineStr">
        <is>
          <t>CPU-TERRA-ATI-019-M2</t>
        </is>
      </c>
      <c r="C148" s="13" t="inlineStr">
        <is>
          <t>Encarregado de Terraplenagem</t>
        </is>
      </c>
      <c r="D148" s="24" t="inlineStr">
        <is>
          <t>DIRETO</t>
        </is>
      </c>
      <c r="E148" s="25" t="n">
        <v>1</v>
      </c>
      <c r="F148" s="26" t="n">
        <v>11549.8</v>
      </c>
      <c r="G148" s="25" t="n">
        <v>0.23</v>
      </c>
      <c r="H148" s="25" t="n">
        <v>1</v>
      </c>
      <c r="I148" s="26" t="n">
        <v>2656.45</v>
      </c>
    </row>
    <row r="149">
      <c r="A149" s="13" t="inlineStr">
        <is>
          <t>eap-5_6</t>
        </is>
      </c>
      <c r="B149" s="13" t="inlineStr">
        <is>
          <t>EQ-E0029</t>
        </is>
      </c>
      <c r="C149" s="13" t="inlineStr">
        <is>
          <t>Motoniveladora 140HP [EQ]</t>
        </is>
      </c>
      <c r="D149" s="74" t="inlineStr">
        <is>
          <t>EQ</t>
        </is>
      </c>
      <c r="E149" s="25" t="n">
        <v>1</v>
      </c>
      <c r="F149" s="26" t="n">
        <v>43326.98</v>
      </c>
      <c r="G149" s="25" t="n">
        <v>0.23</v>
      </c>
      <c r="H149" s="25" t="n">
        <v>1</v>
      </c>
      <c r="I149" s="26" t="n">
        <v>9965.209999999999</v>
      </c>
    </row>
    <row r="150">
      <c r="A150" s="13" t="inlineStr">
        <is>
          <t>eap-5_6</t>
        </is>
      </c>
      <c r="B150" s="13" t="inlineStr">
        <is>
          <t>EQ-E0029</t>
        </is>
      </c>
      <c r="C150" s="28" t="inlineStr">
        <is>
          <t>Diesel — Motoniveladora 140HP</t>
        </is>
      </c>
      <c r="D150" s="75" t="inlineStr">
        <is>
          <t>COMB</t>
        </is>
      </c>
      <c r="E150" s="25" t="n">
        <v>1</v>
      </c>
      <c r="F150" s="26" t="n">
        <v>14029.71</v>
      </c>
      <c r="G150" s="25" t="n">
        <v>0.23</v>
      </c>
      <c r="H150" s="25" t="n">
        <v>1</v>
      </c>
      <c r="I150" s="26" t="n">
        <v>3226.83</v>
      </c>
    </row>
    <row r="151">
      <c r="A151" s="20" t="inlineStr">
        <is>
          <t>Subtotal eap-5_6</t>
        </is>
      </c>
      <c r="B151" s="21" t="n"/>
      <c r="C151" s="21" t="n"/>
      <c r="D151" s="21" t="n"/>
      <c r="E151" s="21" t="n"/>
      <c r="F151" s="21" t="n"/>
      <c r="G151" s="21" t="n"/>
      <c r="H151" s="21" t="n"/>
      <c r="I151" s="22" t="n">
        <v>19378.54</v>
      </c>
    </row>
    <row r="152">
      <c r="A152" s="9" t="inlineStr">
        <is>
          <t>eap-6_5 — Pintura de faixa com tinta acrílica - espessura de 0,6 mm</t>
        </is>
      </c>
    </row>
    <row r="153">
      <c r="A153" s="11" t="inlineStr">
        <is>
          <t>eap-6_5</t>
        </is>
      </c>
      <c r="B153" s="11" t="inlineStr">
        <is>
          <t>CPU-PAVIM-ATI-057</t>
        </is>
      </c>
      <c r="C153" s="11" t="inlineStr">
        <is>
          <t>Operador de Espargidor</t>
        </is>
      </c>
      <c r="D153" s="15" t="inlineStr">
        <is>
          <t>DIRETO</t>
        </is>
      </c>
      <c r="E153" s="16" t="n">
        <v>1</v>
      </c>
      <c r="F153" s="17" t="n">
        <v>13892.78</v>
      </c>
      <c r="G153" s="16" t="n">
        <v>0.23</v>
      </c>
      <c r="H153" s="16" t="n">
        <v>1</v>
      </c>
      <c r="I153" s="17" t="n">
        <v>3195.34</v>
      </c>
    </row>
    <row r="154">
      <c r="A154" s="11" t="inlineStr">
        <is>
          <t>eap-6_5</t>
        </is>
      </c>
      <c r="B154" s="11" t="inlineStr">
        <is>
          <t>CPU-PAVIM-ATI-057</t>
        </is>
      </c>
      <c r="C154" s="11" t="inlineStr">
        <is>
          <t>Motorista de Caminhão Pipa</t>
        </is>
      </c>
      <c r="D154" s="15" t="inlineStr">
        <is>
          <t>DIRETO</t>
        </is>
      </c>
      <c r="E154" s="16" t="n">
        <v>1</v>
      </c>
      <c r="F154" s="17" t="n">
        <v>10685.34</v>
      </c>
      <c r="G154" s="16" t="n">
        <v>0.23</v>
      </c>
      <c r="H154" s="16" t="n">
        <v>1</v>
      </c>
      <c r="I154" s="17" t="n">
        <v>2457.63</v>
      </c>
    </row>
    <row r="155">
      <c r="A155" s="11" t="inlineStr">
        <is>
          <t>eap-6_5</t>
        </is>
      </c>
      <c r="B155" s="11" t="inlineStr">
        <is>
          <t>CPU-PAVIM-ATI-057</t>
        </is>
      </c>
      <c r="C155" s="11" t="inlineStr">
        <is>
          <t>Sinaleiro</t>
        </is>
      </c>
      <c r="D155" s="15" t="inlineStr">
        <is>
          <t>DIRETO</t>
        </is>
      </c>
      <c r="E155" s="16" t="n">
        <v>1</v>
      </c>
      <c r="F155" s="17" t="n">
        <v>5811.57</v>
      </c>
      <c r="G155" s="16" t="n">
        <v>0.23</v>
      </c>
      <c r="H155" s="16" t="n">
        <v>1</v>
      </c>
      <c r="I155" s="17" t="n">
        <v>1336.66</v>
      </c>
    </row>
    <row r="156">
      <c r="A156" s="11" t="inlineStr">
        <is>
          <t>eap-6_5</t>
        </is>
      </c>
      <c r="B156" s="11" t="inlineStr">
        <is>
          <t>EQ-E0020</t>
        </is>
      </c>
      <c r="C156" s="11" t="inlineStr">
        <is>
          <t>Espargidor de Ligante Betuminoso [EQ]</t>
        </is>
      </c>
      <c r="D156" s="72" t="inlineStr">
        <is>
          <t>EQ</t>
        </is>
      </c>
      <c r="E156" s="16" t="n">
        <v>1</v>
      </c>
      <c r="F156" s="17" t="n">
        <v>17248</v>
      </c>
      <c r="G156" s="16" t="n">
        <v>0.23</v>
      </c>
      <c r="H156" s="16" t="n">
        <v>1</v>
      </c>
      <c r="I156" s="17" t="n">
        <v>3967.04</v>
      </c>
    </row>
    <row r="157">
      <c r="A157" s="11" t="inlineStr">
        <is>
          <t>eap-6_5</t>
        </is>
      </c>
      <c r="B157" s="11" t="inlineStr">
        <is>
          <t>EQ-E0020</t>
        </is>
      </c>
      <c r="C157" s="19" t="inlineStr">
        <is>
          <t>Diesel — Espargidor de Ligante Betuminoso</t>
        </is>
      </c>
      <c r="D157" s="73" t="inlineStr">
        <is>
          <t>COMB</t>
        </is>
      </c>
      <c r="E157" s="16" t="n">
        <v>1</v>
      </c>
      <c r="F157" s="17" t="n">
        <v>3188.57</v>
      </c>
      <c r="G157" s="16" t="n">
        <v>0.23</v>
      </c>
      <c r="H157" s="16" t="n">
        <v>1</v>
      </c>
      <c r="I157" s="17" t="n">
        <v>733.37</v>
      </c>
    </row>
    <row r="158">
      <c r="A158" s="11" t="inlineStr">
        <is>
          <t>eap-6_5</t>
        </is>
      </c>
      <c r="B158" s="11" t="inlineStr">
        <is>
          <t>EQ-E0010</t>
        </is>
      </c>
      <c r="C158" s="11" t="inlineStr">
        <is>
          <t>Caminhão Pipa 10.000L [EQ]</t>
        </is>
      </c>
      <c r="D158" s="72" t="inlineStr">
        <is>
          <t>EQ</t>
        </is>
      </c>
      <c r="E158" s="16" t="n">
        <v>1</v>
      </c>
      <c r="F158" s="17" t="n">
        <v>19360</v>
      </c>
      <c r="G158" s="16" t="n">
        <v>0.23</v>
      </c>
      <c r="H158" s="16" t="n">
        <v>1</v>
      </c>
      <c r="I158" s="17" t="n">
        <v>4452.8</v>
      </c>
    </row>
    <row r="159">
      <c r="A159" s="11" t="inlineStr">
        <is>
          <t>eap-6_5</t>
        </is>
      </c>
      <c r="B159" s="11" t="inlineStr">
        <is>
          <t>EQ-E0010</t>
        </is>
      </c>
      <c r="C159" s="19" t="inlineStr">
        <is>
          <t>Diesel — Caminhão Pipa 10.000L</t>
        </is>
      </c>
      <c r="D159" s="73" t="inlineStr">
        <is>
          <t>COMB</t>
        </is>
      </c>
      <c r="E159" s="16" t="n">
        <v>1</v>
      </c>
      <c r="F159" s="17" t="n">
        <v>2550.86</v>
      </c>
      <c r="G159" s="16" t="n">
        <v>0.23</v>
      </c>
      <c r="H159" s="16" t="n">
        <v>1</v>
      </c>
      <c r="I159" s="17" t="n">
        <v>586.7</v>
      </c>
    </row>
    <row r="160">
      <c r="A160" s="20" t="inlineStr">
        <is>
          <t>Subtotal eap-6_5</t>
        </is>
      </c>
      <c r="B160" s="21" t="n"/>
      <c r="C160" s="21" t="n"/>
      <c r="D160" s="21" t="n"/>
      <c r="E160" s="21" t="n"/>
      <c r="F160" s="21" t="n"/>
      <c r="G160" s="21" t="n"/>
      <c r="H160" s="21" t="n"/>
      <c r="I160" s="22" t="n">
        <v>16540.24</v>
      </c>
    </row>
    <row r="161">
      <c r="A161" s="9" t="inlineStr">
        <is>
          <t>eap-6_11 — Ancoragem de defensa semimaleável simples - fornecimento e implantação</t>
        </is>
      </c>
    </row>
    <row r="162">
      <c r="A162" s="13" t="inlineStr">
        <is>
          <t>eap-6_11</t>
        </is>
      </c>
      <c r="B162" s="13" t="inlineStr">
        <is>
          <t>CPU-DIVER-ATI-065</t>
        </is>
      </c>
      <c r="C162" s="13" t="inlineStr">
        <is>
          <t>Encarregado de Terraplenagem</t>
        </is>
      </c>
      <c r="D162" s="24" t="inlineStr">
        <is>
          <t>DIRETO</t>
        </is>
      </c>
      <c r="E162" s="25" t="n">
        <v>1</v>
      </c>
      <c r="F162" s="26" t="n">
        <v>11549.8</v>
      </c>
      <c r="G162" s="25" t="n">
        <v>0.23</v>
      </c>
      <c r="H162" s="25" t="n">
        <v>1</v>
      </c>
      <c r="I162" s="26" t="n">
        <v>2656.45</v>
      </c>
    </row>
    <row r="163">
      <c r="A163" s="13" t="inlineStr">
        <is>
          <t>eap-6_11</t>
        </is>
      </c>
      <c r="B163" s="13" t="inlineStr">
        <is>
          <t>CPU-DIVER-ATI-065</t>
        </is>
      </c>
      <c r="C163" s="13" t="inlineStr">
        <is>
          <t>Cerqueiro</t>
        </is>
      </c>
      <c r="D163" s="24" t="inlineStr">
        <is>
          <t>DIRETO</t>
        </is>
      </c>
      <c r="E163" s="25" t="n">
        <v>3</v>
      </c>
      <c r="F163" s="26" t="n">
        <v>29703.51</v>
      </c>
      <c r="G163" s="25" t="n">
        <v>0.23</v>
      </c>
      <c r="H163" s="25" t="n">
        <v>1</v>
      </c>
      <c r="I163" s="26" t="n">
        <v>6831.81</v>
      </c>
    </row>
    <row r="164">
      <c r="A164" s="13" t="inlineStr">
        <is>
          <t>eap-6_11</t>
        </is>
      </c>
      <c r="B164" s="13" t="inlineStr">
        <is>
          <t>EQ-E0001</t>
        </is>
      </c>
      <c r="C164" s="13" t="inlineStr">
        <is>
          <t>Automóvel (veículo leve) [EQ]</t>
        </is>
      </c>
      <c r="D164" s="74" t="inlineStr">
        <is>
          <t>EQ</t>
        </is>
      </c>
      <c r="E164" s="25" t="n">
        <v>1</v>
      </c>
      <c r="F164" s="26" t="n">
        <v>3872</v>
      </c>
      <c r="G164" s="25" t="n">
        <v>0.23</v>
      </c>
      <c r="H164" s="25" t="n">
        <v>1</v>
      </c>
      <c r="I164" s="26" t="n">
        <v>890.5599999999999</v>
      </c>
    </row>
    <row r="165">
      <c r="A165" s="13" t="inlineStr">
        <is>
          <t>eap-6_11</t>
        </is>
      </c>
      <c r="B165" s="13" t="inlineStr">
        <is>
          <t>EQ-E0001</t>
        </is>
      </c>
      <c r="C165" s="28" t="inlineStr">
        <is>
          <t>Diesel — Automóvel (veículo leve)</t>
        </is>
      </c>
      <c r="D165" s="75" t="inlineStr">
        <is>
          <t>COMB</t>
        </is>
      </c>
      <c r="E165" s="25" t="n">
        <v>1</v>
      </c>
      <c r="F165" s="26" t="n">
        <v>1020.34</v>
      </c>
      <c r="G165" s="25" t="n">
        <v>0.23</v>
      </c>
      <c r="H165" s="25" t="n">
        <v>1</v>
      </c>
      <c r="I165" s="26" t="n">
        <v>234.68</v>
      </c>
    </row>
    <row r="166">
      <c r="A166" s="20" t="inlineStr">
        <is>
          <t>Subtotal eap-6_11</t>
        </is>
      </c>
      <c r="B166" s="21" t="n"/>
      <c r="C166" s="21" t="n"/>
      <c r="D166" s="21" t="n"/>
      <c r="E166" s="21" t="n"/>
      <c r="F166" s="21" t="n"/>
      <c r="G166" s="21" t="n"/>
      <c r="H166" s="21" t="n"/>
      <c r="I166" s="22" t="n">
        <v>10579.54</v>
      </c>
    </row>
    <row r="167">
      <c r="A167" s="9" t="inlineStr">
        <is>
          <t>eap-3_2 — Carregamento e transporte de material de demolição para bota fora interno ao TBR070 em basculante de 14m³ - DMT até 4 km</t>
        </is>
      </c>
    </row>
    <row r="168">
      <c r="A168" s="11" t="inlineStr">
        <is>
          <t>eap-3_2</t>
        </is>
      </c>
      <c r="B168" s="11" t="inlineStr">
        <is>
          <t>CPU-TERRA-ESCO-CARGA-1CAT-DMT2000</t>
        </is>
      </c>
      <c r="C168" s="11" t="inlineStr">
        <is>
          <t>Operador de Escavadeira</t>
        </is>
      </c>
      <c r="D168" s="15" t="inlineStr">
        <is>
          <t>DIRETO</t>
        </is>
      </c>
      <c r="E168" s="16" t="n">
        <v>1</v>
      </c>
      <c r="F168" s="17" t="n">
        <v>10300</v>
      </c>
      <c r="G168" s="16" t="n">
        <v>0.23</v>
      </c>
      <c r="H168" s="16" t="n">
        <v>1</v>
      </c>
      <c r="I168" s="17" t="n">
        <v>2369</v>
      </c>
    </row>
    <row r="169">
      <c r="A169" s="11" t="inlineStr">
        <is>
          <t>eap-3_2</t>
        </is>
      </c>
      <c r="B169" s="11" t="inlineStr">
        <is>
          <t>CPU-TERRA-ESCO-CARGA-1CAT-DMT2000</t>
        </is>
      </c>
      <c r="C169" s="11" t="inlineStr">
        <is>
          <t>Ajudante</t>
        </is>
      </c>
      <c r="D169" s="15" t="inlineStr">
        <is>
          <t>DIRETO</t>
        </is>
      </c>
      <c r="E169" s="16" t="n">
        <v>1</v>
      </c>
      <c r="F169" s="17" t="n">
        <v>4209.32</v>
      </c>
      <c r="G169" s="16" t="n">
        <v>0.23</v>
      </c>
      <c r="H169" s="16" t="n">
        <v>1</v>
      </c>
      <c r="I169" s="17" t="n">
        <v>968.14</v>
      </c>
    </row>
    <row r="170">
      <c r="A170" s="11" t="inlineStr">
        <is>
          <t>eap-3_2</t>
        </is>
      </c>
      <c r="B170" s="11" t="inlineStr">
        <is>
          <t>CPU-TERRA-ESCO-CARGA-1CAT-DMT2000</t>
        </is>
      </c>
      <c r="C170" s="11" t="inlineStr">
        <is>
          <t>Encarregado de Frente</t>
        </is>
      </c>
      <c r="D170" s="15" t="inlineStr">
        <is>
          <t>DIRETO</t>
        </is>
      </c>
      <c r="E170" s="16" t="n">
        <v>1</v>
      </c>
      <c r="F170" s="17" t="n">
        <v>7500</v>
      </c>
      <c r="G170" s="16" t="n">
        <v>0.23</v>
      </c>
      <c r="H170" s="16" t="n">
        <v>1</v>
      </c>
      <c r="I170" s="17" t="n">
        <v>1725</v>
      </c>
    </row>
    <row r="171">
      <c r="A171" s="11" t="inlineStr">
        <is>
          <t>eap-3_2</t>
        </is>
      </c>
      <c r="B171" s="11" t="inlineStr">
        <is>
          <t>CPU-TERRA-ESCO-CARGA-1CAT-DMT2000</t>
        </is>
      </c>
      <c r="C171" s="11" t="inlineStr">
        <is>
          <t>Motorista de Caminhão Basculante</t>
        </is>
      </c>
      <c r="D171" s="15" t="inlineStr">
        <is>
          <t>DIRETO</t>
        </is>
      </c>
      <c r="E171" s="16" t="n">
        <v>7</v>
      </c>
      <c r="F171" s="17" t="n">
        <v>44388.19</v>
      </c>
      <c r="G171" s="16" t="n">
        <v>0.23</v>
      </c>
      <c r="H171" s="16" t="n">
        <v>1</v>
      </c>
      <c r="I171" s="17" t="n">
        <v>10209.28</v>
      </c>
    </row>
    <row r="172">
      <c r="A172" s="11" t="inlineStr">
        <is>
          <t>eap-3_2</t>
        </is>
      </c>
      <c r="B172" s="11" t="inlineStr">
        <is>
          <t>EQ-E0015</t>
        </is>
      </c>
      <c r="C172" s="11" t="inlineStr">
        <is>
          <t>Distribuidor de Brita [EQ]</t>
        </is>
      </c>
      <c r="D172" s="72" t="inlineStr">
        <is>
          <t>EQ</t>
        </is>
      </c>
      <c r="E172" s="16" t="n">
        <v>1</v>
      </c>
      <c r="F172" s="17" t="n">
        <v>3449.6</v>
      </c>
      <c r="G172" s="16" t="n">
        <v>0.23</v>
      </c>
      <c r="H172" s="16" t="n">
        <v>1</v>
      </c>
      <c r="I172" s="17" t="n">
        <v>793.41</v>
      </c>
    </row>
    <row r="173">
      <c r="A173" s="11" t="inlineStr">
        <is>
          <t>eap-3_2</t>
        </is>
      </c>
      <c r="B173" s="11" t="inlineStr">
        <is>
          <t>EQ-E0015</t>
        </is>
      </c>
      <c r="C173" s="19" t="inlineStr">
        <is>
          <t>Diesel — Distribuidor de Brita</t>
        </is>
      </c>
      <c r="D173" s="73" t="inlineStr">
        <is>
          <t>COMB</t>
        </is>
      </c>
      <c r="E173" s="16" t="n">
        <v>1</v>
      </c>
      <c r="F173" s="17" t="n">
        <v>1913.14</v>
      </c>
      <c r="G173" s="16" t="n">
        <v>0.23</v>
      </c>
      <c r="H173" s="16" t="n">
        <v>1</v>
      </c>
      <c r="I173" s="17" t="n">
        <v>440.02</v>
      </c>
    </row>
    <row r="174">
      <c r="A174" s="11" t="inlineStr">
        <is>
          <t>eap-3_2</t>
        </is>
      </c>
      <c r="B174" s="11" t="inlineStr">
        <is>
          <t>EQ-E0002</t>
        </is>
      </c>
      <c r="C174" s="11" t="inlineStr">
        <is>
          <t>Betoneira 400L [EQ]</t>
        </is>
      </c>
      <c r="D174" s="72" t="inlineStr">
        <is>
          <t>EQ</t>
        </is>
      </c>
      <c r="E174" s="16" t="n">
        <v>7</v>
      </c>
      <c r="F174" s="17" t="n">
        <v>607.2</v>
      </c>
      <c r="G174" s="16" t="n">
        <v>0.23</v>
      </c>
      <c r="H174" s="16" t="n">
        <v>1</v>
      </c>
      <c r="I174" s="17" t="n">
        <v>139.66</v>
      </c>
    </row>
    <row r="175">
      <c r="A175" s="11" t="inlineStr">
        <is>
          <t>eap-3_2</t>
        </is>
      </c>
      <c r="B175" s="11" t="inlineStr">
        <is>
          <t>EQ-E0002</t>
        </is>
      </c>
      <c r="C175" s="19" t="inlineStr">
        <is>
          <t>Diesel — Betoneira 400L</t>
        </is>
      </c>
      <c r="D175" s="73" t="inlineStr">
        <is>
          <t>COMB</t>
        </is>
      </c>
      <c r="E175" s="16" t="n">
        <v>7</v>
      </c>
      <c r="F175" s="17" t="n">
        <v>1913.14</v>
      </c>
      <c r="G175" s="16" t="n">
        <v>0.23</v>
      </c>
      <c r="H175" s="16" t="n">
        <v>1</v>
      </c>
      <c r="I175" s="17" t="n">
        <v>440.02</v>
      </c>
    </row>
    <row r="176">
      <c r="A176" s="20" t="inlineStr">
        <is>
          <t>Subtotal eap-3_2</t>
        </is>
      </c>
      <c r="B176" s="21" t="n"/>
      <c r="C176" s="21" t="n"/>
      <c r="D176" s="21" t="n"/>
      <c r="E176" s="21" t="n"/>
      <c r="F176" s="21" t="n"/>
      <c r="G176" s="21" t="n"/>
      <c r="H176" s="21" t="n"/>
      <c r="I176" s="22" t="n">
        <v>20058.77</v>
      </c>
    </row>
    <row r="177">
      <c r="A177" s="9" t="inlineStr">
        <is>
          <t>eap-6_4 — Pintura de setas e zebrados com termoplástico por extrusão - espessura de 3,0 mm</t>
        </is>
      </c>
    </row>
    <row r="178">
      <c r="A178" s="13" t="inlineStr">
        <is>
          <t>eap-6_4</t>
        </is>
      </c>
      <c r="B178" s="13" t="inlineStr">
        <is>
          <t>CPU-TERRA-REGULARIZACAO-SUBLEITO</t>
        </is>
      </c>
      <c r="C178" s="13" t="inlineStr">
        <is>
          <t>Operador de Motoniveladora</t>
        </is>
      </c>
      <c r="D178" s="24" t="inlineStr">
        <is>
          <t>DIRETO</t>
        </is>
      </c>
      <c r="E178" s="25" t="n">
        <v>1</v>
      </c>
      <c r="F178" s="26" t="n">
        <v>17356.25</v>
      </c>
      <c r="G178" s="25" t="n">
        <v>0.23</v>
      </c>
      <c r="H178" s="25" t="n">
        <v>1</v>
      </c>
      <c r="I178" s="26" t="n">
        <v>3991.94</v>
      </c>
    </row>
    <row r="179">
      <c r="A179" s="13" t="inlineStr">
        <is>
          <t>eap-6_4</t>
        </is>
      </c>
      <c r="B179" s="13" t="inlineStr">
        <is>
          <t>CPU-TERRA-REGULARIZACAO-SUBLEITO</t>
        </is>
      </c>
      <c r="C179" s="13" t="inlineStr">
        <is>
          <t>Operador de Rolo Compactador</t>
        </is>
      </c>
      <c r="D179" s="24" t="inlineStr">
        <is>
          <t>DIRETO</t>
        </is>
      </c>
      <c r="E179" s="25" t="n">
        <v>1</v>
      </c>
      <c r="F179" s="26" t="n">
        <v>10685.34</v>
      </c>
      <c r="G179" s="25" t="n">
        <v>0.23</v>
      </c>
      <c r="H179" s="25" t="n">
        <v>1</v>
      </c>
      <c r="I179" s="26" t="n">
        <v>2457.63</v>
      </c>
    </row>
    <row r="180">
      <c r="A180" s="13" t="inlineStr">
        <is>
          <t>eap-6_4</t>
        </is>
      </c>
      <c r="B180" s="13" t="inlineStr">
        <is>
          <t>EQ-MOTONIVEL-140K</t>
        </is>
      </c>
      <c r="C180" s="13" t="inlineStr">
        <is>
          <t>Motoniveladora 140K [EQ]</t>
        </is>
      </c>
      <c r="D180" s="74" t="inlineStr">
        <is>
          <t>EQ</t>
        </is>
      </c>
      <c r="E180" s="25" t="n">
        <v>1</v>
      </c>
      <c r="F180" s="26" t="n">
        <v>44816.64</v>
      </c>
      <c r="G180" s="25" t="n">
        <v>0.23</v>
      </c>
      <c r="H180" s="25" t="n">
        <v>1</v>
      </c>
      <c r="I180" s="26" t="n">
        <v>10307.83</v>
      </c>
    </row>
    <row r="181">
      <c r="A181" s="13" t="inlineStr">
        <is>
          <t>eap-6_4</t>
        </is>
      </c>
      <c r="B181" s="13" t="inlineStr">
        <is>
          <t>EQ-MOTONIVEL-140K</t>
        </is>
      </c>
      <c r="C181" s="28" t="inlineStr">
        <is>
          <t>Diesel — Motoniveladora 140K</t>
        </is>
      </c>
      <c r="D181" s="75" t="inlineStr">
        <is>
          <t>COMB</t>
        </is>
      </c>
      <c r="E181" s="25" t="n">
        <v>1</v>
      </c>
      <c r="F181" s="26" t="n">
        <v>14029.71</v>
      </c>
      <c r="G181" s="25" t="n">
        <v>0.23</v>
      </c>
      <c r="H181" s="25" t="n">
        <v>1</v>
      </c>
      <c r="I181" s="26" t="n">
        <v>3226.83</v>
      </c>
    </row>
    <row r="182">
      <c r="A182" s="13" t="inlineStr">
        <is>
          <t>eap-6_4</t>
        </is>
      </c>
      <c r="B182" s="13" t="inlineStr">
        <is>
          <t>EQ-ROLO-LISO</t>
        </is>
      </c>
      <c r="C182" s="13" t="inlineStr">
        <is>
          <t>Rolo compactador liso [EQ]</t>
        </is>
      </c>
      <c r="D182" s="74" t="inlineStr">
        <is>
          <t>EQ</t>
        </is>
      </c>
      <c r="E182" s="25" t="n">
        <v>1</v>
      </c>
      <c r="F182" s="26" t="n">
        <v>15840</v>
      </c>
      <c r="G182" s="25" t="n">
        <v>0.23</v>
      </c>
      <c r="H182" s="25" t="n">
        <v>1</v>
      </c>
      <c r="I182" s="26" t="n">
        <v>3643.2</v>
      </c>
    </row>
    <row r="183">
      <c r="A183" s="13" t="inlineStr">
        <is>
          <t>eap-6_4</t>
        </is>
      </c>
      <c r="B183" s="13" t="inlineStr">
        <is>
          <t>EQ-ROLO-LISO</t>
        </is>
      </c>
      <c r="C183" s="28" t="inlineStr">
        <is>
          <t>Diesel — Rolo compactador liso</t>
        </is>
      </c>
      <c r="D183" s="75" t="inlineStr">
        <is>
          <t>COMB</t>
        </is>
      </c>
      <c r="E183" s="25" t="n">
        <v>1</v>
      </c>
      <c r="F183" s="26" t="n">
        <v>8928</v>
      </c>
      <c r="G183" s="25" t="n">
        <v>0.23</v>
      </c>
      <c r="H183" s="25" t="n">
        <v>1</v>
      </c>
      <c r="I183" s="26" t="n">
        <v>2053.44</v>
      </c>
    </row>
    <row r="184">
      <c r="A184" s="20" t="inlineStr">
        <is>
          <t>Subtotal eap-6_4</t>
        </is>
      </c>
      <c r="B184" s="21" t="n"/>
      <c r="C184" s="21" t="n"/>
      <c r="D184" s="21" t="n"/>
      <c r="E184" s="21" t="n"/>
      <c r="F184" s="21" t="n"/>
      <c r="G184" s="21" t="n"/>
      <c r="H184" s="21" t="n"/>
      <c r="I184" s="22" t="n">
        <v>24925.32</v>
      </c>
    </row>
    <row r="185">
      <c r="A185" s="9" t="inlineStr">
        <is>
          <t>eap-6_6 — Placa em alumínio composto, espessura de 3,0 mm, modulada, aérea - película retrorrefletiva tipo III + III - fornecimento e implantação</t>
        </is>
      </c>
    </row>
    <row r="186">
      <c r="A186" s="11" t="inlineStr">
        <is>
          <t>eap-6_6</t>
        </is>
      </c>
      <c r="B186" s="11" t="inlineStr">
        <is>
          <t>CPU-PAVIM-ATI-058</t>
        </is>
      </c>
      <c r="C186" s="11" t="inlineStr">
        <is>
          <t>Operador de Vibroacabadora</t>
        </is>
      </c>
      <c r="D186" s="15" t="inlineStr">
        <is>
          <t>DIRETO</t>
        </is>
      </c>
      <c r="E186" s="16" t="n">
        <v>1</v>
      </c>
      <c r="F186" s="17" t="n">
        <v>8003.31</v>
      </c>
      <c r="G186" s="16" t="n">
        <v>0.23</v>
      </c>
      <c r="H186" s="16" t="n">
        <v>1</v>
      </c>
      <c r="I186" s="17" t="n">
        <v>1840.76</v>
      </c>
    </row>
    <row r="187">
      <c r="A187" s="11" t="inlineStr">
        <is>
          <t>eap-6_6</t>
        </is>
      </c>
      <c r="B187" s="11" t="inlineStr">
        <is>
          <t>CPU-PAVIM-ATI-058</t>
        </is>
      </c>
      <c r="C187" s="11" t="inlineStr">
        <is>
          <t>Operador de Rolo Compactador</t>
        </is>
      </c>
      <c r="D187" s="15" t="inlineStr">
        <is>
          <t>DIRETO</t>
        </is>
      </c>
      <c r="E187" s="16" t="n">
        <v>1</v>
      </c>
      <c r="F187" s="17" t="n">
        <v>10685.34</v>
      </c>
      <c r="G187" s="16" t="n">
        <v>0.23</v>
      </c>
      <c r="H187" s="16" t="n">
        <v>1</v>
      </c>
      <c r="I187" s="17" t="n">
        <v>2457.63</v>
      </c>
    </row>
    <row r="188">
      <c r="A188" s="11" t="inlineStr">
        <is>
          <t>eap-6_6</t>
        </is>
      </c>
      <c r="B188" s="11" t="inlineStr">
        <is>
          <t>CPU-PAVIM-ATI-058</t>
        </is>
      </c>
      <c r="C188" s="11" t="inlineStr">
        <is>
          <t>Operador de Rolo de Pneu</t>
        </is>
      </c>
      <c r="D188" s="15" t="inlineStr">
        <is>
          <t>DIRETO</t>
        </is>
      </c>
      <c r="E188" s="16" t="n">
        <v>1</v>
      </c>
      <c r="F188" s="17" t="n">
        <v>13892.78</v>
      </c>
      <c r="G188" s="16" t="n">
        <v>0.23</v>
      </c>
      <c r="H188" s="16" t="n">
        <v>1</v>
      </c>
      <c r="I188" s="17" t="n">
        <v>3195.34</v>
      </c>
    </row>
    <row r="189">
      <c r="A189" s="11" t="inlineStr">
        <is>
          <t>eap-6_6</t>
        </is>
      </c>
      <c r="B189" s="11" t="inlineStr">
        <is>
          <t>CPU-PAVIM-ATI-058</t>
        </is>
      </c>
      <c r="C189" s="11" t="inlineStr">
        <is>
          <t>Motorista de Caminhão Basculante</t>
        </is>
      </c>
      <c r="D189" s="15" t="inlineStr">
        <is>
          <t>DIRETO</t>
        </is>
      </c>
      <c r="E189" s="16" t="n">
        <v>1</v>
      </c>
      <c r="F189" s="17" t="n">
        <v>10685.34</v>
      </c>
      <c r="G189" s="16" t="n">
        <v>0.23</v>
      </c>
      <c r="H189" s="16" t="n">
        <v>1</v>
      </c>
      <c r="I189" s="17" t="n">
        <v>2457.63</v>
      </c>
    </row>
    <row r="190">
      <c r="A190" s="11" t="inlineStr">
        <is>
          <t>eap-6_6</t>
        </is>
      </c>
      <c r="B190" s="11" t="inlineStr">
        <is>
          <t>CPU-PAVIM-ATI-058</t>
        </is>
      </c>
      <c r="C190" s="11" t="inlineStr">
        <is>
          <t>Encarregado de Capa</t>
        </is>
      </c>
      <c r="D190" s="15" t="inlineStr">
        <is>
          <t>DIRETO</t>
        </is>
      </c>
      <c r="E190" s="16" t="n">
        <v>1</v>
      </c>
      <c r="F190" s="17" t="n">
        <v>15569.81</v>
      </c>
      <c r="G190" s="16" t="n">
        <v>0.23</v>
      </c>
      <c r="H190" s="16" t="n">
        <v>1</v>
      </c>
      <c r="I190" s="17" t="n">
        <v>3581.06</v>
      </c>
    </row>
    <row r="191">
      <c r="A191" s="11" t="inlineStr">
        <is>
          <t>eap-6_6</t>
        </is>
      </c>
      <c r="B191" s="11" t="inlineStr">
        <is>
          <t>EQ-E0041</t>
        </is>
      </c>
      <c r="C191" s="11" t="inlineStr">
        <is>
          <t>Vibroacabadora de asfalto sobre esteiras - 82 kW [EQ]</t>
        </is>
      </c>
      <c r="D191" s="72" t="inlineStr">
        <is>
          <t>EQ</t>
        </is>
      </c>
      <c r="E191" s="16" t="n">
        <v>1</v>
      </c>
      <c r="F191" s="17" t="n">
        <v>18726.4</v>
      </c>
      <c r="G191" s="16" t="n">
        <v>0.23</v>
      </c>
      <c r="H191" s="16" t="n">
        <v>1</v>
      </c>
      <c r="I191" s="17" t="n">
        <v>4307.07</v>
      </c>
    </row>
    <row r="192">
      <c r="A192" s="11" t="inlineStr">
        <is>
          <t>eap-6_6</t>
        </is>
      </c>
      <c r="B192" s="11" t="inlineStr">
        <is>
          <t>EQ-E0041</t>
        </is>
      </c>
      <c r="C192" s="19" t="inlineStr">
        <is>
          <t>Diesel — Vibroacabadora de asfalto sobre esteiras - 82 kW</t>
        </is>
      </c>
      <c r="D192" s="73" t="inlineStr">
        <is>
          <t>COMB</t>
        </is>
      </c>
      <c r="E192" s="16" t="n">
        <v>1</v>
      </c>
      <c r="F192" s="17" t="n">
        <v>10203.43</v>
      </c>
      <c r="G192" s="16" t="n">
        <v>0.23</v>
      </c>
      <c r="H192" s="16" t="n">
        <v>1</v>
      </c>
      <c r="I192" s="17" t="n">
        <v>2346.79</v>
      </c>
    </row>
    <row r="193">
      <c r="A193" s="11" t="inlineStr">
        <is>
          <t>eap-6_6</t>
        </is>
      </c>
      <c r="B193" s="11" t="inlineStr">
        <is>
          <t>EQ-E0036</t>
        </is>
      </c>
      <c r="C193" s="11" t="inlineStr">
        <is>
          <t>Trator de esteiras 30T [EQ]</t>
        </is>
      </c>
      <c r="D193" s="72" t="inlineStr">
        <is>
          <t>EQ</t>
        </is>
      </c>
      <c r="E193" s="16" t="n">
        <v>1</v>
      </c>
      <c r="F193" s="17" t="n">
        <v>17740.8</v>
      </c>
      <c r="G193" s="16" t="n">
        <v>0.23</v>
      </c>
      <c r="H193" s="16" t="n">
        <v>1</v>
      </c>
      <c r="I193" s="17" t="n">
        <v>4080.38</v>
      </c>
    </row>
    <row r="194">
      <c r="A194" s="11" t="inlineStr">
        <is>
          <t>eap-6_6</t>
        </is>
      </c>
      <c r="B194" s="11" t="inlineStr">
        <is>
          <t>EQ-E0036</t>
        </is>
      </c>
      <c r="C194" s="19" t="inlineStr">
        <is>
          <t>Diesel — Trator de esteiras 30T</t>
        </is>
      </c>
      <c r="D194" s="73" t="inlineStr">
        <is>
          <t>COMB</t>
        </is>
      </c>
      <c r="E194" s="16" t="n">
        <v>1</v>
      </c>
      <c r="F194" s="17" t="n">
        <v>25508.57</v>
      </c>
      <c r="G194" s="16" t="n">
        <v>0.23</v>
      </c>
      <c r="H194" s="16" t="n">
        <v>1</v>
      </c>
      <c r="I194" s="17" t="n">
        <v>5866.97</v>
      </c>
    </row>
    <row r="195">
      <c r="A195" s="11" t="inlineStr">
        <is>
          <t>eap-6_6</t>
        </is>
      </c>
      <c r="B195" s="11" t="inlineStr">
        <is>
          <t>EQ-E0037</t>
        </is>
      </c>
      <c r="C195" s="11" t="inlineStr">
        <is>
          <t>Trator de esteiras 40T [EQ]</t>
        </is>
      </c>
      <c r="D195" s="72" t="inlineStr">
        <is>
          <t>EQ</t>
        </is>
      </c>
      <c r="E195" s="16" t="n">
        <v>1</v>
      </c>
      <c r="F195" s="17" t="n">
        <v>20421.63</v>
      </c>
      <c r="G195" s="16" t="n">
        <v>0.23</v>
      </c>
      <c r="H195" s="16" t="n">
        <v>1</v>
      </c>
      <c r="I195" s="17" t="n">
        <v>4696.97</v>
      </c>
    </row>
    <row r="196">
      <c r="A196" s="11" t="inlineStr">
        <is>
          <t>eap-6_6</t>
        </is>
      </c>
      <c r="B196" s="11" t="inlineStr">
        <is>
          <t>EQ-E0037</t>
        </is>
      </c>
      <c r="C196" s="19" t="inlineStr">
        <is>
          <t>Diesel — Trator de esteiras 40T</t>
        </is>
      </c>
      <c r="D196" s="73" t="inlineStr">
        <is>
          <t>COMB</t>
        </is>
      </c>
      <c r="E196" s="16" t="n">
        <v>1</v>
      </c>
      <c r="F196" s="17" t="n">
        <v>30610.29</v>
      </c>
      <c r="G196" s="16" t="n">
        <v>0.23</v>
      </c>
      <c r="H196" s="16" t="n">
        <v>1</v>
      </c>
      <c r="I196" s="17" t="n">
        <v>7040.37</v>
      </c>
    </row>
    <row r="197">
      <c r="A197" s="11" t="inlineStr">
        <is>
          <t>eap-6_6</t>
        </is>
      </c>
      <c r="B197" s="11" t="inlineStr">
        <is>
          <t>EQ-E0008</t>
        </is>
      </c>
      <c r="C197" s="11" t="inlineStr">
        <is>
          <t>Caminhão Basculante 16m³ [EQ]</t>
        </is>
      </c>
      <c r="D197" s="72" t="inlineStr">
        <is>
          <t>EQ</t>
        </is>
      </c>
      <c r="E197" s="16" t="n">
        <v>1</v>
      </c>
      <c r="F197" s="17" t="n">
        <v>40084.35</v>
      </c>
      <c r="G197" s="16" t="n">
        <v>0.23</v>
      </c>
      <c r="H197" s="16" t="n">
        <v>1</v>
      </c>
      <c r="I197" s="17" t="n">
        <v>9219.4</v>
      </c>
    </row>
    <row r="198">
      <c r="A198" s="11" t="inlineStr">
        <is>
          <t>eap-6_6</t>
        </is>
      </c>
      <c r="B198" s="11" t="inlineStr">
        <is>
          <t>EQ-E0008</t>
        </is>
      </c>
      <c r="C198" s="19" t="inlineStr">
        <is>
          <t>Diesel — Caminhão Basculante 16m³</t>
        </is>
      </c>
      <c r="D198" s="73" t="inlineStr">
        <is>
          <t>COMB</t>
        </is>
      </c>
      <c r="E198" s="16" t="n">
        <v>1</v>
      </c>
      <c r="F198" s="17" t="n">
        <v>3188.57</v>
      </c>
      <c r="G198" s="16" t="n">
        <v>0.23</v>
      </c>
      <c r="H198" s="16" t="n">
        <v>1</v>
      </c>
      <c r="I198" s="17" t="n">
        <v>733.37</v>
      </c>
    </row>
    <row r="199">
      <c r="A199" s="20" t="inlineStr">
        <is>
          <t>Subtotal eap-6_6</t>
        </is>
      </c>
      <c r="B199" s="21" t="n"/>
      <c r="C199" s="21" t="n"/>
      <c r="D199" s="21" t="n"/>
      <c r="E199" s="21" t="n"/>
      <c r="F199" s="21" t="n"/>
      <c r="G199" s="21" t="n"/>
      <c r="H199" s="21" t="n"/>
      <c r="I199" s="22" t="n">
        <v>49537.15</v>
      </c>
    </row>
    <row r="200">
      <c r="A200" s="9" t="inlineStr">
        <is>
          <t>eap-5_8 — Hidrossemeadura para cobertura de taludes</t>
        </is>
      </c>
    </row>
    <row r="201">
      <c r="A201" s="13" t="inlineStr">
        <is>
          <t>eap-5_8</t>
        </is>
      </c>
      <c r="B201" s="13" t="inlineStr">
        <is>
          <t>CPU-TERRA-ATI-080</t>
        </is>
      </c>
      <c r="C201" s="13" t="inlineStr">
        <is>
          <t>Ajudante</t>
        </is>
      </c>
      <c r="D201" s="24" t="inlineStr">
        <is>
          <t>DIRETO</t>
        </is>
      </c>
      <c r="E201" s="25" t="n">
        <v>4</v>
      </c>
      <c r="F201" s="26" t="n">
        <v>21046.6</v>
      </c>
      <c r="G201" s="25" t="n">
        <v>0.23</v>
      </c>
      <c r="H201" s="25" t="n">
        <v>1</v>
      </c>
      <c r="I201" s="26" t="n">
        <v>4840.72</v>
      </c>
    </row>
    <row r="202">
      <c r="A202" s="13" t="inlineStr">
        <is>
          <t>eap-5_8</t>
        </is>
      </c>
      <c r="B202" s="13" t="inlineStr">
        <is>
          <t>EQ-HIDROSSEMEADORA</t>
        </is>
      </c>
      <c r="C202" s="13" t="inlineStr">
        <is>
          <t>Hidrossemeadora rebocável [EQ]</t>
        </is>
      </c>
      <c r="D202" s="74" t="inlineStr">
        <is>
          <t>EQ</t>
        </is>
      </c>
      <c r="E202" s="25" t="n">
        <v>1</v>
      </c>
      <c r="F202" s="26" t="n">
        <v>6160</v>
      </c>
      <c r="G202" s="25" t="n">
        <v>0.23</v>
      </c>
      <c r="H202" s="25" t="n">
        <v>1</v>
      </c>
      <c r="I202" s="26" t="n">
        <v>1416.8</v>
      </c>
    </row>
    <row r="203">
      <c r="A203" s="20" t="inlineStr">
        <is>
          <t>Subtotal eap-5_8</t>
        </is>
      </c>
      <c r="B203" s="21" t="n"/>
      <c r="C203" s="21" t="n"/>
      <c r="D203" s="21" t="n"/>
      <c r="E203" s="21" t="n"/>
      <c r="F203" s="21" t="n"/>
      <c r="G203" s="21" t="n"/>
      <c r="H203" s="21" t="n"/>
      <c r="I203" s="22" t="n">
        <v>6257.27</v>
      </c>
    </row>
    <row r="204">
      <c r="A204" s="9" t="inlineStr">
        <is>
          <t>eap-3_3 — Regularização de bota-fora com espalhamento e compactação</t>
        </is>
      </c>
    </row>
    <row r="205">
      <c r="A205" s="11" t="inlineStr">
        <is>
          <t>eap-3_3</t>
        </is>
      </c>
      <c r="B205" s="11" t="inlineStr">
        <is>
          <t>CPU-TERRA-ATI-019</t>
        </is>
      </c>
      <c r="C205" s="11" t="inlineStr">
        <is>
          <t>Operador de Motoniveladora</t>
        </is>
      </c>
      <c r="D205" s="15" t="inlineStr">
        <is>
          <t>DIRETO</t>
        </is>
      </c>
      <c r="E205" s="16" t="n">
        <v>1</v>
      </c>
      <c r="F205" s="17" t="n">
        <v>17356.25</v>
      </c>
      <c r="G205" s="16" t="n">
        <v>0.23</v>
      </c>
      <c r="H205" s="16" t="n">
        <v>1</v>
      </c>
      <c r="I205" s="17" t="n">
        <v>3991.94</v>
      </c>
    </row>
    <row r="206">
      <c r="A206" s="11" t="inlineStr">
        <is>
          <t>eap-3_3</t>
        </is>
      </c>
      <c r="B206" s="11" t="inlineStr">
        <is>
          <t>CPU-TERRA-ATI-019</t>
        </is>
      </c>
      <c r="C206" s="11" t="inlineStr">
        <is>
          <t>Operador de Rolo Compactador</t>
        </is>
      </c>
      <c r="D206" s="15" t="inlineStr">
        <is>
          <t>DIRETO</t>
        </is>
      </c>
      <c r="E206" s="16" t="n">
        <v>1</v>
      </c>
      <c r="F206" s="17" t="n">
        <v>10685.34</v>
      </c>
      <c r="G206" s="16" t="n">
        <v>0.23</v>
      </c>
      <c r="H206" s="16" t="n">
        <v>1</v>
      </c>
      <c r="I206" s="17" t="n">
        <v>2457.63</v>
      </c>
    </row>
    <row r="207">
      <c r="A207" s="11" t="inlineStr">
        <is>
          <t>eap-3_3</t>
        </is>
      </c>
      <c r="B207" s="11" t="inlineStr">
        <is>
          <t>CPU-TERRA-ATI-019</t>
        </is>
      </c>
      <c r="C207" s="11" t="inlineStr">
        <is>
          <t>Operador de Rolo Compactador</t>
        </is>
      </c>
      <c r="D207" s="15" t="inlineStr">
        <is>
          <t>DIRETO</t>
        </is>
      </c>
      <c r="E207" s="16" t="n">
        <v>1</v>
      </c>
      <c r="F207" s="17" t="n">
        <v>10685.34</v>
      </c>
      <c r="G207" s="16" t="n">
        <v>0.23</v>
      </c>
      <c r="H207" s="16" t="n">
        <v>1</v>
      </c>
      <c r="I207" s="17" t="n">
        <v>2457.63</v>
      </c>
    </row>
    <row r="208">
      <c r="A208" s="11" t="inlineStr">
        <is>
          <t>eap-3_3</t>
        </is>
      </c>
      <c r="B208" s="11" t="inlineStr">
        <is>
          <t>CPU-TERRA-ATI-019</t>
        </is>
      </c>
      <c r="C208" s="11" t="inlineStr">
        <is>
          <t>Encarregado de Terraplenagem</t>
        </is>
      </c>
      <c r="D208" s="15" t="inlineStr">
        <is>
          <t>DIRETO</t>
        </is>
      </c>
      <c r="E208" s="16" t="n">
        <v>1</v>
      </c>
      <c r="F208" s="17" t="n">
        <v>11549.8</v>
      </c>
      <c r="G208" s="16" t="n">
        <v>0.23</v>
      </c>
      <c r="H208" s="16" t="n">
        <v>1</v>
      </c>
      <c r="I208" s="17" t="n">
        <v>2656.45</v>
      </c>
    </row>
    <row r="209">
      <c r="A209" s="11" t="inlineStr">
        <is>
          <t>eap-3_3</t>
        </is>
      </c>
      <c r="B209" s="11" t="inlineStr">
        <is>
          <t>EQ-E0029</t>
        </is>
      </c>
      <c r="C209" s="11" t="inlineStr">
        <is>
          <t>Motoniveladora 140HP [EQ]</t>
        </is>
      </c>
      <c r="D209" s="72" t="inlineStr">
        <is>
          <t>EQ</t>
        </is>
      </c>
      <c r="E209" s="16" t="n">
        <v>1</v>
      </c>
      <c r="F209" s="17" t="n">
        <v>43326.98</v>
      </c>
      <c r="G209" s="16" t="n">
        <v>0.23</v>
      </c>
      <c r="H209" s="16" t="n">
        <v>1</v>
      </c>
      <c r="I209" s="17" t="n">
        <v>9965.209999999999</v>
      </c>
    </row>
    <row r="210">
      <c r="A210" s="11" t="inlineStr">
        <is>
          <t>eap-3_3</t>
        </is>
      </c>
      <c r="B210" s="11" t="inlineStr">
        <is>
          <t>EQ-E0029</t>
        </is>
      </c>
      <c r="C210" s="19" t="inlineStr">
        <is>
          <t>Diesel — Motoniveladora 140HP</t>
        </is>
      </c>
      <c r="D210" s="73" t="inlineStr">
        <is>
          <t>COMB</t>
        </is>
      </c>
      <c r="E210" s="16" t="n">
        <v>1</v>
      </c>
      <c r="F210" s="17" t="n">
        <v>14029.71</v>
      </c>
      <c r="G210" s="16" t="n">
        <v>0.23</v>
      </c>
      <c r="H210" s="16" t="n">
        <v>1</v>
      </c>
      <c r="I210" s="17" t="n">
        <v>3226.83</v>
      </c>
    </row>
    <row r="211">
      <c r="A211" s="11" t="inlineStr">
        <is>
          <t>eap-3_3</t>
        </is>
      </c>
      <c r="B211" s="11" t="inlineStr">
        <is>
          <t>EQ-E0035</t>
        </is>
      </c>
      <c r="C211" s="11" t="inlineStr">
        <is>
          <t>Trator de esteiras 20T [EQ]</t>
        </is>
      </c>
      <c r="D211" s="72" t="inlineStr">
        <is>
          <t>EQ</t>
        </is>
      </c>
      <c r="E211" s="16" t="n">
        <v>1</v>
      </c>
      <c r="F211" s="17" t="n">
        <v>21683.2</v>
      </c>
      <c r="G211" s="16" t="n">
        <v>0.23</v>
      </c>
      <c r="H211" s="16" t="n">
        <v>1</v>
      </c>
      <c r="I211" s="17" t="n">
        <v>4987.14</v>
      </c>
    </row>
    <row r="212">
      <c r="A212" s="11" t="inlineStr">
        <is>
          <t>eap-3_3</t>
        </is>
      </c>
      <c r="B212" s="11" t="inlineStr">
        <is>
          <t>EQ-E0035</t>
        </is>
      </c>
      <c r="C212" s="19" t="inlineStr">
        <is>
          <t>Diesel — Trator de esteiras 20T</t>
        </is>
      </c>
      <c r="D212" s="73" t="inlineStr">
        <is>
          <t>COMB</t>
        </is>
      </c>
      <c r="E212" s="16" t="n">
        <v>1</v>
      </c>
      <c r="F212" s="17" t="n">
        <v>22957.71</v>
      </c>
      <c r="G212" s="16" t="n">
        <v>0.23</v>
      </c>
      <c r="H212" s="16" t="n">
        <v>1</v>
      </c>
      <c r="I212" s="17" t="n">
        <v>5280.27</v>
      </c>
    </row>
    <row r="213">
      <c r="A213" s="11" t="inlineStr">
        <is>
          <t>eap-3_3</t>
        </is>
      </c>
      <c r="B213" s="11" t="inlineStr">
        <is>
          <t>EQ-E0010</t>
        </is>
      </c>
      <c r="C213" s="11" t="inlineStr">
        <is>
          <t>Caminhão Pipa 10.000L [EQ]</t>
        </is>
      </c>
      <c r="D213" s="72" t="inlineStr">
        <is>
          <t>EQ</t>
        </is>
      </c>
      <c r="E213" s="16" t="n">
        <v>1</v>
      </c>
      <c r="F213" s="17" t="n">
        <v>19360</v>
      </c>
      <c r="G213" s="16" t="n">
        <v>0.23</v>
      </c>
      <c r="H213" s="16" t="n">
        <v>1</v>
      </c>
      <c r="I213" s="17" t="n">
        <v>4452.8</v>
      </c>
    </row>
    <row r="214">
      <c r="A214" s="11" t="inlineStr">
        <is>
          <t>eap-3_3</t>
        </is>
      </c>
      <c r="B214" s="11" t="inlineStr">
        <is>
          <t>EQ-E0010</t>
        </is>
      </c>
      <c r="C214" s="19" t="inlineStr">
        <is>
          <t>Diesel — Caminhão Pipa 10.000L</t>
        </is>
      </c>
      <c r="D214" s="73" t="inlineStr">
        <is>
          <t>COMB</t>
        </is>
      </c>
      <c r="E214" s="16" t="n">
        <v>1</v>
      </c>
      <c r="F214" s="17" t="n">
        <v>2550.86</v>
      </c>
      <c r="G214" s="16" t="n">
        <v>0.23</v>
      </c>
      <c r="H214" s="16" t="n">
        <v>1</v>
      </c>
      <c r="I214" s="17" t="n">
        <v>586.7</v>
      </c>
    </row>
    <row r="215">
      <c r="A215" s="20" t="inlineStr">
        <is>
          <t>Subtotal eap-3_3</t>
        </is>
      </c>
      <c r="B215" s="21" t="n"/>
      <c r="C215" s="21" t="n"/>
      <c r="D215" s="21" t="n"/>
      <c r="E215" s="21" t="n"/>
      <c r="F215" s="21" t="n"/>
      <c r="G215" s="21" t="n"/>
      <c r="H215" s="21" t="n"/>
      <c r="I215" s="22" t="n">
        <v>38761.54</v>
      </c>
    </row>
    <row r="216">
      <c r="A216" s="9" t="inlineStr">
        <is>
          <t>eap-6_3 — Tachão refletivo em plástico injetado - bidirecional - fornecimento e colocação</t>
        </is>
      </c>
    </row>
    <row r="217">
      <c r="A217" s="13" t="inlineStr">
        <is>
          <t>eap-6_3</t>
        </is>
      </c>
      <c r="B217" s="13" t="inlineStr">
        <is>
          <t>CPU-TERRA-ATI-005</t>
        </is>
      </c>
      <c r="C217" s="13" t="inlineStr">
        <is>
          <t>Topógrafo</t>
        </is>
      </c>
      <c r="D217" s="24" t="inlineStr">
        <is>
          <t>DIRETO</t>
        </is>
      </c>
      <c r="E217" s="25" t="n">
        <v>1</v>
      </c>
      <c r="F217" s="26" t="n">
        <v>18000</v>
      </c>
      <c r="G217" s="25" t="n">
        <v>5.06</v>
      </c>
      <c r="H217" s="25" t="n">
        <v>1</v>
      </c>
      <c r="I217" s="26" t="n">
        <v>91080</v>
      </c>
    </row>
    <row r="218">
      <c r="A218" s="13" t="inlineStr">
        <is>
          <t>eap-6_3</t>
        </is>
      </c>
      <c r="B218" s="13" t="inlineStr">
        <is>
          <t>CPU-TERRA-ATI-005</t>
        </is>
      </c>
      <c r="C218" s="13" t="inlineStr">
        <is>
          <t>Auxiliar de topografia</t>
        </is>
      </c>
      <c r="D218" s="24" t="inlineStr">
        <is>
          <t>DIRETO</t>
        </is>
      </c>
      <c r="E218" s="25" t="n">
        <v>2</v>
      </c>
      <c r="F218" s="26" t="n">
        <v>11420.64</v>
      </c>
      <c r="G218" s="25" t="n">
        <v>5.06</v>
      </c>
      <c r="H218" s="25" t="n">
        <v>1</v>
      </c>
      <c r="I218" s="26" t="n">
        <v>57788.44</v>
      </c>
    </row>
    <row r="219">
      <c r="A219" s="13" t="inlineStr">
        <is>
          <t>eap-6_3</t>
        </is>
      </c>
      <c r="B219" s="13" t="inlineStr">
        <is>
          <t>EQ-ESTACAO-TOTAL</t>
        </is>
      </c>
      <c r="C219" s="13" t="inlineStr">
        <is>
          <t>Estação Total [EQ]</t>
        </is>
      </c>
      <c r="D219" s="74" t="inlineStr">
        <is>
          <t>EQ</t>
        </is>
      </c>
      <c r="E219" s="25" t="n">
        <v>1</v>
      </c>
      <c r="F219" s="26" t="n">
        <v>2640</v>
      </c>
      <c r="G219" s="25" t="n">
        <v>5.06</v>
      </c>
      <c r="H219" s="25" t="n">
        <v>1</v>
      </c>
      <c r="I219" s="26" t="n">
        <v>13358.4</v>
      </c>
    </row>
    <row r="220">
      <c r="A220" s="20" t="inlineStr">
        <is>
          <t>Subtotal eap-6_3</t>
        </is>
      </c>
      <c r="B220" s="21" t="n"/>
      <c r="C220" s="21" t="n"/>
      <c r="D220" s="21" t="n"/>
      <c r="E220" s="21" t="n"/>
      <c r="F220" s="21" t="n"/>
      <c r="G220" s="21" t="n"/>
      <c r="H220" s="21" t="n"/>
      <c r="I220" s="22" t="n">
        <v>324440.7</v>
      </c>
    </row>
    <row r="221">
      <c r="A221" s="9" t="inlineStr">
        <is>
          <t>eap-6_7 — Placa em aço - película III + III - fornecimento e implantação</t>
        </is>
      </c>
    </row>
    <row r="222">
      <c r="A222" s="11" t="inlineStr">
        <is>
          <t>eap-6_7</t>
        </is>
      </c>
      <c r="B222" s="11" t="inlineStr">
        <is>
          <t>CPU-PAVIM-ATI-058</t>
        </is>
      </c>
      <c r="C222" s="11" t="inlineStr">
        <is>
          <t>Operador de Vibroacabadora</t>
        </is>
      </c>
      <c r="D222" s="15" t="inlineStr">
        <is>
          <t>DIRETO</t>
        </is>
      </c>
      <c r="E222" s="16" t="n">
        <v>1</v>
      </c>
      <c r="F222" s="17" t="n">
        <v>8003.31</v>
      </c>
      <c r="G222" s="16" t="n">
        <v>0.23</v>
      </c>
      <c r="H222" s="16" t="n">
        <v>1</v>
      </c>
      <c r="I222" s="17" t="n">
        <v>1840.76</v>
      </c>
    </row>
    <row r="223">
      <c r="A223" s="11" t="inlineStr">
        <is>
          <t>eap-6_7</t>
        </is>
      </c>
      <c r="B223" s="11" t="inlineStr">
        <is>
          <t>CPU-PAVIM-ATI-058</t>
        </is>
      </c>
      <c r="C223" s="11" t="inlineStr">
        <is>
          <t>Operador de Rolo Compactador</t>
        </is>
      </c>
      <c r="D223" s="15" t="inlineStr">
        <is>
          <t>DIRETO</t>
        </is>
      </c>
      <c r="E223" s="16" t="n">
        <v>1</v>
      </c>
      <c r="F223" s="17" t="n">
        <v>10685.34</v>
      </c>
      <c r="G223" s="16" t="n">
        <v>0.23</v>
      </c>
      <c r="H223" s="16" t="n">
        <v>1</v>
      </c>
      <c r="I223" s="17" t="n">
        <v>2457.63</v>
      </c>
    </row>
    <row r="224">
      <c r="A224" s="11" t="inlineStr">
        <is>
          <t>eap-6_7</t>
        </is>
      </c>
      <c r="B224" s="11" t="inlineStr">
        <is>
          <t>CPU-PAVIM-ATI-058</t>
        </is>
      </c>
      <c r="C224" s="11" t="inlineStr">
        <is>
          <t>Operador de Rolo de Pneu</t>
        </is>
      </c>
      <c r="D224" s="15" t="inlineStr">
        <is>
          <t>DIRETO</t>
        </is>
      </c>
      <c r="E224" s="16" t="n">
        <v>1</v>
      </c>
      <c r="F224" s="17" t="n">
        <v>13892.78</v>
      </c>
      <c r="G224" s="16" t="n">
        <v>0.23</v>
      </c>
      <c r="H224" s="16" t="n">
        <v>1</v>
      </c>
      <c r="I224" s="17" t="n">
        <v>3195.34</v>
      </c>
    </row>
    <row r="225">
      <c r="A225" s="11" t="inlineStr">
        <is>
          <t>eap-6_7</t>
        </is>
      </c>
      <c r="B225" s="11" t="inlineStr">
        <is>
          <t>CPU-PAVIM-ATI-058</t>
        </is>
      </c>
      <c r="C225" s="11" t="inlineStr">
        <is>
          <t>Motorista de Caminhão Basculante</t>
        </is>
      </c>
      <c r="D225" s="15" t="inlineStr">
        <is>
          <t>DIRETO</t>
        </is>
      </c>
      <c r="E225" s="16" t="n">
        <v>1</v>
      </c>
      <c r="F225" s="17" t="n">
        <v>10685.34</v>
      </c>
      <c r="G225" s="16" t="n">
        <v>0.23</v>
      </c>
      <c r="H225" s="16" t="n">
        <v>1</v>
      </c>
      <c r="I225" s="17" t="n">
        <v>2457.63</v>
      </c>
    </row>
    <row r="226">
      <c r="A226" s="11" t="inlineStr">
        <is>
          <t>eap-6_7</t>
        </is>
      </c>
      <c r="B226" s="11" t="inlineStr">
        <is>
          <t>CPU-PAVIM-ATI-058</t>
        </is>
      </c>
      <c r="C226" s="11" t="inlineStr">
        <is>
          <t>Encarregado de Capa</t>
        </is>
      </c>
      <c r="D226" s="15" t="inlineStr">
        <is>
          <t>DIRETO</t>
        </is>
      </c>
      <c r="E226" s="16" t="n">
        <v>1</v>
      </c>
      <c r="F226" s="17" t="n">
        <v>15569.81</v>
      </c>
      <c r="G226" s="16" t="n">
        <v>0.23</v>
      </c>
      <c r="H226" s="16" t="n">
        <v>1</v>
      </c>
      <c r="I226" s="17" t="n">
        <v>3581.06</v>
      </c>
    </row>
    <row r="227">
      <c r="A227" s="11" t="inlineStr">
        <is>
          <t>eap-6_7</t>
        </is>
      </c>
      <c r="B227" s="11" t="inlineStr">
        <is>
          <t>EQ-E0041</t>
        </is>
      </c>
      <c r="C227" s="11" t="inlineStr">
        <is>
          <t>Vibroacabadora de asfalto sobre esteiras - 82 kW [EQ]</t>
        </is>
      </c>
      <c r="D227" s="72" t="inlineStr">
        <is>
          <t>EQ</t>
        </is>
      </c>
      <c r="E227" s="16" t="n">
        <v>1</v>
      </c>
      <c r="F227" s="17" t="n">
        <v>18726.4</v>
      </c>
      <c r="G227" s="16" t="n">
        <v>0.23</v>
      </c>
      <c r="H227" s="16" t="n">
        <v>1</v>
      </c>
      <c r="I227" s="17" t="n">
        <v>4307.07</v>
      </c>
    </row>
    <row r="228">
      <c r="A228" s="11" t="inlineStr">
        <is>
          <t>eap-6_7</t>
        </is>
      </c>
      <c r="B228" s="11" t="inlineStr">
        <is>
          <t>EQ-E0041</t>
        </is>
      </c>
      <c r="C228" s="19" t="inlineStr">
        <is>
          <t>Diesel — Vibroacabadora de asfalto sobre esteiras - 82 kW</t>
        </is>
      </c>
      <c r="D228" s="73" t="inlineStr">
        <is>
          <t>COMB</t>
        </is>
      </c>
      <c r="E228" s="16" t="n">
        <v>1</v>
      </c>
      <c r="F228" s="17" t="n">
        <v>10203.43</v>
      </c>
      <c r="G228" s="16" t="n">
        <v>0.23</v>
      </c>
      <c r="H228" s="16" t="n">
        <v>1</v>
      </c>
      <c r="I228" s="17" t="n">
        <v>2346.79</v>
      </c>
    </row>
    <row r="229">
      <c r="A229" s="11" t="inlineStr">
        <is>
          <t>eap-6_7</t>
        </is>
      </c>
      <c r="B229" s="11" t="inlineStr">
        <is>
          <t>EQ-E0036</t>
        </is>
      </c>
      <c r="C229" s="11" t="inlineStr">
        <is>
          <t>Trator de esteiras 30T [EQ]</t>
        </is>
      </c>
      <c r="D229" s="72" t="inlineStr">
        <is>
          <t>EQ</t>
        </is>
      </c>
      <c r="E229" s="16" t="n">
        <v>1</v>
      </c>
      <c r="F229" s="17" t="n">
        <v>17740.8</v>
      </c>
      <c r="G229" s="16" t="n">
        <v>0.23</v>
      </c>
      <c r="H229" s="16" t="n">
        <v>1</v>
      </c>
      <c r="I229" s="17" t="n">
        <v>4080.38</v>
      </c>
    </row>
    <row r="230">
      <c r="A230" s="11" t="inlineStr">
        <is>
          <t>eap-6_7</t>
        </is>
      </c>
      <c r="B230" s="11" t="inlineStr">
        <is>
          <t>EQ-E0036</t>
        </is>
      </c>
      <c r="C230" s="19" t="inlineStr">
        <is>
          <t>Diesel — Trator de esteiras 30T</t>
        </is>
      </c>
      <c r="D230" s="73" t="inlineStr">
        <is>
          <t>COMB</t>
        </is>
      </c>
      <c r="E230" s="16" t="n">
        <v>1</v>
      </c>
      <c r="F230" s="17" t="n">
        <v>25508.57</v>
      </c>
      <c r="G230" s="16" t="n">
        <v>0.23</v>
      </c>
      <c r="H230" s="16" t="n">
        <v>1</v>
      </c>
      <c r="I230" s="17" t="n">
        <v>5866.97</v>
      </c>
    </row>
    <row r="231">
      <c r="A231" s="11" t="inlineStr">
        <is>
          <t>eap-6_7</t>
        </is>
      </c>
      <c r="B231" s="11" t="inlineStr">
        <is>
          <t>EQ-E0037</t>
        </is>
      </c>
      <c r="C231" s="11" t="inlineStr">
        <is>
          <t>Trator de esteiras 40T [EQ]</t>
        </is>
      </c>
      <c r="D231" s="72" t="inlineStr">
        <is>
          <t>EQ</t>
        </is>
      </c>
      <c r="E231" s="16" t="n">
        <v>1</v>
      </c>
      <c r="F231" s="17" t="n">
        <v>20421.63</v>
      </c>
      <c r="G231" s="16" t="n">
        <v>0.23</v>
      </c>
      <c r="H231" s="16" t="n">
        <v>1</v>
      </c>
      <c r="I231" s="17" t="n">
        <v>4696.97</v>
      </c>
    </row>
    <row r="232">
      <c r="A232" s="11" t="inlineStr">
        <is>
          <t>eap-6_7</t>
        </is>
      </c>
      <c r="B232" s="11" t="inlineStr">
        <is>
          <t>EQ-E0037</t>
        </is>
      </c>
      <c r="C232" s="19" t="inlineStr">
        <is>
          <t>Diesel — Trator de esteiras 40T</t>
        </is>
      </c>
      <c r="D232" s="73" t="inlineStr">
        <is>
          <t>COMB</t>
        </is>
      </c>
      <c r="E232" s="16" t="n">
        <v>1</v>
      </c>
      <c r="F232" s="17" t="n">
        <v>30610.29</v>
      </c>
      <c r="G232" s="16" t="n">
        <v>0.23</v>
      </c>
      <c r="H232" s="16" t="n">
        <v>1</v>
      </c>
      <c r="I232" s="17" t="n">
        <v>7040.37</v>
      </c>
    </row>
    <row r="233">
      <c r="A233" s="11" t="inlineStr">
        <is>
          <t>eap-6_7</t>
        </is>
      </c>
      <c r="B233" s="11" t="inlineStr">
        <is>
          <t>EQ-E0008</t>
        </is>
      </c>
      <c r="C233" s="11" t="inlineStr">
        <is>
          <t>Caminhão Basculante 16m³ [EQ]</t>
        </is>
      </c>
      <c r="D233" s="72" t="inlineStr">
        <is>
          <t>EQ</t>
        </is>
      </c>
      <c r="E233" s="16" t="n">
        <v>1</v>
      </c>
      <c r="F233" s="17" t="n">
        <v>40084.35</v>
      </c>
      <c r="G233" s="16" t="n">
        <v>0.23</v>
      </c>
      <c r="H233" s="16" t="n">
        <v>1</v>
      </c>
      <c r="I233" s="17" t="n">
        <v>9219.4</v>
      </c>
    </row>
    <row r="234">
      <c r="A234" s="11" t="inlineStr">
        <is>
          <t>eap-6_7</t>
        </is>
      </c>
      <c r="B234" s="11" t="inlineStr">
        <is>
          <t>EQ-E0008</t>
        </is>
      </c>
      <c r="C234" s="19" t="inlineStr">
        <is>
          <t>Diesel — Caminhão Basculante 16m³</t>
        </is>
      </c>
      <c r="D234" s="73" t="inlineStr">
        <is>
          <t>COMB</t>
        </is>
      </c>
      <c r="E234" s="16" t="n">
        <v>1</v>
      </c>
      <c r="F234" s="17" t="n">
        <v>3188.57</v>
      </c>
      <c r="G234" s="16" t="n">
        <v>0.23</v>
      </c>
      <c r="H234" s="16" t="n">
        <v>1</v>
      </c>
      <c r="I234" s="17" t="n">
        <v>733.37</v>
      </c>
    </row>
    <row r="235">
      <c r="A235" s="20" t="inlineStr">
        <is>
          <t>Subtotal eap-6_7</t>
        </is>
      </c>
      <c r="B235" s="21" t="n"/>
      <c r="C235" s="21" t="n"/>
      <c r="D235" s="21" t="n"/>
      <c r="E235" s="21" t="n"/>
      <c r="F235" s="21" t="n"/>
      <c r="G235" s="21" t="n"/>
      <c r="H235" s="21" t="n"/>
      <c r="I235" s="22" t="n">
        <v>49537.15</v>
      </c>
    </row>
    <row r="236">
      <c r="A236" s="9" t="inlineStr">
        <is>
          <t>eap-5_16 — Eegularização de valas com apiloamento do fundo</t>
        </is>
      </c>
    </row>
    <row r="237">
      <c r="A237" s="13" t="inlineStr">
        <is>
          <t>eap-5_16</t>
        </is>
      </c>
      <c r="B237" s="13" t="inlineStr">
        <is>
          <t>CPU-TERRA-REGULARIZACAO-SUBLEITO</t>
        </is>
      </c>
      <c r="C237" s="13" t="inlineStr">
        <is>
          <t>Operador de Motoniveladora</t>
        </is>
      </c>
      <c r="D237" s="24" t="inlineStr">
        <is>
          <t>DIRETO</t>
        </is>
      </c>
      <c r="E237" s="25" t="n">
        <v>1</v>
      </c>
      <c r="F237" s="26" t="n">
        <v>17356.25</v>
      </c>
      <c r="G237" s="25" t="n">
        <v>0.23</v>
      </c>
      <c r="H237" s="25" t="n">
        <v>1</v>
      </c>
      <c r="I237" s="26" t="n">
        <v>3991.94</v>
      </c>
    </row>
    <row r="238">
      <c r="A238" s="13" t="inlineStr">
        <is>
          <t>eap-5_16</t>
        </is>
      </c>
      <c r="B238" s="13" t="inlineStr">
        <is>
          <t>CPU-TERRA-REGULARIZACAO-SUBLEITO</t>
        </is>
      </c>
      <c r="C238" s="13" t="inlineStr">
        <is>
          <t>Operador de Rolo Compactador</t>
        </is>
      </c>
      <c r="D238" s="24" t="inlineStr">
        <is>
          <t>DIRETO</t>
        </is>
      </c>
      <c r="E238" s="25" t="n">
        <v>1</v>
      </c>
      <c r="F238" s="26" t="n">
        <v>10685.34</v>
      </c>
      <c r="G238" s="25" t="n">
        <v>0.23</v>
      </c>
      <c r="H238" s="25" t="n">
        <v>1</v>
      </c>
      <c r="I238" s="26" t="n">
        <v>2457.63</v>
      </c>
    </row>
    <row r="239">
      <c r="A239" s="13" t="inlineStr">
        <is>
          <t>eap-5_16</t>
        </is>
      </c>
      <c r="B239" s="13" t="inlineStr">
        <is>
          <t>EQ-MOTONIVEL-140K</t>
        </is>
      </c>
      <c r="C239" s="13" t="inlineStr">
        <is>
          <t>Motoniveladora 140K [EQ]</t>
        </is>
      </c>
      <c r="D239" s="74" t="inlineStr">
        <is>
          <t>EQ</t>
        </is>
      </c>
      <c r="E239" s="25" t="n">
        <v>1</v>
      </c>
      <c r="F239" s="26" t="n">
        <v>44816.64</v>
      </c>
      <c r="G239" s="25" t="n">
        <v>0.23</v>
      </c>
      <c r="H239" s="25" t="n">
        <v>1</v>
      </c>
      <c r="I239" s="26" t="n">
        <v>10307.83</v>
      </c>
    </row>
    <row r="240">
      <c r="A240" s="13" t="inlineStr">
        <is>
          <t>eap-5_16</t>
        </is>
      </c>
      <c r="B240" s="13" t="inlineStr">
        <is>
          <t>EQ-MOTONIVEL-140K</t>
        </is>
      </c>
      <c r="C240" s="28" t="inlineStr">
        <is>
          <t>Diesel — Motoniveladora 140K</t>
        </is>
      </c>
      <c r="D240" s="75" t="inlineStr">
        <is>
          <t>COMB</t>
        </is>
      </c>
      <c r="E240" s="25" t="n">
        <v>1</v>
      </c>
      <c r="F240" s="26" t="n">
        <v>14029.71</v>
      </c>
      <c r="G240" s="25" t="n">
        <v>0.23</v>
      </c>
      <c r="H240" s="25" t="n">
        <v>1</v>
      </c>
      <c r="I240" s="26" t="n">
        <v>3226.83</v>
      </c>
    </row>
    <row r="241">
      <c r="A241" s="13" t="inlineStr">
        <is>
          <t>eap-5_16</t>
        </is>
      </c>
      <c r="B241" s="13" t="inlineStr">
        <is>
          <t>EQ-ROLO-LISO</t>
        </is>
      </c>
      <c r="C241" s="13" t="inlineStr">
        <is>
          <t>Rolo compactador liso [EQ]</t>
        </is>
      </c>
      <c r="D241" s="74" t="inlineStr">
        <is>
          <t>EQ</t>
        </is>
      </c>
      <c r="E241" s="25" t="n">
        <v>1</v>
      </c>
      <c r="F241" s="26" t="n">
        <v>15840</v>
      </c>
      <c r="G241" s="25" t="n">
        <v>0.23</v>
      </c>
      <c r="H241" s="25" t="n">
        <v>1</v>
      </c>
      <c r="I241" s="26" t="n">
        <v>3643.2</v>
      </c>
    </row>
    <row r="242">
      <c r="A242" s="13" t="inlineStr">
        <is>
          <t>eap-5_16</t>
        </is>
      </c>
      <c r="B242" s="13" t="inlineStr">
        <is>
          <t>EQ-ROLO-LISO</t>
        </is>
      </c>
      <c r="C242" s="28" t="inlineStr">
        <is>
          <t>Diesel — Rolo compactador liso</t>
        </is>
      </c>
      <c r="D242" s="75" t="inlineStr">
        <is>
          <t>COMB</t>
        </is>
      </c>
      <c r="E242" s="25" t="n">
        <v>1</v>
      </c>
      <c r="F242" s="26" t="n">
        <v>8928</v>
      </c>
      <c r="G242" s="25" t="n">
        <v>0.23</v>
      </c>
      <c r="H242" s="25" t="n">
        <v>1</v>
      </c>
      <c r="I242" s="26" t="n">
        <v>2053.44</v>
      </c>
    </row>
    <row r="243">
      <c r="A243" s="20" t="inlineStr">
        <is>
          <t>Subtotal eap-5_16</t>
        </is>
      </c>
      <c r="B243" s="21" t="n"/>
      <c r="C243" s="21" t="n"/>
      <c r="D243" s="21" t="n"/>
      <c r="E243" s="21" t="n"/>
      <c r="F243" s="21" t="n"/>
      <c r="G243" s="21" t="n"/>
      <c r="H243" s="21" t="n"/>
      <c r="I243" s="22" t="n">
        <v>24925.32</v>
      </c>
    </row>
    <row r="244">
      <c r="A244" s="9" t="inlineStr">
        <is>
          <t>eap-5_5 — Escavação mecanizada de cavas ou valas de solo local - volume geométrico</t>
        </is>
      </c>
    </row>
    <row r="245">
      <c r="A245" s="11" t="inlineStr">
        <is>
          <t>eap-5_5</t>
        </is>
      </c>
      <c r="B245" s="11" t="inlineStr">
        <is>
          <t>CPU-TERRA-ATI-011</t>
        </is>
      </c>
      <c r="C245" s="11" t="inlineStr">
        <is>
          <t>Operador de Escavadeira</t>
        </is>
      </c>
      <c r="D245" s="15" t="inlineStr">
        <is>
          <t>DIRETO</t>
        </is>
      </c>
      <c r="E245" s="16" t="n">
        <v>1</v>
      </c>
      <c r="F245" s="17" t="n">
        <v>12875</v>
      </c>
      <c r="G245" s="16" t="n">
        <v>0.23</v>
      </c>
      <c r="H245" s="16" t="n">
        <v>1</v>
      </c>
      <c r="I245" s="17" t="n">
        <v>2961.25</v>
      </c>
    </row>
    <row r="246">
      <c r="A246" s="11" t="inlineStr">
        <is>
          <t>eap-5_5</t>
        </is>
      </c>
      <c r="B246" s="11" t="inlineStr">
        <is>
          <t>CPU-TERRA-ATI-011</t>
        </is>
      </c>
      <c r="C246" s="11" t="inlineStr">
        <is>
          <t>Motorista de Caminhão Basculante</t>
        </is>
      </c>
      <c r="D246" s="15" t="inlineStr">
        <is>
          <t>DIRETO</t>
        </is>
      </c>
      <c r="E246" s="16" t="n">
        <v>3</v>
      </c>
      <c r="F246" s="17" t="n">
        <v>32056.02</v>
      </c>
      <c r="G246" s="16" t="n">
        <v>0.23</v>
      </c>
      <c r="H246" s="16" t="n">
        <v>1</v>
      </c>
      <c r="I246" s="17" t="n">
        <v>7372.88</v>
      </c>
    </row>
    <row r="247">
      <c r="A247" s="11" t="inlineStr">
        <is>
          <t>eap-5_5</t>
        </is>
      </c>
      <c r="B247" s="11" t="inlineStr">
        <is>
          <t>CPU-TERRA-ATI-011</t>
        </is>
      </c>
      <c r="C247" s="11" t="inlineStr">
        <is>
          <t>Motorista de Caminhão Basculante</t>
        </is>
      </c>
      <c r="D247" s="15" t="inlineStr">
        <is>
          <t>DIRETO</t>
        </is>
      </c>
      <c r="E247" s="16" t="n">
        <v>1</v>
      </c>
      <c r="F247" s="17" t="n">
        <v>10685.34</v>
      </c>
      <c r="G247" s="16" t="n">
        <v>0.23</v>
      </c>
      <c r="H247" s="16" t="n">
        <v>1</v>
      </c>
      <c r="I247" s="17" t="n">
        <v>2457.63</v>
      </c>
    </row>
    <row r="248">
      <c r="A248" s="11" t="inlineStr">
        <is>
          <t>eap-5_5</t>
        </is>
      </c>
      <c r="B248" s="11" t="inlineStr">
        <is>
          <t>CPU-TERRA-ATI-011</t>
        </is>
      </c>
      <c r="C248" s="11" t="inlineStr">
        <is>
          <t>Encarregado de Terraplenagem</t>
        </is>
      </c>
      <c r="D248" s="15" t="inlineStr">
        <is>
          <t>DIRETO</t>
        </is>
      </c>
      <c r="E248" s="16" t="n">
        <v>1</v>
      </c>
      <c r="F248" s="17" t="n">
        <v>11549.8</v>
      </c>
      <c r="G248" s="16" t="n">
        <v>0.23</v>
      </c>
      <c r="H248" s="16" t="n">
        <v>1</v>
      </c>
      <c r="I248" s="17" t="n">
        <v>2656.45</v>
      </c>
    </row>
    <row r="249">
      <c r="A249" s="11" t="inlineStr">
        <is>
          <t>eap-5_5</t>
        </is>
      </c>
      <c r="B249" s="11" t="inlineStr">
        <is>
          <t>EQ-E0016</t>
        </is>
      </c>
      <c r="C249" s="11" t="inlineStr">
        <is>
          <t>Escavadeira Hidráulica 22t [EQ]</t>
        </is>
      </c>
      <c r="D249" s="72" t="inlineStr">
        <is>
          <t>EQ</t>
        </is>
      </c>
      <c r="E249" s="16" t="n">
        <v>1</v>
      </c>
      <c r="F249" s="17" t="n">
        <v>35639.3</v>
      </c>
      <c r="G249" s="16" t="n">
        <v>0.23</v>
      </c>
      <c r="H249" s="16" t="n">
        <v>1</v>
      </c>
      <c r="I249" s="17" t="n">
        <v>8197.040000000001</v>
      </c>
    </row>
    <row r="250">
      <c r="A250" s="11" t="inlineStr">
        <is>
          <t>eap-5_5</t>
        </is>
      </c>
      <c r="B250" s="11" t="inlineStr">
        <is>
          <t>EQ-E0007</t>
        </is>
      </c>
      <c r="C250" s="11" t="inlineStr">
        <is>
          <t>Caminhão Basculante 14m³ [EQ]</t>
        </is>
      </c>
      <c r="D250" s="72" t="inlineStr">
        <is>
          <t>EQ</t>
        </is>
      </c>
      <c r="E250" s="16" t="n">
        <v>3</v>
      </c>
      <c r="F250" s="17" t="n">
        <v>25132.8</v>
      </c>
      <c r="G250" s="16" t="n">
        <v>0.23</v>
      </c>
      <c r="H250" s="16" t="n">
        <v>1</v>
      </c>
      <c r="I250" s="17" t="n">
        <v>5780.54</v>
      </c>
    </row>
    <row r="251">
      <c r="A251" s="11" t="inlineStr">
        <is>
          <t>eap-5_5</t>
        </is>
      </c>
      <c r="B251" s="11" t="inlineStr">
        <is>
          <t>EQ-E0007</t>
        </is>
      </c>
      <c r="C251" s="19" t="inlineStr">
        <is>
          <t>Diesel — Caminhão Basculante 14m³</t>
        </is>
      </c>
      <c r="D251" s="73" t="inlineStr">
        <is>
          <t>COMB</t>
        </is>
      </c>
      <c r="E251" s="16" t="n">
        <v>3</v>
      </c>
      <c r="F251" s="17" t="n">
        <v>9259.610000000001</v>
      </c>
      <c r="G251" s="16" t="n">
        <v>0.23</v>
      </c>
      <c r="H251" s="16" t="n">
        <v>1</v>
      </c>
      <c r="I251" s="17" t="n">
        <v>2129.71</v>
      </c>
    </row>
    <row r="252">
      <c r="A252" s="20" t="inlineStr">
        <is>
          <t>Subtotal eap-5_5</t>
        </is>
      </c>
      <c r="B252" s="21" t="n"/>
      <c r="C252" s="21" t="n"/>
      <c r="D252" s="21" t="n"/>
      <c r="E252" s="21" t="n"/>
      <c r="F252" s="21" t="n"/>
      <c r="G252" s="21" t="n"/>
      <c r="H252" s="21" t="n"/>
      <c r="I252" s="22" t="n">
        <v>46461.15</v>
      </c>
    </row>
    <row r="253">
      <c r="A253" s="9" t="inlineStr">
        <is>
          <t>eap-2_1 — Escavação, carga e transporte de material de 1ª categoria - dmt de 400 a 600 m - caminho de serviço em leito natural - com carregadeira e caminhão basculante de 14 m³ - volume geométrico</t>
        </is>
      </c>
    </row>
    <row r="254">
      <c r="A254" s="13" t="inlineStr">
        <is>
          <t>eap-2_1</t>
        </is>
      </c>
      <c r="B254" s="13" t="inlineStr">
        <is>
          <t>CPU-TERRA-ATI-011</t>
        </is>
      </c>
      <c r="C254" s="13" t="inlineStr">
        <is>
          <t>Operador de Escavadeira</t>
        </is>
      </c>
      <c r="D254" s="24" t="inlineStr">
        <is>
          <t>DIRETO</t>
        </is>
      </c>
      <c r="E254" s="25" t="n">
        <v>1</v>
      </c>
      <c r="F254" s="26" t="n">
        <v>12875</v>
      </c>
      <c r="G254" s="25" t="n">
        <v>0.23</v>
      </c>
      <c r="H254" s="25" t="n">
        <v>1</v>
      </c>
      <c r="I254" s="26" t="n">
        <v>2961.25</v>
      </c>
    </row>
    <row r="255">
      <c r="A255" s="13" t="inlineStr">
        <is>
          <t>eap-2_1</t>
        </is>
      </c>
      <c r="B255" s="13" t="inlineStr">
        <is>
          <t>CPU-TERRA-ATI-011</t>
        </is>
      </c>
      <c r="C255" s="13" t="inlineStr">
        <is>
          <t>Motorista de Caminhão Basculante</t>
        </is>
      </c>
      <c r="D255" s="24" t="inlineStr">
        <is>
          <t>DIRETO</t>
        </is>
      </c>
      <c r="E255" s="25" t="n">
        <v>3</v>
      </c>
      <c r="F255" s="26" t="n">
        <v>32056.02</v>
      </c>
      <c r="G255" s="25" t="n">
        <v>0.23</v>
      </c>
      <c r="H255" s="25" t="n">
        <v>1</v>
      </c>
      <c r="I255" s="26" t="n">
        <v>7372.88</v>
      </c>
    </row>
    <row r="256">
      <c r="A256" s="13" t="inlineStr">
        <is>
          <t>eap-2_1</t>
        </is>
      </c>
      <c r="B256" s="13" t="inlineStr">
        <is>
          <t>CPU-TERRA-ATI-011</t>
        </is>
      </c>
      <c r="C256" s="13" t="inlineStr">
        <is>
          <t>Motorista de Caminhão Basculante</t>
        </is>
      </c>
      <c r="D256" s="24" t="inlineStr">
        <is>
          <t>DIRETO</t>
        </is>
      </c>
      <c r="E256" s="25" t="n">
        <v>1</v>
      </c>
      <c r="F256" s="26" t="n">
        <v>10685.34</v>
      </c>
      <c r="G256" s="25" t="n">
        <v>0.23</v>
      </c>
      <c r="H256" s="25" t="n">
        <v>1</v>
      </c>
      <c r="I256" s="26" t="n">
        <v>2457.63</v>
      </c>
    </row>
    <row r="257">
      <c r="A257" s="13" t="inlineStr">
        <is>
          <t>eap-2_1</t>
        </is>
      </c>
      <c r="B257" s="13" t="inlineStr">
        <is>
          <t>CPU-TERRA-ATI-011</t>
        </is>
      </c>
      <c r="C257" s="13" t="inlineStr">
        <is>
          <t>Encarregado de Terraplenagem</t>
        </is>
      </c>
      <c r="D257" s="24" t="inlineStr">
        <is>
          <t>DIRETO</t>
        </is>
      </c>
      <c r="E257" s="25" t="n">
        <v>1</v>
      </c>
      <c r="F257" s="26" t="n">
        <v>11549.8</v>
      </c>
      <c r="G257" s="25" t="n">
        <v>0.23</v>
      </c>
      <c r="H257" s="25" t="n">
        <v>1</v>
      </c>
      <c r="I257" s="26" t="n">
        <v>2656.45</v>
      </c>
    </row>
    <row r="258">
      <c r="A258" s="13" t="inlineStr">
        <is>
          <t>eap-2_1</t>
        </is>
      </c>
      <c r="B258" s="13" t="inlineStr">
        <is>
          <t>EQ-E0016</t>
        </is>
      </c>
      <c r="C258" s="13" t="inlineStr">
        <is>
          <t>Escavadeira Hidráulica 22t [EQ]</t>
        </is>
      </c>
      <c r="D258" s="74" t="inlineStr">
        <is>
          <t>EQ</t>
        </is>
      </c>
      <c r="E258" s="25" t="n">
        <v>1</v>
      </c>
      <c r="F258" s="26" t="n">
        <v>35639.3</v>
      </c>
      <c r="G258" s="25" t="n">
        <v>0.23</v>
      </c>
      <c r="H258" s="25" t="n">
        <v>1</v>
      </c>
      <c r="I258" s="26" t="n">
        <v>8197.040000000001</v>
      </c>
    </row>
    <row r="259">
      <c r="A259" s="13" t="inlineStr">
        <is>
          <t>eap-2_1</t>
        </is>
      </c>
      <c r="B259" s="13" t="inlineStr">
        <is>
          <t>EQ-E0007</t>
        </is>
      </c>
      <c r="C259" s="13" t="inlineStr">
        <is>
          <t>Caminhão Basculante 14m³ [EQ]</t>
        </is>
      </c>
      <c r="D259" s="74" t="inlineStr">
        <is>
          <t>EQ</t>
        </is>
      </c>
      <c r="E259" s="25" t="n">
        <v>3</v>
      </c>
      <c r="F259" s="26" t="n">
        <v>25132.8</v>
      </c>
      <c r="G259" s="25" t="n">
        <v>0.23</v>
      </c>
      <c r="H259" s="25" t="n">
        <v>1</v>
      </c>
      <c r="I259" s="26" t="n">
        <v>5780.54</v>
      </c>
    </row>
    <row r="260">
      <c r="A260" s="13" t="inlineStr">
        <is>
          <t>eap-2_1</t>
        </is>
      </c>
      <c r="B260" s="13" t="inlineStr">
        <is>
          <t>EQ-E0007</t>
        </is>
      </c>
      <c r="C260" s="28" t="inlineStr">
        <is>
          <t>Diesel — Caminhão Basculante 14m³</t>
        </is>
      </c>
      <c r="D260" s="75" t="inlineStr">
        <is>
          <t>COMB</t>
        </is>
      </c>
      <c r="E260" s="25" t="n">
        <v>3</v>
      </c>
      <c r="F260" s="26" t="n">
        <v>9259.610000000001</v>
      </c>
      <c r="G260" s="25" t="n">
        <v>0.23</v>
      </c>
      <c r="H260" s="25" t="n">
        <v>1</v>
      </c>
      <c r="I260" s="26" t="n">
        <v>2129.71</v>
      </c>
    </row>
    <row r="261">
      <c r="A261" s="20" t="inlineStr">
        <is>
          <t>Subtotal eap-2_1</t>
        </is>
      </c>
      <c r="B261" s="21" t="n"/>
      <c r="C261" s="21" t="n"/>
      <c r="D261" s="21" t="n"/>
      <c r="E261" s="21" t="n"/>
      <c r="F261" s="21" t="n"/>
      <c r="G261" s="21" t="n"/>
      <c r="H261" s="21" t="n"/>
      <c r="I261" s="22" t="n">
        <v>46461.15</v>
      </c>
    </row>
    <row r="262">
      <c r="A262" s="9" t="inlineStr">
        <is>
          <t>eap-5_7 — Regularização de bota-fora com espalhamento e compactação</t>
        </is>
      </c>
    </row>
    <row r="263">
      <c r="A263" s="11" t="inlineStr">
        <is>
          <t>eap-5_7</t>
        </is>
      </c>
      <c r="B263" s="11" t="inlineStr">
        <is>
          <t>CPU-TERRA-ATI-019</t>
        </is>
      </c>
      <c r="C263" s="11" t="inlineStr">
        <is>
          <t>Operador de Motoniveladora</t>
        </is>
      </c>
      <c r="D263" s="15" t="inlineStr">
        <is>
          <t>DIRETO</t>
        </is>
      </c>
      <c r="E263" s="16" t="n">
        <v>1</v>
      </c>
      <c r="F263" s="17" t="n">
        <v>17356.25</v>
      </c>
      <c r="G263" s="16" t="n">
        <v>0.23</v>
      </c>
      <c r="H263" s="16" t="n">
        <v>1</v>
      </c>
      <c r="I263" s="17" t="n">
        <v>3991.94</v>
      </c>
    </row>
    <row r="264">
      <c r="A264" s="11" t="inlineStr">
        <is>
          <t>eap-5_7</t>
        </is>
      </c>
      <c r="B264" s="11" t="inlineStr">
        <is>
          <t>CPU-TERRA-ATI-019</t>
        </is>
      </c>
      <c r="C264" s="11" t="inlineStr">
        <is>
          <t>Operador de Rolo Compactador</t>
        </is>
      </c>
      <c r="D264" s="15" t="inlineStr">
        <is>
          <t>DIRETO</t>
        </is>
      </c>
      <c r="E264" s="16" t="n">
        <v>1</v>
      </c>
      <c r="F264" s="17" t="n">
        <v>10685.34</v>
      </c>
      <c r="G264" s="16" t="n">
        <v>0.23</v>
      </c>
      <c r="H264" s="16" t="n">
        <v>1</v>
      </c>
      <c r="I264" s="17" t="n">
        <v>2457.63</v>
      </c>
    </row>
    <row r="265">
      <c r="A265" s="11" t="inlineStr">
        <is>
          <t>eap-5_7</t>
        </is>
      </c>
      <c r="B265" s="11" t="inlineStr">
        <is>
          <t>CPU-TERRA-ATI-019</t>
        </is>
      </c>
      <c r="C265" s="11" t="inlineStr">
        <is>
          <t>Operador de Rolo Compactador</t>
        </is>
      </c>
      <c r="D265" s="15" t="inlineStr">
        <is>
          <t>DIRETO</t>
        </is>
      </c>
      <c r="E265" s="16" t="n">
        <v>1</v>
      </c>
      <c r="F265" s="17" t="n">
        <v>10685.34</v>
      </c>
      <c r="G265" s="16" t="n">
        <v>0.23</v>
      </c>
      <c r="H265" s="16" t="n">
        <v>1</v>
      </c>
      <c r="I265" s="17" t="n">
        <v>2457.63</v>
      </c>
    </row>
    <row r="266">
      <c r="A266" s="11" t="inlineStr">
        <is>
          <t>eap-5_7</t>
        </is>
      </c>
      <c r="B266" s="11" t="inlineStr">
        <is>
          <t>CPU-TERRA-ATI-019</t>
        </is>
      </c>
      <c r="C266" s="11" t="inlineStr">
        <is>
          <t>Encarregado de Terraplenagem</t>
        </is>
      </c>
      <c r="D266" s="15" t="inlineStr">
        <is>
          <t>DIRETO</t>
        </is>
      </c>
      <c r="E266" s="16" t="n">
        <v>1</v>
      </c>
      <c r="F266" s="17" t="n">
        <v>11549.8</v>
      </c>
      <c r="G266" s="16" t="n">
        <v>0.23</v>
      </c>
      <c r="H266" s="16" t="n">
        <v>1</v>
      </c>
      <c r="I266" s="17" t="n">
        <v>2656.45</v>
      </c>
    </row>
    <row r="267">
      <c r="A267" s="11" t="inlineStr">
        <is>
          <t>eap-5_7</t>
        </is>
      </c>
      <c r="B267" s="11" t="inlineStr">
        <is>
          <t>EQ-E0029</t>
        </is>
      </c>
      <c r="C267" s="11" t="inlineStr">
        <is>
          <t>Motoniveladora 140HP [EQ]</t>
        </is>
      </c>
      <c r="D267" s="72" t="inlineStr">
        <is>
          <t>EQ</t>
        </is>
      </c>
      <c r="E267" s="16" t="n">
        <v>1</v>
      </c>
      <c r="F267" s="17" t="n">
        <v>43326.98</v>
      </c>
      <c r="G267" s="16" t="n">
        <v>0.23</v>
      </c>
      <c r="H267" s="16" t="n">
        <v>1</v>
      </c>
      <c r="I267" s="17" t="n">
        <v>9965.209999999999</v>
      </c>
    </row>
    <row r="268">
      <c r="A268" s="11" t="inlineStr">
        <is>
          <t>eap-5_7</t>
        </is>
      </c>
      <c r="B268" s="11" t="inlineStr">
        <is>
          <t>EQ-E0029</t>
        </is>
      </c>
      <c r="C268" s="19" t="inlineStr">
        <is>
          <t>Diesel — Motoniveladora 140HP</t>
        </is>
      </c>
      <c r="D268" s="73" t="inlineStr">
        <is>
          <t>COMB</t>
        </is>
      </c>
      <c r="E268" s="16" t="n">
        <v>1</v>
      </c>
      <c r="F268" s="17" t="n">
        <v>14029.71</v>
      </c>
      <c r="G268" s="16" t="n">
        <v>0.23</v>
      </c>
      <c r="H268" s="16" t="n">
        <v>1</v>
      </c>
      <c r="I268" s="17" t="n">
        <v>3226.83</v>
      </c>
    </row>
    <row r="269">
      <c r="A269" s="11" t="inlineStr">
        <is>
          <t>eap-5_7</t>
        </is>
      </c>
      <c r="B269" s="11" t="inlineStr">
        <is>
          <t>EQ-E0035</t>
        </is>
      </c>
      <c r="C269" s="11" t="inlineStr">
        <is>
          <t>Trator de esteiras 20T [EQ]</t>
        </is>
      </c>
      <c r="D269" s="72" t="inlineStr">
        <is>
          <t>EQ</t>
        </is>
      </c>
      <c r="E269" s="16" t="n">
        <v>1</v>
      </c>
      <c r="F269" s="17" t="n">
        <v>21683.2</v>
      </c>
      <c r="G269" s="16" t="n">
        <v>0.23</v>
      </c>
      <c r="H269" s="16" t="n">
        <v>1</v>
      </c>
      <c r="I269" s="17" t="n">
        <v>4987.14</v>
      </c>
    </row>
    <row r="270">
      <c r="A270" s="11" t="inlineStr">
        <is>
          <t>eap-5_7</t>
        </is>
      </c>
      <c r="B270" s="11" t="inlineStr">
        <is>
          <t>EQ-E0035</t>
        </is>
      </c>
      <c r="C270" s="19" t="inlineStr">
        <is>
          <t>Diesel — Trator de esteiras 20T</t>
        </is>
      </c>
      <c r="D270" s="73" t="inlineStr">
        <is>
          <t>COMB</t>
        </is>
      </c>
      <c r="E270" s="16" t="n">
        <v>1</v>
      </c>
      <c r="F270" s="17" t="n">
        <v>22957.71</v>
      </c>
      <c r="G270" s="16" t="n">
        <v>0.23</v>
      </c>
      <c r="H270" s="16" t="n">
        <v>1</v>
      </c>
      <c r="I270" s="17" t="n">
        <v>5280.27</v>
      </c>
    </row>
    <row r="271">
      <c r="A271" s="11" t="inlineStr">
        <is>
          <t>eap-5_7</t>
        </is>
      </c>
      <c r="B271" s="11" t="inlineStr">
        <is>
          <t>EQ-E0010</t>
        </is>
      </c>
      <c r="C271" s="11" t="inlineStr">
        <is>
          <t>Caminhão Pipa 10.000L [EQ]</t>
        </is>
      </c>
      <c r="D271" s="72" t="inlineStr">
        <is>
          <t>EQ</t>
        </is>
      </c>
      <c r="E271" s="16" t="n">
        <v>1</v>
      </c>
      <c r="F271" s="17" t="n">
        <v>19360</v>
      </c>
      <c r="G271" s="16" t="n">
        <v>0.23</v>
      </c>
      <c r="H271" s="16" t="n">
        <v>1</v>
      </c>
      <c r="I271" s="17" t="n">
        <v>4452.8</v>
      </c>
    </row>
    <row r="272">
      <c r="A272" s="11" t="inlineStr">
        <is>
          <t>eap-5_7</t>
        </is>
      </c>
      <c r="B272" s="11" t="inlineStr">
        <is>
          <t>EQ-E0010</t>
        </is>
      </c>
      <c r="C272" s="19" t="inlineStr">
        <is>
          <t>Diesel — Caminhão Pipa 10.000L</t>
        </is>
      </c>
      <c r="D272" s="73" t="inlineStr">
        <is>
          <t>COMB</t>
        </is>
      </c>
      <c r="E272" s="16" t="n">
        <v>1</v>
      </c>
      <c r="F272" s="17" t="n">
        <v>2550.86</v>
      </c>
      <c r="G272" s="16" t="n">
        <v>0.23</v>
      </c>
      <c r="H272" s="16" t="n">
        <v>1</v>
      </c>
      <c r="I272" s="17" t="n">
        <v>586.7</v>
      </c>
    </row>
    <row r="273">
      <c r="A273" s="20" t="inlineStr">
        <is>
          <t>Subtotal eap-5_7</t>
        </is>
      </c>
      <c r="B273" s="21" t="n"/>
      <c r="C273" s="21" t="n"/>
      <c r="D273" s="21" t="n"/>
      <c r="E273" s="21" t="n"/>
      <c r="F273" s="21" t="n"/>
      <c r="G273" s="21" t="n"/>
      <c r="H273" s="21" t="n"/>
      <c r="I273" s="22" t="n">
        <v>38761.54</v>
      </c>
    </row>
    <row r="274">
      <c r="A274" s="9" t="inlineStr">
        <is>
          <t>eap-4_9 — Fresagem de pavimento esp=10cm (Para encaixes novas alças)</t>
        </is>
      </c>
    </row>
    <row r="275">
      <c r="A275" s="13" t="inlineStr">
        <is>
          <t>eap-4_9</t>
        </is>
      </c>
      <c r="B275" s="13" t="inlineStr">
        <is>
          <t>CPU-PAVIM-ATI-060</t>
        </is>
      </c>
      <c r="C275" s="13" t="inlineStr">
        <is>
          <t>Operador de Escavadeira</t>
        </is>
      </c>
      <c r="D275" s="24" t="inlineStr">
        <is>
          <t>DIRETO</t>
        </is>
      </c>
      <c r="E275" s="25" t="n">
        <v>1</v>
      </c>
      <c r="F275" s="26" t="n">
        <v>12875</v>
      </c>
      <c r="G275" s="25" t="n">
        <v>0.23</v>
      </c>
      <c r="H275" s="25" t="n">
        <v>1</v>
      </c>
      <c r="I275" s="26" t="n">
        <v>2961.25</v>
      </c>
    </row>
    <row r="276">
      <c r="A276" s="13" t="inlineStr">
        <is>
          <t>eap-4_9</t>
        </is>
      </c>
      <c r="B276" s="13" t="inlineStr">
        <is>
          <t>CPU-PAVIM-ATI-060</t>
        </is>
      </c>
      <c r="C276" s="13" t="inlineStr">
        <is>
          <t>Motorista de Caminhão Basculante</t>
        </is>
      </c>
      <c r="D276" s="24" t="inlineStr">
        <is>
          <t>DIRETO</t>
        </is>
      </c>
      <c r="E276" s="25" t="n">
        <v>2</v>
      </c>
      <c r="F276" s="26" t="n">
        <v>21370.68</v>
      </c>
      <c r="G276" s="25" t="n">
        <v>0.23</v>
      </c>
      <c r="H276" s="25" t="n">
        <v>1</v>
      </c>
      <c r="I276" s="26" t="n">
        <v>4915.26</v>
      </c>
    </row>
    <row r="277">
      <c r="A277" s="13" t="inlineStr">
        <is>
          <t>eap-4_9</t>
        </is>
      </c>
      <c r="B277" s="13" t="inlineStr">
        <is>
          <t>CPU-PAVIM-ATI-060</t>
        </is>
      </c>
      <c r="C277" s="13" t="inlineStr">
        <is>
          <t>Operador de Escavadeira</t>
        </is>
      </c>
      <c r="D277" s="24" t="inlineStr">
        <is>
          <t>DIRETO</t>
        </is>
      </c>
      <c r="E277" s="25" t="n">
        <v>1</v>
      </c>
      <c r="F277" s="26" t="n">
        <v>12875</v>
      </c>
      <c r="G277" s="25" t="n">
        <v>0.23</v>
      </c>
      <c r="H277" s="25" t="n">
        <v>1</v>
      </c>
      <c r="I277" s="26" t="n">
        <v>2961.25</v>
      </c>
    </row>
    <row r="278">
      <c r="A278" s="13" t="inlineStr">
        <is>
          <t>eap-4_9</t>
        </is>
      </c>
      <c r="B278" s="13" t="inlineStr">
        <is>
          <t>EQ-E0016</t>
        </is>
      </c>
      <c r="C278" s="13" t="inlineStr">
        <is>
          <t>Escavadeira Hidráulica 22t [EQ]</t>
        </is>
      </c>
      <c r="D278" s="74" t="inlineStr">
        <is>
          <t>EQ</t>
        </is>
      </c>
      <c r="E278" s="25" t="n">
        <v>1</v>
      </c>
      <c r="F278" s="26" t="n">
        <v>35639.3</v>
      </c>
      <c r="G278" s="25" t="n">
        <v>0.23</v>
      </c>
      <c r="H278" s="25" t="n">
        <v>1</v>
      </c>
      <c r="I278" s="26" t="n">
        <v>8197.040000000001</v>
      </c>
    </row>
    <row r="279">
      <c r="A279" s="13" t="inlineStr">
        <is>
          <t>eap-4_9</t>
        </is>
      </c>
      <c r="B279" s="13" t="inlineStr">
        <is>
          <t>EQ-E0050</t>
        </is>
      </c>
      <c r="C279" s="13" t="inlineStr">
        <is>
          <t>Escavadeira 35t com rompedor [EQ]</t>
        </is>
      </c>
      <c r="D279" s="74" t="inlineStr">
        <is>
          <t>EQ</t>
        </is>
      </c>
      <c r="E279" s="25" t="n">
        <v>1</v>
      </c>
      <c r="F279" s="26" t="n">
        <v>35318.8</v>
      </c>
      <c r="G279" s="25" t="n">
        <v>0.23</v>
      </c>
      <c r="H279" s="25" t="n">
        <v>1</v>
      </c>
      <c r="I279" s="26" t="n">
        <v>8123.32</v>
      </c>
    </row>
    <row r="280">
      <c r="A280" s="13" t="inlineStr">
        <is>
          <t>eap-4_9</t>
        </is>
      </c>
      <c r="B280" s="13" t="inlineStr">
        <is>
          <t>EQ-E0050</t>
        </is>
      </c>
      <c r="C280" s="28" t="inlineStr">
        <is>
          <t>Diesel — Escavadeira 35t com rompedor</t>
        </is>
      </c>
      <c r="D280" s="75" t="inlineStr">
        <is>
          <t>COMB</t>
        </is>
      </c>
      <c r="E280" s="25" t="n">
        <v>1</v>
      </c>
      <c r="F280" s="26" t="n">
        <v>33161.14</v>
      </c>
      <c r="G280" s="25" t="n">
        <v>0.23</v>
      </c>
      <c r="H280" s="25" t="n">
        <v>1</v>
      </c>
      <c r="I280" s="26" t="n">
        <v>7627.06</v>
      </c>
    </row>
    <row r="281">
      <c r="A281" s="13" t="inlineStr">
        <is>
          <t>eap-4_9</t>
        </is>
      </c>
      <c r="B281" s="13" t="inlineStr">
        <is>
          <t>EQ-E0008</t>
        </is>
      </c>
      <c r="C281" s="13" t="inlineStr">
        <is>
          <t>Caminhão Basculante 16m³ [EQ]</t>
        </is>
      </c>
      <c r="D281" s="74" t="inlineStr">
        <is>
          <t>EQ</t>
        </is>
      </c>
      <c r="E281" s="25" t="n">
        <v>2</v>
      </c>
      <c r="F281" s="26" t="n">
        <v>40084.35</v>
      </c>
      <c r="G281" s="25" t="n">
        <v>0.23</v>
      </c>
      <c r="H281" s="25" t="n">
        <v>1</v>
      </c>
      <c r="I281" s="26" t="n">
        <v>9219.4</v>
      </c>
    </row>
    <row r="282">
      <c r="A282" s="13" t="inlineStr">
        <is>
          <t>eap-4_9</t>
        </is>
      </c>
      <c r="B282" s="13" t="inlineStr">
        <is>
          <t>EQ-E0008</t>
        </is>
      </c>
      <c r="C282" s="28" t="inlineStr">
        <is>
          <t>Diesel — Caminhão Basculante 16m³</t>
        </is>
      </c>
      <c r="D282" s="75" t="inlineStr">
        <is>
          <t>COMB</t>
        </is>
      </c>
      <c r="E282" s="25" t="n">
        <v>2</v>
      </c>
      <c r="F282" s="26" t="n">
        <v>3188.57</v>
      </c>
      <c r="G282" s="25" t="n">
        <v>0.23</v>
      </c>
      <c r="H282" s="25" t="n">
        <v>1</v>
      </c>
      <c r="I282" s="26" t="n">
        <v>733.37</v>
      </c>
    </row>
    <row r="283">
      <c r="A283" s="20" t="inlineStr">
        <is>
          <t>Subtotal eap-4_9</t>
        </is>
      </c>
      <c r="B283" s="21" t="n"/>
      <c r="C283" s="21" t="n"/>
      <c r="D283" s="21" t="n"/>
      <c r="E283" s="21" t="n"/>
      <c r="F283" s="21" t="n"/>
      <c r="G283" s="21" t="n"/>
      <c r="H283" s="21" t="n"/>
      <c r="I283" s="22" t="n">
        <v>53389.08</v>
      </c>
    </row>
    <row r="284">
      <c r="A284" s="9" t="inlineStr">
        <is>
          <t>eap-5_18 — Hidrossemeadura para cobertura de taludes</t>
        </is>
      </c>
    </row>
    <row r="285">
      <c r="A285" s="11" t="inlineStr">
        <is>
          <t>eap-5_18</t>
        </is>
      </c>
      <c r="B285" s="11" t="inlineStr">
        <is>
          <t>CPU-TERRA-ATI-080</t>
        </is>
      </c>
      <c r="C285" s="11" t="inlineStr">
        <is>
          <t>Ajudante</t>
        </is>
      </c>
      <c r="D285" s="15" t="inlineStr">
        <is>
          <t>DIRETO</t>
        </is>
      </c>
      <c r="E285" s="16" t="n">
        <v>4</v>
      </c>
      <c r="F285" s="17" t="n">
        <v>21046.6</v>
      </c>
      <c r="G285" s="16" t="n">
        <v>0.23</v>
      </c>
      <c r="H285" s="16" t="n">
        <v>1</v>
      </c>
      <c r="I285" s="17" t="n">
        <v>4840.72</v>
      </c>
    </row>
    <row r="286">
      <c r="A286" s="11" t="inlineStr">
        <is>
          <t>eap-5_18</t>
        </is>
      </c>
      <c r="B286" s="11" t="inlineStr">
        <is>
          <t>EQ-HIDROSSEMEADORA</t>
        </is>
      </c>
      <c r="C286" s="11" t="inlineStr">
        <is>
          <t>Hidrossemeadora rebocável [EQ]</t>
        </is>
      </c>
      <c r="D286" s="72" t="inlineStr">
        <is>
          <t>EQ</t>
        </is>
      </c>
      <c r="E286" s="16" t="n">
        <v>1</v>
      </c>
      <c r="F286" s="17" t="n">
        <v>6160</v>
      </c>
      <c r="G286" s="16" t="n">
        <v>0.23</v>
      </c>
      <c r="H286" s="16" t="n">
        <v>1</v>
      </c>
      <c r="I286" s="17" t="n">
        <v>1416.8</v>
      </c>
    </row>
    <row r="287">
      <c r="A287" s="20" t="inlineStr">
        <is>
          <t>Subtotal eap-5_18</t>
        </is>
      </c>
      <c r="B287" s="21" t="n"/>
      <c r="C287" s="21" t="n"/>
      <c r="D287" s="21" t="n"/>
      <c r="E287" s="21" t="n"/>
      <c r="F287" s="21" t="n"/>
      <c r="G287" s="21" t="n"/>
      <c r="H287" s="21" t="n"/>
      <c r="I287" s="22" t="n">
        <v>6257.27</v>
      </c>
    </row>
    <row r="288">
      <c r="A288" s="9" t="inlineStr">
        <is>
          <t>eap-5_9 — Manutenção de cobertura de gramíneas por hidrossemeadura</t>
        </is>
      </c>
    </row>
    <row r="289">
      <c r="A289" s="13" t="inlineStr">
        <is>
          <t>eap-5_9</t>
        </is>
      </c>
      <c r="B289" s="13" t="inlineStr">
        <is>
          <t>CPU-TERRA-ATI-080</t>
        </is>
      </c>
      <c r="C289" s="13" t="inlineStr">
        <is>
          <t>Ajudante</t>
        </is>
      </c>
      <c r="D289" s="24" t="inlineStr">
        <is>
          <t>DIRETO</t>
        </is>
      </c>
      <c r="E289" s="25" t="n">
        <v>4</v>
      </c>
      <c r="F289" s="26" t="n">
        <v>21046.6</v>
      </c>
      <c r="G289" s="25" t="n">
        <v>0.23</v>
      </c>
      <c r="H289" s="25" t="n">
        <v>1</v>
      </c>
      <c r="I289" s="26" t="n">
        <v>4840.72</v>
      </c>
    </row>
    <row r="290">
      <c r="A290" s="13" t="inlineStr">
        <is>
          <t>eap-5_9</t>
        </is>
      </c>
      <c r="B290" s="13" t="inlineStr">
        <is>
          <t>EQ-HIDROSSEMEADORA</t>
        </is>
      </c>
      <c r="C290" s="13" t="inlineStr">
        <is>
          <t>Hidrossemeadora rebocável [EQ]</t>
        </is>
      </c>
      <c r="D290" s="74" t="inlineStr">
        <is>
          <t>EQ</t>
        </is>
      </c>
      <c r="E290" s="25" t="n">
        <v>1</v>
      </c>
      <c r="F290" s="26" t="n">
        <v>6160</v>
      </c>
      <c r="G290" s="25" t="n">
        <v>0.23</v>
      </c>
      <c r="H290" s="25" t="n">
        <v>1</v>
      </c>
      <c r="I290" s="26" t="n">
        <v>1416.8</v>
      </c>
    </row>
    <row r="291">
      <c r="A291" s="20" t="inlineStr">
        <is>
          <t>Subtotal eap-5_9</t>
        </is>
      </c>
      <c r="B291" s="21" t="n"/>
      <c r="C291" s="21" t="n"/>
      <c r="D291" s="21" t="n"/>
      <c r="E291" s="21" t="n"/>
      <c r="F291" s="21" t="n"/>
      <c r="G291" s="21" t="n"/>
      <c r="H291" s="21" t="n"/>
      <c r="I291" s="22" t="n">
        <v>6257.27</v>
      </c>
    </row>
    <row r="292">
      <c r="A292" s="9" t="inlineStr">
        <is>
          <t>eap-5_15 — Escavação mecanizada de cavas ou valas de solo local - volume geométrico</t>
        </is>
      </c>
    </row>
    <row r="293">
      <c r="A293" s="11" t="inlineStr">
        <is>
          <t>eap-5_15</t>
        </is>
      </c>
      <c r="B293" s="11" t="inlineStr">
        <is>
          <t>CPU-TERRA-ATI-011</t>
        </is>
      </c>
      <c r="C293" s="11" t="inlineStr">
        <is>
          <t>Operador de Escavadeira</t>
        </is>
      </c>
      <c r="D293" s="15" t="inlineStr">
        <is>
          <t>DIRETO</t>
        </is>
      </c>
      <c r="E293" s="16" t="n">
        <v>1</v>
      </c>
      <c r="F293" s="17" t="n">
        <v>12875</v>
      </c>
      <c r="G293" s="16" t="n">
        <v>0.23</v>
      </c>
      <c r="H293" s="16" t="n">
        <v>1</v>
      </c>
      <c r="I293" s="17" t="n">
        <v>2961.25</v>
      </c>
    </row>
    <row r="294">
      <c r="A294" s="11" t="inlineStr">
        <is>
          <t>eap-5_15</t>
        </is>
      </c>
      <c r="B294" s="11" t="inlineStr">
        <is>
          <t>CPU-TERRA-ATI-011</t>
        </is>
      </c>
      <c r="C294" s="11" t="inlineStr">
        <is>
          <t>Motorista de Caminhão Basculante</t>
        </is>
      </c>
      <c r="D294" s="15" t="inlineStr">
        <is>
          <t>DIRETO</t>
        </is>
      </c>
      <c r="E294" s="16" t="n">
        <v>3</v>
      </c>
      <c r="F294" s="17" t="n">
        <v>32056.02</v>
      </c>
      <c r="G294" s="16" t="n">
        <v>0.23</v>
      </c>
      <c r="H294" s="16" t="n">
        <v>1</v>
      </c>
      <c r="I294" s="17" t="n">
        <v>7372.88</v>
      </c>
    </row>
    <row r="295">
      <c r="A295" s="11" t="inlineStr">
        <is>
          <t>eap-5_15</t>
        </is>
      </c>
      <c r="B295" s="11" t="inlineStr">
        <is>
          <t>CPU-TERRA-ATI-011</t>
        </is>
      </c>
      <c r="C295" s="11" t="inlineStr">
        <is>
          <t>Motorista de Caminhão Basculante</t>
        </is>
      </c>
      <c r="D295" s="15" t="inlineStr">
        <is>
          <t>DIRETO</t>
        </is>
      </c>
      <c r="E295" s="16" t="n">
        <v>1</v>
      </c>
      <c r="F295" s="17" t="n">
        <v>10685.34</v>
      </c>
      <c r="G295" s="16" t="n">
        <v>0.23</v>
      </c>
      <c r="H295" s="16" t="n">
        <v>1</v>
      </c>
      <c r="I295" s="17" t="n">
        <v>2457.63</v>
      </c>
    </row>
    <row r="296">
      <c r="A296" s="11" t="inlineStr">
        <is>
          <t>eap-5_15</t>
        </is>
      </c>
      <c r="B296" s="11" t="inlineStr">
        <is>
          <t>CPU-TERRA-ATI-011</t>
        </is>
      </c>
      <c r="C296" s="11" t="inlineStr">
        <is>
          <t>Encarregado de Terraplenagem</t>
        </is>
      </c>
      <c r="D296" s="15" t="inlineStr">
        <is>
          <t>DIRETO</t>
        </is>
      </c>
      <c r="E296" s="16" t="n">
        <v>1</v>
      </c>
      <c r="F296" s="17" t="n">
        <v>11549.8</v>
      </c>
      <c r="G296" s="16" t="n">
        <v>0.23</v>
      </c>
      <c r="H296" s="16" t="n">
        <v>1</v>
      </c>
      <c r="I296" s="17" t="n">
        <v>2656.45</v>
      </c>
    </row>
    <row r="297">
      <c r="A297" s="11" t="inlineStr">
        <is>
          <t>eap-5_15</t>
        </is>
      </c>
      <c r="B297" s="11" t="inlineStr">
        <is>
          <t>EQ-E0016</t>
        </is>
      </c>
      <c r="C297" s="11" t="inlineStr">
        <is>
          <t>Escavadeira Hidráulica 22t [EQ]</t>
        </is>
      </c>
      <c r="D297" s="72" t="inlineStr">
        <is>
          <t>EQ</t>
        </is>
      </c>
      <c r="E297" s="16" t="n">
        <v>1</v>
      </c>
      <c r="F297" s="17" t="n">
        <v>35639.3</v>
      </c>
      <c r="G297" s="16" t="n">
        <v>0.23</v>
      </c>
      <c r="H297" s="16" t="n">
        <v>1</v>
      </c>
      <c r="I297" s="17" t="n">
        <v>8197.040000000001</v>
      </c>
    </row>
    <row r="298">
      <c r="A298" s="11" t="inlineStr">
        <is>
          <t>eap-5_15</t>
        </is>
      </c>
      <c r="B298" s="11" t="inlineStr">
        <is>
          <t>EQ-E0007</t>
        </is>
      </c>
      <c r="C298" s="11" t="inlineStr">
        <is>
          <t>Caminhão Basculante 14m³ [EQ]</t>
        </is>
      </c>
      <c r="D298" s="72" t="inlineStr">
        <is>
          <t>EQ</t>
        </is>
      </c>
      <c r="E298" s="16" t="n">
        <v>3</v>
      </c>
      <c r="F298" s="17" t="n">
        <v>25132.8</v>
      </c>
      <c r="G298" s="16" t="n">
        <v>0.23</v>
      </c>
      <c r="H298" s="16" t="n">
        <v>1</v>
      </c>
      <c r="I298" s="17" t="n">
        <v>5780.54</v>
      </c>
    </row>
    <row r="299">
      <c r="A299" s="11" t="inlineStr">
        <is>
          <t>eap-5_15</t>
        </is>
      </c>
      <c r="B299" s="11" t="inlineStr">
        <is>
          <t>EQ-E0007</t>
        </is>
      </c>
      <c r="C299" s="19" t="inlineStr">
        <is>
          <t>Diesel — Caminhão Basculante 14m³</t>
        </is>
      </c>
      <c r="D299" s="73" t="inlineStr">
        <is>
          <t>COMB</t>
        </is>
      </c>
      <c r="E299" s="16" t="n">
        <v>3</v>
      </c>
      <c r="F299" s="17" t="n">
        <v>9259.610000000001</v>
      </c>
      <c r="G299" s="16" t="n">
        <v>0.23</v>
      </c>
      <c r="H299" s="16" t="n">
        <v>1</v>
      </c>
      <c r="I299" s="17" t="n">
        <v>2129.71</v>
      </c>
    </row>
    <row r="300">
      <c r="A300" s="20" t="inlineStr">
        <is>
          <t>Subtotal eap-5_15</t>
        </is>
      </c>
      <c r="B300" s="21" t="n"/>
      <c r="C300" s="21" t="n"/>
      <c r="D300" s="21" t="n"/>
      <c r="E300" s="21" t="n"/>
      <c r="F300" s="21" t="n"/>
      <c r="G300" s="21" t="n"/>
      <c r="H300" s="21" t="n"/>
      <c r="I300" s="22" t="n">
        <v>46461.15</v>
      </c>
    </row>
    <row r="301">
      <c r="A301" s="9" t="inlineStr">
        <is>
          <t>eap-5_17 — Eegularização de bota-fora com espalhamento e compactação</t>
        </is>
      </c>
    </row>
    <row r="302">
      <c r="A302" s="13" t="inlineStr">
        <is>
          <t>eap-5_17</t>
        </is>
      </c>
      <c r="B302" s="13" t="inlineStr">
        <is>
          <t>CPU-PAVIM-PAV-BASE-BGTC</t>
        </is>
      </c>
      <c r="C302" s="13" t="inlineStr">
        <is>
          <t>Operador de Motoniveladora</t>
        </is>
      </c>
      <c r="D302" s="24" t="inlineStr">
        <is>
          <t>DIRETO</t>
        </is>
      </c>
      <c r="E302" s="25" t="n">
        <v>1</v>
      </c>
      <c r="F302" s="26" t="n">
        <v>17356.25</v>
      </c>
      <c r="G302" s="25" t="n">
        <v>0.23</v>
      </c>
      <c r="H302" s="25" t="n">
        <v>1</v>
      </c>
      <c r="I302" s="26" t="n">
        <v>3991.94</v>
      </c>
    </row>
    <row r="303">
      <c r="A303" s="13" t="inlineStr">
        <is>
          <t>eap-5_17</t>
        </is>
      </c>
      <c r="B303" s="13" t="inlineStr">
        <is>
          <t>CPU-PAVIM-PAV-BASE-BGTC</t>
        </is>
      </c>
      <c r="C303" s="13" t="inlineStr">
        <is>
          <t>Operador de Rolo Compactador</t>
        </is>
      </c>
      <c r="D303" s="24" t="inlineStr">
        <is>
          <t>DIRETO</t>
        </is>
      </c>
      <c r="E303" s="25" t="n">
        <v>1</v>
      </c>
      <c r="F303" s="26" t="n">
        <v>10685.34</v>
      </c>
      <c r="G303" s="25" t="n">
        <v>0.23</v>
      </c>
      <c r="H303" s="25" t="n">
        <v>1</v>
      </c>
      <c r="I303" s="26" t="n">
        <v>2457.63</v>
      </c>
    </row>
    <row r="304">
      <c r="A304" s="13" t="inlineStr">
        <is>
          <t>eap-5_17</t>
        </is>
      </c>
      <c r="B304" s="13" t="inlineStr">
        <is>
          <t>CPU-PAVIM-PAV-BASE-BGTC</t>
        </is>
      </c>
      <c r="C304" s="13" t="inlineStr">
        <is>
          <t>Motorista de Caminhão Basculante</t>
        </is>
      </c>
      <c r="D304" s="24" t="inlineStr">
        <is>
          <t>DIRETO</t>
        </is>
      </c>
      <c r="E304" s="25" t="n">
        <v>2</v>
      </c>
      <c r="F304" s="26" t="n">
        <v>21370.68</v>
      </c>
      <c r="G304" s="25" t="n">
        <v>0.23</v>
      </c>
      <c r="H304" s="25" t="n">
        <v>1</v>
      </c>
      <c r="I304" s="26" t="n">
        <v>4915.26</v>
      </c>
    </row>
    <row r="305">
      <c r="A305" s="13" t="inlineStr">
        <is>
          <t>eap-5_17</t>
        </is>
      </c>
      <c r="B305" s="13" t="inlineStr">
        <is>
          <t>CPU-PAVIM-PAV-BASE-BGTC</t>
        </is>
      </c>
      <c r="C305" s="13" t="inlineStr">
        <is>
          <t>Servente</t>
        </is>
      </c>
      <c r="D305" s="24" t="inlineStr">
        <is>
          <t>DIRETO</t>
        </is>
      </c>
      <c r="E305" s="25" t="n">
        <v>1</v>
      </c>
      <c r="F305" s="26" t="n">
        <v>7093.01</v>
      </c>
      <c r="G305" s="25" t="n">
        <v>0.23</v>
      </c>
      <c r="H305" s="25" t="n">
        <v>1</v>
      </c>
      <c r="I305" s="26" t="n">
        <v>1631.39</v>
      </c>
    </row>
    <row r="306">
      <c r="A306" s="13" t="inlineStr">
        <is>
          <t>eap-5_17</t>
        </is>
      </c>
      <c r="B306" s="13" t="inlineStr">
        <is>
          <t>EQ-MOTONIVEL-140K</t>
        </is>
      </c>
      <c r="C306" s="13" t="inlineStr">
        <is>
          <t>Motoniveladora 140K [EQ]</t>
        </is>
      </c>
      <c r="D306" s="74" t="inlineStr">
        <is>
          <t>EQ</t>
        </is>
      </c>
      <c r="E306" s="25" t="n">
        <v>1</v>
      </c>
      <c r="F306" s="26" t="n">
        <v>44816.64</v>
      </c>
      <c r="G306" s="25" t="n">
        <v>0.23</v>
      </c>
      <c r="H306" s="25" t="n">
        <v>1</v>
      </c>
      <c r="I306" s="26" t="n">
        <v>10307.83</v>
      </c>
    </row>
    <row r="307">
      <c r="A307" s="13" t="inlineStr">
        <is>
          <t>eap-5_17</t>
        </is>
      </c>
      <c r="B307" s="13" t="inlineStr">
        <is>
          <t>EQ-MOTONIVEL-140K</t>
        </is>
      </c>
      <c r="C307" s="28" t="inlineStr">
        <is>
          <t>Diesel — Motoniveladora 140K</t>
        </is>
      </c>
      <c r="D307" s="75" t="inlineStr">
        <is>
          <t>COMB</t>
        </is>
      </c>
      <c r="E307" s="25" t="n">
        <v>1</v>
      </c>
      <c r="F307" s="26" t="n">
        <v>14029.71</v>
      </c>
      <c r="G307" s="25" t="n">
        <v>0.23</v>
      </c>
      <c r="H307" s="25" t="n">
        <v>1</v>
      </c>
      <c r="I307" s="26" t="n">
        <v>3226.83</v>
      </c>
    </row>
    <row r="308">
      <c r="A308" s="13" t="inlineStr">
        <is>
          <t>eap-5_17</t>
        </is>
      </c>
      <c r="B308" s="13" t="inlineStr">
        <is>
          <t>EQ-ROLO-PE-CARNEIRO</t>
        </is>
      </c>
      <c r="C308" s="13" t="inlineStr">
        <is>
          <t>Rolo compactador pé de carneiro 10T [EQ]</t>
        </is>
      </c>
      <c r="D308" s="74" t="inlineStr">
        <is>
          <t>EQ</t>
        </is>
      </c>
      <c r="E308" s="25" t="n">
        <v>1</v>
      </c>
      <c r="F308" s="26" t="n">
        <v>19360</v>
      </c>
      <c r="G308" s="25" t="n">
        <v>0.23</v>
      </c>
      <c r="H308" s="25" t="n">
        <v>1</v>
      </c>
      <c r="I308" s="26" t="n">
        <v>4452.8</v>
      </c>
    </row>
    <row r="309">
      <c r="A309" s="13" t="inlineStr">
        <is>
          <t>eap-5_17</t>
        </is>
      </c>
      <c r="B309" s="13" t="inlineStr">
        <is>
          <t>EQ-ROLO-PE-CARNEIRO</t>
        </is>
      </c>
      <c r="C309" s="28" t="inlineStr">
        <is>
          <t>Diesel — Rolo compactador pé de carneiro 10T</t>
        </is>
      </c>
      <c r="D309" s="75" t="inlineStr">
        <is>
          <t>COMB</t>
        </is>
      </c>
      <c r="E309" s="25" t="n">
        <v>1</v>
      </c>
      <c r="F309" s="26" t="n">
        <v>10203.43</v>
      </c>
      <c r="G309" s="25" t="n">
        <v>0.23</v>
      </c>
      <c r="H309" s="25" t="n">
        <v>1</v>
      </c>
      <c r="I309" s="26" t="n">
        <v>2346.79</v>
      </c>
    </row>
    <row r="310">
      <c r="A310" s="13" t="inlineStr">
        <is>
          <t>eap-5_17</t>
        </is>
      </c>
      <c r="B310" s="13" t="inlineStr">
        <is>
          <t>EQ-CAM-BASC-14M3</t>
        </is>
      </c>
      <c r="C310" s="13" t="inlineStr">
        <is>
          <t>Caminhão basculante 14 m³ [EQ]</t>
        </is>
      </c>
      <c r="D310" s="74" t="inlineStr">
        <is>
          <t>EQ</t>
        </is>
      </c>
      <c r="E310" s="25" t="n">
        <v>2</v>
      </c>
      <c r="F310" s="26" t="n">
        <v>19360</v>
      </c>
      <c r="G310" s="25" t="n">
        <v>0.23</v>
      </c>
      <c r="H310" s="25" t="n">
        <v>1</v>
      </c>
      <c r="I310" s="26" t="n">
        <v>4452.8</v>
      </c>
    </row>
    <row r="311">
      <c r="A311" s="13" t="inlineStr">
        <is>
          <t>eap-5_17</t>
        </is>
      </c>
      <c r="B311" s="13" t="inlineStr">
        <is>
          <t>EQ-CAM-BASC-14M3</t>
        </is>
      </c>
      <c r="C311" s="28" t="inlineStr">
        <is>
          <t>Diesel — Caminhão basculante 14 m³</t>
        </is>
      </c>
      <c r="D311" s="75" t="inlineStr">
        <is>
          <t>COMB</t>
        </is>
      </c>
      <c r="E311" s="25" t="n">
        <v>2</v>
      </c>
      <c r="F311" s="26" t="n">
        <v>4114.29</v>
      </c>
      <c r="G311" s="25" t="n">
        <v>0.23</v>
      </c>
      <c r="H311" s="25" t="n">
        <v>1</v>
      </c>
      <c r="I311" s="26" t="n">
        <v>946.29</v>
      </c>
    </row>
    <row r="312">
      <c r="A312" s="20" t="inlineStr">
        <is>
          <t>Subtotal eap-5_17</t>
        </is>
      </c>
      <c r="B312" s="21" t="n"/>
      <c r="C312" s="21" t="n"/>
      <c r="D312" s="21" t="n"/>
      <c r="E312" s="21" t="n"/>
      <c r="F312" s="21" t="n"/>
      <c r="G312" s="21" t="n"/>
      <c r="H312" s="21" t="n"/>
      <c r="I312" s="22" t="n">
        <v>43060</v>
      </c>
    </row>
    <row r="313">
      <c r="A313" s="9" t="inlineStr">
        <is>
          <t>eap-5_19 — manutenção de cobertura de gramíneas por hidrossemeadura</t>
        </is>
      </c>
    </row>
    <row r="314">
      <c r="A314" s="11" t="inlineStr">
        <is>
          <t>eap-5_19</t>
        </is>
      </c>
      <c r="B314" s="11" t="inlineStr">
        <is>
          <t>CPU-TERRA-ATI-080</t>
        </is>
      </c>
      <c r="C314" s="11" t="inlineStr">
        <is>
          <t>Ajudante</t>
        </is>
      </c>
      <c r="D314" s="15" t="inlineStr">
        <is>
          <t>DIRETO</t>
        </is>
      </c>
      <c r="E314" s="16" t="n">
        <v>4</v>
      </c>
      <c r="F314" s="17" t="n">
        <v>21046.6</v>
      </c>
      <c r="G314" s="16" t="n">
        <v>0.23</v>
      </c>
      <c r="H314" s="16" t="n">
        <v>1</v>
      </c>
      <c r="I314" s="17" t="n">
        <v>4840.72</v>
      </c>
    </row>
    <row r="315">
      <c r="A315" s="11" t="inlineStr">
        <is>
          <t>eap-5_19</t>
        </is>
      </c>
      <c r="B315" s="11" t="inlineStr">
        <is>
          <t>EQ-HIDROSSEMEADORA</t>
        </is>
      </c>
      <c r="C315" s="11" t="inlineStr">
        <is>
          <t>Hidrossemeadora rebocável [EQ]</t>
        </is>
      </c>
      <c r="D315" s="72" t="inlineStr">
        <is>
          <t>EQ</t>
        </is>
      </c>
      <c r="E315" s="16" t="n">
        <v>1</v>
      </c>
      <c r="F315" s="17" t="n">
        <v>6160</v>
      </c>
      <c r="G315" s="16" t="n">
        <v>0.23</v>
      </c>
      <c r="H315" s="16" t="n">
        <v>1</v>
      </c>
      <c r="I315" s="17" t="n">
        <v>1416.8</v>
      </c>
    </row>
    <row r="316">
      <c r="A316" s="20" t="inlineStr">
        <is>
          <t>Subtotal eap-5_19</t>
        </is>
      </c>
      <c r="B316" s="21" t="n"/>
      <c r="C316" s="21" t="n"/>
      <c r="D316" s="21" t="n"/>
      <c r="E316" s="21" t="n"/>
      <c r="F316" s="21" t="n"/>
      <c r="G316" s="21" t="n"/>
      <c r="H316" s="21" t="n"/>
      <c r="I316" s="22" t="n">
        <v>6257.27</v>
      </c>
    </row>
    <row r="317">
      <c r="A317" s="9" t="inlineStr">
        <is>
          <t>eap-5_11 — Regularização de valas com apiloamento do fundo</t>
        </is>
      </c>
    </row>
    <row r="318">
      <c r="A318" s="13" t="inlineStr">
        <is>
          <t>eap-5_11</t>
        </is>
      </c>
      <c r="B318" s="13" t="inlineStr">
        <is>
          <t>CPU-TERRA-ATI-019-M2</t>
        </is>
      </c>
      <c r="C318" s="13" t="inlineStr">
        <is>
          <t>Operador de Motoniveladora</t>
        </is>
      </c>
      <c r="D318" s="24" t="inlineStr">
        <is>
          <t>DIRETO</t>
        </is>
      </c>
      <c r="E318" s="25" t="n">
        <v>1</v>
      </c>
      <c r="F318" s="26" t="n">
        <v>17356.25</v>
      </c>
      <c r="G318" s="25" t="n">
        <v>0.23</v>
      </c>
      <c r="H318" s="25" t="n">
        <v>1</v>
      </c>
      <c r="I318" s="26" t="n">
        <v>3991.94</v>
      </c>
    </row>
    <row r="319">
      <c r="A319" s="13" t="inlineStr">
        <is>
          <t>eap-5_11</t>
        </is>
      </c>
      <c r="B319" s="13" t="inlineStr">
        <is>
          <t>CPU-TERRA-ATI-019-M2</t>
        </is>
      </c>
      <c r="C319" s="13" t="inlineStr">
        <is>
          <t>Encarregado de Terraplenagem</t>
        </is>
      </c>
      <c r="D319" s="24" t="inlineStr">
        <is>
          <t>DIRETO</t>
        </is>
      </c>
      <c r="E319" s="25" t="n">
        <v>1</v>
      </c>
      <c r="F319" s="26" t="n">
        <v>11549.8</v>
      </c>
      <c r="G319" s="25" t="n">
        <v>0.23</v>
      </c>
      <c r="H319" s="25" t="n">
        <v>1</v>
      </c>
      <c r="I319" s="26" t="n">
        <v>2656.45</v>
      </c>
    </row>
    <row r="320">
      <c r="A320" s="13" t="inlineStr">
        <is>
          <t>eap-5_11</t>
        </is>
      </c>
      <c r="B320" s="13" t="inlineStr">
        <is>
          <t>EQ-E0029</t>
        </is>
      </c>
      <c r="C320" s="13" t="inlineStr">
        <is>
          <t>Motoniveladora 140HP [EQ]</t>
        </is>
      </c>
      <c r="D320" s="74" t="inlineStr">
        <is>
          <t>EQ</t>
        </is>
      </c>
      <c r="E320" s="25" t="n">
        <v>1</v>
      </c>
      <c r="F320" s="26" t="n">
        <v>43326.98</v>
      </c>
      <c r="G320" s="25" t="n">
        <v>0.23</v>
      </c>
      <c r="H320" s="25" t="n">
        <v>1</v>
      </c>
      <c r="I320" s="26" t="n">
        <v>9965.209999999999</v>
      </c>
    </row>
    <row r="321">
      <c r="A321" s="13" t="inlineStr">
        <is>
          <t>eap-5_11</t>
        </is>
      </c>
      <c r="B321" s="13" t="inlineStr">
        <is>
          <t>EQ-E0029</t>
        </is>
      </c>
      <c r="C321" s="28" t="inlineStr">
        <is>
          <t>Diesel — Motoniveladora 140HP</t>
        </is>
      </c>
      <c r="D321" s="75" t="inlineStr">
        <is>
          <t>COMB</t>
        </is>
      </c>
      <c r="E321" s="25" t="n">
        <v>1</v>
      </c>
      <c r="F321" s="26" t="n">
        <v>14029.71</v>
      </c>
      <c r="G321" s="25" t="n">
        <v>0.23</v>
      </c>
      <c r="H321" s="25" t="n">
        <v>1</v>
      </c>
      <c r="I321" s="26" t="n">
        <v>3226.83</v>
      </c>
    </row>
    <row r="322">
      <c r="A322" s="20" t="inlineStr">
        <is>
          <t>Subtotal eap-5_11</t>
        </is>
      </c>
      <c r="B322" s="21" t="n"/>
      <c r="C322" s="21" t="n"/>
      <c r="D322" s="21" t="n"/>
      <c r="E322" s="21" t="n"/>
      <c r="F322" s="21" t="n"/>
      <c r="G322" s="21" t="n"/>
      <c r="H322" s="21" t="n"/>
      <c r="I322" s="22" t="n">
        <v>19378.54</v>
      </c>
    </row>
    <row r="323">
      <c r="A323" s="9" t="inlineStr">
        <is>
          <t>eap-5_13 — Hidrossemeadura para cobertura de taludes</t>
        </is>
      </c>
    </row>
    <row r="324">
      <c r="A324" s="11" t="inlineStr">
        <is>
          <t>eap-5_13</t>
        </is>
      </c>
      <c r="B324" s="11" t="inlineStr">
        <is>
          <t>CPU-TERRA-ATI-080</t>
        </is>
      </c>
      <c r="C324" s="11" t="inlineStr">
        <is>
          <t>Ajudante</t>
        </is>
      </c>
      <c r="D324" s="15" t="inlineStr">
        <is>
          <t>DIRETO</t>
        </is>
      </c>
      <c r="E324" s="16" t="n">
        <v>4</v>
      </c>
      <c r="F324" s="17" t="n">
        <v>21046.6</v>
      </c>
      <c r="G324" s="16" t="n">
        <v>0.23</v>
      </c>
      <c r="H324" s="16" t="n">
        <v>1</v>
      </c>
      <c r="I324" s="17" t="n">
        <v>4840.72</v>
      </c>
    </row>
    <row r="325">
      <c r="A325" s="11" t="inlineStr">
        <is>
          <t>eap-5_13</t>
        </is>
      </c>
      <c r="B325" s="11" t="inlineStr">
        <is>
          <t>EQ-HIDROSSEMEADORA</t>
        </is>
      </c>
      <c r="C325" s="11" t="inlineStr">
        <is>
          <t>Hidrossemeadora rebocável [EQ]</t>
        </is>
      </c>
      <c r="D325" s="72" t="inlineStr">
        <is>
          <t>EQ</t>
        </is>
      </c>
      <c r="E325" s="16" t="n">
        <v>1</v>
      </c>
      <c r="F325" s="17" t="n">
        <v>6160</v>
      </c>
      <c r="G325" s="16" t="n">
        <v>0.23</v>
      </c>
      <c r="H325" s="16" t="n">
        <v>1</v>
      </c>
      <c r="I325" s="17" t="n">
        <v>1416.8</v>
      </c>
    </row>
    <row r="326">
      <c r="A326" s="20" t="inlineStr">
        <is>
          <t>Subtotal eap-5_13</t>
        </is>
      </c>
      <c r="B326" s="21" t="n"/>
      <c r="C326" s="21" t="n"/>
      <c r="D326" s="21" t="n"/>
      <c r="E326" s="21" t="n"/>
      <c r="F326" s="21" t="n"/>
      <c r="G326" s="21" t="n"/>
      <c r="H326" s="21" t="n"/>
      <c r="I326" s="22" t="n">
        <v>6257.27</v>
      </c>
    </row>
    <row r="327">
      <c r="A327" s="9" t="inlineStr">
        <is>
          <t>eap-5_10 — Escavação mecanizada de cavas ou valas de solo local - volume geométrico</t>
        </is>
      </c>
    </row>
    <row r="328">
      <c r="A328" s="13" t="inlineStr">
        <is>
          <t>eap-5_10</t>
        </is>
      </c>
      <c r="B328" s="13" t="inlineStr">
        <is>
          <t>CPU-TERRA-ATI-011</t>
        </is>
      </c>
      <c r="C328" s="13" t="inlineStr">
        <is>
          <t>Operador de Escavadeira</t>
        </is>
      </c>
      <c r="D328" s="24" t="inlineStr">
        <is>
          <t>DIRETO</t>
        </is>
      </c>
      <c r="E328" s="25" t="n">
        <v>1</v>
      </c>
      <c r="F328" s="26" t="n">
        <v>12875</v>
      </c>
      <c r="G328" s="25" t="n">
        <v>0.23</v>
      </c>
      <c r="H328" s="25" t="n">
        <v>1</v>
      </c>
      <c r="I328" s="26" t="n">
        <v>2961.25</v>
      </c>
    </row>
    <row r="329">
      <c r="A329" s="13" t="inlineStr">
        <is>
          <t>eap-5_10</t>
        </is>
      </c>
      <c r="B329" s="13" t="inlineStr">
        <is>
          <t>CPU-TERRA-ATI-011</t>
        </is>
      </c>
      <c r="C329" s="13" t="inlineStr">
        <is>
          <t>Motorista de Caminhão Basculante</t>
        </is>
      </c>
      <c r="D329" s="24" t="inlineStr">
        <is>
          <t>DIRETO</t>
        </is>
      </c>
      <c r="E329" s="25" t="n">
        <v>3</v>
      </c>
      <c r="F329" s="26" t="n">
        <v>32056.02</v>
      </c>
      <c r="G329" s="25" t="n">
        <v>0.23</v>
      </c>
      <c r="H329" s="25" t="n">
        <v>1</v>
      </c>
      <c r="I329" s="26" t="n">
        <v>7372.88</v>
      </c>
    </row>
    <row r="330">
      <c r="A330" s="13" t="inlineStr">
        <is>
          <t>eap-5_10</t>
        </is>
      </c>
      <c r="B330" s="13" t="inlineStr">
        <is>
          <t>CPU-TERRA-ATI-011</t>
        </is>
      </c>
      <c r="C330" s="13" t="inlineStr">
        <is>
          <t>Motorista de Caminhão Basculante</t>
        </is>
      </c>
      <c r="D330" s="24" t="inlineStr">
        <is>
          <t>DIRETO</t>
        </is>
      </c>
      <c r="E330" s="25" t="n">
        <v>1</v>
      </c>
      <c r="F330" s="26" t="n">
        <v>10685.34</v>
      </c>
      <c r="G330" s="25" t="n">
        <v>0.23</v>
      </c>
      <c r="H330" s="25" t="n">
        <v>1</v>
      </c>
      <c r="I330" s="26" t="n">
        <v>2457.63</v>
      </c>
    </row>
    <row r="331">
      <c r="A331" s="13" t="inlineStr">
        <is>
          <t>eap-5_10</t>
        </is>
      </c>
      <c r="B331" s="13" t="inlineStr">
        <is>
          <t>CPU-TERRA-ATI-011</t>
        </is>
      </c>
      <c r="C331" s="13" t="inlineStr">
        <is>
          <t>Encarregado de Terraplenagem</t>
        </is>
      </c>
      <c r="D331" s="24" t="inlineStr">
        <is>
          <t>DIRETO</t>
        </is>
      </c>
      <c r="E331" s="25" t="n">
        <v>1</v>
      </c>
      <c r="F331" s="26" t="n">
        <v>11549.8</v>
      </c>
      <c r="G331" s="25" t="n">
        <v>0.23</v>
      </c>
      <c r="H331" s="25" t="n">
        <v>1</v>
      </c>
      <c r="I331" s="26" t="n">
        <v>2656.45</v>
      </c>
    </row>
    <row r="332">
      <c r="A332" s="13" t="inlineStr">
        <is>
          <t>eap-5_10</t>
        </is>
      </c>
      <c r="B332" s="13" t="inlineStr">
        <is>
          <t>EQ-E0016</t>
        </is>
      </c>
      <c r="C332" s="13" t="inlineStr">
        <is>
          <t>Escavadeira Hidráulica 22t [EQ]</t>
        </is>
      </c>
      <c r="D332" s="74" t="inlineStr">
        <is>
          <t>EQ</t>
        </is>
      </c>
      <c r="E332" s="25" t="n">
        <v>1</v>
      </c>
      <c r="F332" s="26" t="n">
        <v>35639.3</v>
      </c>
      <c r="G332" s="25" t="n">
        <v>0.23</v>
      </c>
      <c r="H332" s="25" t="n">
        <v>1</v>
      </c>
      <c r="I332" s="26" t="n">
        <v>8197.040000000001</v>
      </c>
    </row>
    <row r="333">
      <c r="A333" s="13" t="inlineStr">
        <is>
          <t>eap-5_10</t>
        </is>
      </c>
      <c r="B333" s="13" t="inlineStr">
        <is>
          <t>EQ-E0007</t>
        </is>
      </c>
      <c r="C333" s="13" t="inlineStr">
        <is>
          <t>Caminhão Basculante 14m³ [EQ]</t>
        </is>
      </c>
      <c r="D333" s="74" t="inlineStr">
        <is>
          <t>EQ</t>
        </is>
      </c>
      <c r="E333" s="25" t="n">
        <v>3</v>
      </c>
      <c r="F333" s="26" t="n">
        <v>25132.8</v>
      </c>
      <c r="G333" s="25" t="n">
        <v>0.23</v>
      </c>
      <c r="H333" s="25" t="n">
        <v>1</v>
      </c>
      <c r="I333" s="26" t="n">
        <v>5780.54</v>
      </c>
    </row>
    <row r="334">
      <c r="A334" s="13" t="inlineStr">
        <is>
          <t>eap-5_10</t>
        </is>
      </c>
      <c r="B334" s="13" t="inlineStr">
        <is>
          <t>EQ-E0007</t>
        </is>
      </c>
      <c r="C334" s="28" t="inlineStr">
        <is>
          <t>Diesel — Caminhão Basculante 14m³</t>
        </is>
      </c>
      <c r="D334" s="75" t="inlineStr">
        <is>
          <t>COMB</t>
        </is>
      </c>
      <c r="E334" s="25" t="n">
        <v>3</v>
      </c>
      <c r="F334" s="26" t="n">
        <v>9259.610000000001</v>
      </c>
      <c r="G334" s="25" t="n">
        <v>0.23</v>
      </c>
      <c r="H334" s="25" t="n">
        <v>1</v>
      </c>
      <c r="I334" s="26" t="n">
        <v>2129.71</v>
      </c>
    </row>
    <row r="335">
      <c r="A335" s="20" t="inlineStr">
        <is>
          <t>Subtotal eap-5_10</t>
        </is>
      </c>
      <c r="B335" s="21" t="n"/>
      <c r="C335" s="21" t="n"/>
      <c r="D335" s="21" t="n"/>
      <c r="E335" s="21" t="n"/>
      <c r="F335" s="21" t="n"/>
      <c r="G335" s="21" t="n"/>
      <c r="H335" s="21" t="n"/>
      <c r="I335" s="22" t="n">
        <v>46461.15</v>
      </c>
    </row>
    <row r="336">
      <c r="A336" s="9" t="inlineStr">
        <is>
          <t>eap-5_12 — Regularização de bota-fora com espalhamento e compactação</t>
        </is>
      </c>
    </row>
    <row r="337">
      <c r="A337" s="11" t="inlineStr">
        <is>
          <t>eap-5_12</t>
        </is>
      </c>
      <c r="B337" s="11" t="inlineStr">
        <is>
          <t>CPU-TERRA-ATI-019</t>
        </is>
      </c>
      <c r="C337" s="11" t="inlineStr">
        <is>
          <t>Operador de Motoniveladora</t>
        </is>
      </c>
      <c r="D337" s="15" t="inlineStr">
        <is>
          <t>DIRETO</t>
        </is>
      </c>
      <c r="E337" s="16" t="n">
        <v>1</v>
      </c>
      <c r="F337" s="17" t="n">
        <v>17356.25</v>
      </c>
      <c r="G337" s="16" t="n">
        <v>0.23</v>
      </c>
      <c r="H337" s="16" t="n">
        <v>1</v>
      </c>
      <c r="I337" s="17" t="n">
        <v>3991.94</v>
      </c>
    </row>
    <row r="338">
      <c r="A338" s="11" t="inlineStr">
        <is>
          <t>eap-5_12</t>
        </is>
      </c>
      <c r="B338" s="11" t="inlineStr">
        <is>
          <t>CPU-TERRA-ATI-019</t>
        </is>
      </c>
      <c r="C338" s="11" t="inlineStr">
        <is>
          <t>Operador de Rolo Compactador</t>
        </is>
      </c>
      <c r="D338" s="15" t="inlineStr">
        <is>
          <t>DIRETO</t>
        </is>
      </c>
      <c r="E338" s="16" t="n">
        <v>1</v>
      </c>
      <c r="F338" s="17" t="n">
        <v>10685.34</v>
      </c>
      <c r="G338" s="16" t="n">
        <v>0.23</v>
      </c>
      <c r="H338" s="16" t="n">
        <v>1</v>
      </c>
      <c r="I338" s="17" t="n">
        <v>2457.63</v>
      </c>
    </row>
    <row r="339">
      <c r="A339" s="11" t="inlineStr">
        <is>
          <t>eap-5_12</t>
        </is>
      </c>
      <c r="B339" s="11" t="inlineStr">
        <is>
          <t>CPU-TERRA-ATI-019</t>
        </is>
      </c>
      <c r="C339" s="11" t="inlineStr">
        <is>
          <t>Operador de Rolo Compactador</t>
        </is>
      </c>
      <c r="D339" s="15" t="inlineStr">
        <is>
          <t>DIRETO</t>
        </is>
      </c>
      <c r="E339" s="16" t="n">
        <v>1</v>
      </c>
      <c r="F339" s="17" t="n">
        <v>10685.34</v>
      </c>
      <c r="G339" s="16" t="n">
        <v>0.23</v>
      </c>
      <c r="H339" s="16" t="n">
        <v>1</v>
      </c>
      <c r="I339" s="17" t="n">
        <v>2457.63</v>
      </c>
    </row>
    <row r="340">
      <c r="A340" s="11" t="inlineStr">
        <is>
          <t>eap-5_12</t>
        </is>
      </c>
      <c r="B340" s="11" t="inlineStr">
        <is>
          <t>CPU-TERRA-ATI-019</t>
        </is>
      </c>
      <c r="C340" s="11" t="inlineStr">
        <is>
          <t>Encarregado de Terraplenagem</t>
        </is>
      </c>
      <c r="D340" s="15" t="inlineStr">
        <is>
          <t>DIRETO</t>
        </is>
      </c>
      <c r="E340" s="16" t="n">
        <v>1</v>
      </c>
      <c r="F340" s="17" t="n">
        <v>11549.8</v>
      </c>
      <c r="G340" s="16" t="n">
        <v>0.23</v>
      </c>
      <c r="H340" s="16" t="n">
        <v>1</v>
      </c>
      <c r="I340" s="17" t="n">
        <v>2656.45</v>
      </c>
    </row>
    <row r="341">
      <c r="A341" s="11" t="inlineStr">
        <is>
          <t>eap-5_12</t>
        </is>
      </c>
      <c r="B341" s="11" t="inlineStr">
        <is>
          <t>EQ-E0029</t>
        </is>
      </c>
      <c r="C341" s="11" t="inlineStr">
        <is>
          <t>Motoniveladora 140HP [EQ]</t>
        </is>
      </c>
      <c r="D341" s="72" t="inlineStr">
        <is>
          <t>EQ</t>
        </is>
      </c>
      <c r="E341" s="16" t="n">
        <v>1</v>
      </c>
      <c r="F341" s="17" t="n">
        <v>43326.98</v>
      </c>
      <c r="G341" s="16" t="n">
        <v>0.23</v>
      </c>
      <c r="H341" s="16" t="n">
        <v>1</v>
      </c>
      <c r="I341" s="17" t="n">
        <v>9965.209999999999</v>
      </c>
    </row>
    <row r="342">
      <c r="A342" s="11" t="inlineStr">
        <is>
          <t>eap-5_12</t>
        </is>
      </c>
      <c r="B342" s="11" t="inlineStr">
        <is>
          <t>EQ-E0029</t>
        </is>
      </c>
      <c r="C342" s="19" t="inlineStr">
        <is>
          <t>Diesel — Motoniveladora 140HP</t>
        </is>
      </c>
      <c r="D342" s="73" t="inlineStr">
        <is>
          <t>COMB</t>
        </is>
      </c>
      <c r="E342" s="16" t="n">
        <v>1</v>
      </c>
      <c r="F342" s="17" t="n">
        <v>14029.71</v>
      </c>
      <c r="G342" s="16" t="n">
        <v>0.23</v>
      </c>
      <c r="H342" s="16" t="n">
        <v>1</v>
      </c>
      <c r="I342" s="17" t="n">
        <v>3226.83</v>
      </c>
    </row>
    <row r="343">
      <c r="A343" s="11" t="inlineStr">
        <is>
          <t>eap-5_12</t>
        </is>
      </c>
      <c r="B343" s="11" t="inlineStr">
        <is>
          <t>EQ-E0035</t>
        </is>
      </c>
      <c r="C343" s="11" t="inlineStr">
        <is>
          <t>Trator de esteiras 20T [EQ]</t>
        </is>
      </c>
      <c r="D343" s="72" t="inlineStr">
        <is>
          <t>EQ</t>
        </is>
      </c>
      <c r="E343" s="16" t="n">
        <v>1</v>
      </c>
      <c r="F343" s="17" t="n">
        <v>21683.2</v>
      </c>
      <c r="G343" s="16" t="n">
        <v>0.23</v>
      </c>
      <c r="H343" s="16" t="n">
        <v>1</v>
      </c>
      <c r="I343" s="17" t="n">
        <v>4987.14</v>
      </c>
    </row>
    <row r="344">
      <c r="A344" s="11" t="inlineStr">
        <is>
          <t>eap-5_12</t>
        </is>
      </c>
      <c r="B344" s="11" t="inlineStr">
        <is>
          <t>EQ-E0035</t>
        </is>
      </c>
      <c r="C344" s="19" t="inlineStr">
        <is>
          <t>Diesel — Trator de esteiras 20T</t>
        </is>
      </c>
      <c r="D344" s="73" t="inlineStr">
        <is>
          <t>COMB</t>
        </is>
      </c>
      <c r="E344" s="16" t="n">
        <v>1</v>
      </c>
      <c r="F344" s="17" t="n">
        <v>22957.71</v>
      </c>
      <c r="G344" s="16" t="n">
        <v>0.23</v>
      </c>
      <c r="H344" s="16" t="n">
        <v>1</v>
      </c>
      <c r="I344" s="17" t="n">
        <v>5280.27</v>
      </c>
    </row>
    <row r="345">
      <c r="A345" s="11" t="inlineStr">
        <is>
          <t>eap-5_12</t>
        </is>
      </c>
      <c r="B345" s="11" t="inlineStr">
        <is>
          <t>EQ-E0010</t>
        </is>
      </c>
      <c r="C345" s="11" t="inlineStr">
        <is>
          <t>Caminhão Pipa 10.000L [EQ]</t>
        </is>
      </c>
      <c r="D345" s="72" t="inlineStr">
        <is>
          <t>EQ</t>
        </is>
      </c>
      <c r="E345" s="16" t="n">
        <v>1</v>
      </c>
      <c r="F345" s="17" t="n">
        <v>19360</v>
      </c>
      <c r="G345" s="16" t="n">
        <v>0.23</v>
      </c>
      <c r="H345" s="16" t="n">
        <v>1</v>
      </c>
      <c r="I345" s="17" t="n">
        <v>4452.8</v>
      </c>
    </row>
    <row r="346">
      <c r="A346" s="11" t="inlineStr">
        <is>
          <t>eap-5_12</t>
        </is>
      </c>
      <c r="B346" s="11" t="inlineStr">
        <is>
          <t>EQ-E0010</t>
        </is>
      </c>
      <c r="C346" s="19" t="inlineStr">
        <is>
          <t>Diesel — Caminhão Pipa 10.000L</t>
        </is>
      </c>
      <c r="D346" s="73" t="inlineStr">
        <is>
          <t>COMB</t>
        </is>
      </c>
      <c r="E346" s="16" t="n">
        <v>1</v>
      </c>
      <c r="F346" s="17" t="n">
        <v>2550.86</v>
      </c>
      <c r="G346" s="16" t="n">
        <v>0.23</v>
      </c>
      <c r="H346" s="16" t="n">
        <v>1</v>
      </c>
      <c r="I346" s="17" t="n">
        <v>586.7</v>
      </c>
    </row>
    <row r="347">
      <c r="A347" s="20" t="inlineStr">
        <is>
          <t>Subtotal eap-5_12</t>
        </is>
      </c>
      <c r="B347" s="21" t="n"/>
      <c r="C347" s="21" t="n"/>
      <c r="D347" s="21" t="n"/>
      <c r="E347" s="21" t="n"/>
      <c r="F347" s="21" t="n"/>
      <c r="G347" s="21" t="n"/>
      <c r="H347" s="21" t="n"/>
      <c r="I347" s="22" t="n">
        <v>38761.54</v>
      </c>
    </row>
    <row r="348">
      <c r="A348" s="9" t="inlineStr">
        <is>
          <t>eap-5_14 — manutenção de cobertura de gramíneas por hidrossemeadura</t>
        </is>
      </c>
    </row>
    <row r="349">
      <c r="A349" s="13" t="inlineStr">
        <is>
          <t>eap-5_14</t>
        </is>
      </c>
      <c r="B349" s="13" t="inlineStr">
        <is>
          <t>CPU-TERRA-ATI-080</t>
        </is>
      </c>
      <c r="C349" s="13" t="inlineStr">
        <is>
          <t>Ajudante</t>
        </is>
      </c>
      <c r="D349" s="24" t="inlineStr">
        <is>
          <t>DIRETO</t>
        </is>
      </c>
      <c r="E349" s="25" t="n">
        <v>4</v>
      </c>
      <c r="F349" s="26" t="n">
        <v>21046.6</v>
      </c>
      <c r="G349" s="25" t="n">
        <v>0.23</v>
      </c>
      <c r="H349" s="25" t="n">
        <v>1</v>
      </c>
      <c r="I349" s="26" t="n">
        <v>4840.72</v>
      </c>
    </row>
    <row r="350">
      <c r="A350" s="13" t="inlineStr">
        <is>
          <t>eap-5_14</t>
        </is>
      </c>
      <c r="B350" s="13" t="inlineStr">
        <is>
          <t>EQ-HIDROSSEMEADORA</t>
        </is>
      </c>
      <c r="C350" s="13" t="inlineStr">
        <is>
          <t>Hidrossemeadora rebocável [EQ]</t>
        </is>
      </c>
      <c r="D350" s="74" t="inlineStr">
        <is>
          <t>EQ</t>
        </is>
      </c>
      <c r="E350" s="25" t="n">
        <v>1</v>
      </c>
      <c r="F350" s="26" t="n">
        <v>6160</v>
      </c>
      <c r="G350" s="25" t="n">
        <v>0.23</v>
      </c>
      <c r="H350" s="25" t="n">
        <v>1</v>
      </c>
      <c r="I350" s="26" t="n">
        <v>1416.8</v>
      </c>
    </row>
    <row r="351">
      <c r="A351" s="20" t="inlineStr">
        <is>
          <t>Subtotal eap-5_14</t>
        </is>
      </c>
      <c r="B351" s="21" t="n"/>
      <c r="C351" s="21" t="n"/>
      <c r="D351" s="21" t="n"/>
      <c r="E351" s="21" t="n"/>
      <c r="F351" s="21" t="n"/>
      <c r="G351" s="21" t="n"/>
      <c r="H351" s="21" t="n"/>
      <c r="I351" s="22" t="n">
        <v>6257.27</v>
      </c>
    </row>
    <row r="353">
      <c r="A353" s="29" t="inlineStr">
        <is>
          <t>TOTAL EQUIPES DIRETAS</t>
        </is>
      </c>
      <c r="I353" s="30">
        <f>I12+I18+I33+I37+I45+I60+I73+I83+I89+I98+I106+I115+I125+I137+I145+I151+I160+I166+I176+I184+I199+I203+I215+I220+I235+I243+I252+I261+I273+I283+I287+I291+I300+I312+I316+I322+I326+I335+I347+I351</f>
        <v/>
      </c>
    </row>
  </sheetData>
  <mergeCells count="42">
    <mergeCell ref="A221:I221"/>
    <mergeCell ref="A90:I90"/>
    <mergeCell ref="A99:I99"/>
    <mergeCell ref="A46:I46"/>
    <mergeCell ref="A84:I84"/>
    <mergeCell ref="A177:I177"/>
    <mergeCell ref="A292:I292"/>
    <mergeCell ref="A317:I317"/>
    <mergeCell ref="A3:I3"/>
    <mergeCell ref="A236:I236"/>
    <mergeCell ref="A74:I74"/>
    <mergeCell ref="A301:I301"/>
    <mergeCell ref="A204:I204"/>
    <mergeCell ref="A313:I313"/>
    <mergeCell ref="A185:I185"/>
    <mergeCell ref="A116:I116"/>
    <mergeCell ref="A126:I126"/>
    <mergeCell ref="A253:I253"/>
    <mergeCell ref="A200:I200"/>
    <mergeCell ref="A244:I244"/>
    <mergeCell ref="A262:I262"/>
    <mergeCell ref="A327:I327"/>
    <mergeCell ref="A38:I38"/>
    <mergeCell ref="A336:I336"/>
    <mergeCell ref="A274:I274"/>
    <mergeCell ref="A19:I19"/>
    <mergeCell ref="A152:I152"/>
    <mergeCell ref="A323:I323"/>
    <mergeCell ref="A348:I348"/>
    <mergeCell ref="A161:I161"/>
    <mergeCell ref="A13:I13"/>
    <mergeCell ref="A288:I288"/>
    <mergeCell ref="A34:I34"/>
    <mergeCell ref="A167:I167"/>
    <mergeCell ref="A107:I107"/>
    <mergeCell ref="A284:I284"/>
    <mergeCell ref="A216:I216"/>
    <mergeCell ref="A138:I138"/>
    <mergeCell ref="A1:I1"/>
    <mergeCell ref="A146:I146"/>
    <mergeCell ref="A61:I61"/>
    <mergeCell ref="A353:H35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eap-4_7</t>
        </is>
      </c>
      <c r="B3" s="11" t="inlineStr">
        <is>
          <t>CPU-PAVIM-ATI-060</t>
        </is>
      </c>
      <c r="C3" s="17" t="n">
        <v>213565.79</v>
      </c>
      <c r="D3" s="17" t="n">
        <v>297604.81</v>
      </c>
      <c r="E3" s="76" t="n">
        <v>84039.02</v>
      </c>
      <c r="F3" s="15" t="inlineStr">
        <is>
          <t>OK</t>
        </is>
      </c>
    </row>
    <row r="4">
      <c r="A4" s="13" t="inlineStr">
        <is>
          <t>eap-4_8</t>
        </is>
      </c>
      <c r="B4" s="13" t="inlineStr">
        <is>
          <t>CPU-DIVER-ATI-066</t>
        </is>
      </c>
      <c r="C4" s="26" t="n">
        <v>21193.47</v>
      </c>
      <c r="D4" s="26" t="n">
        <v>28504.26</v>
      </c>
      <c r="E4" s="77" t="n">
        <v>7310.79</v>
      </c>
      <c r="F4" s="24" t="inlineStr">
        <is>
          <t>OK</t>
        </is>
      </c>
    </row>
    <row r="5">
      <c r="A5" s="11" t="inlineStr">
        <is>
          <t>eap-4_4</t>
        </is>
      </c>
      <c r="B5" s="11" t="inlineStr">
        <is>
          <t>CPU-PAVIM-ATI-054</t>
        </is>
      </c>
      <c r="C5" s="17" t="n">
        <v>249055.5</v>
      </c>
      <c r="D5" s="17" t="n">
        <v>896104.2</v>
      </c>
      <c r="E5" s="76" t="n">
        <v>647048.7</v>
      </c>
      <c r="F5" s="15" t="inlineStr">
        <is>
          <t>OK</t>
        </is>
      </c>
    </row>
    <row r="6">
      <c r="A6" s="13" t="inlineStr">
        <is>
          <t>eap-7_1</t>
        </is>
      </c>
      <c r="B6" s="13" t="inlineStr">
        <is>
          <t>CPU-TERRA-ATI-080</t>
        </is>
      </c>
      <c r="C6" s="26" t="n">
        <v>43802.63</v>
      </c>
      <c r="D6" s="26" t="n">
        <v>58912.56</v>
      </c>
      <c r="E6" s="77" t="n">
        <v>15109.93</v>
      </c>
      <c r="F6" s="24" t="inlineStr">
        <is>
          <t>OK</t>
        </is>
      </c>
    </row>
    <row r="7">
      <c r="A7" s="11" t="inlineStr">
        <is>
          <t>eap-2_2</t>
        </is>
      </c>
      <c r="B7" s="11" t="inlineStr">
        <is>
          <t>CPU-TERRA-ATI-011-DMT-LONGA</t>
        </is>
      </c>
      <c r="C7" s="17" t="n">
        <v>1125427.85</v>
      </c>
      <c r="D7" s="17" t="n">
        <v>1565468.21</v>
      </c>
      <c r="E7" s="76" t="n">
        <v>440040.36</v>
      </c>
      <c r="F7" s="15" t="inlineStr">
        <is>
          <t>OK</t>
        </is>
      </c>
    </row>
    <row r="8">
      <c r="A8" s="13" t="inlineStr">
        <is>
          <t>eap-4_3</t>
        </is>
      </c>
      <c r="B8" s="13" t="inlineStr">
        <is>
          <t>CPU-PAVIM-ATI-054</t>
        </is>
      </c>
      <c r="C8" s="26" t="n">
        <v>249055.5</v>
      </c>
      <c r="D8" s="26" t="n">
        <v>908856.85</v>
      </c>
      <c r="E8" s="77" t="n">
        <v>659801.35</v>
      </c>
      <c r="F8" s="24" t="inlineStr">
        <is>
          <t>OK</t>
        </is>
      </c>
    </row>
    <row r="9">
      <c r="A9" s="11" t="inlineStr">
        <is>
          <t>eap-2_3</t>
        </is>
      </c>
      <c r="B9" s="11" t="inlineStr">
        <is>
          <t>CPU-TERRA-ATI-017</t>
        </is>
      </c>
      <c r="C9" s="17" t="n">
        <v>365792.08</v>
      </c>
      <c r="D9" s="17" t="n">
        <v>491973.89</v>
      </c>
      <c r="E9" s="76" t="n">
        <v>126181.81</v>
      </c>
      <c r="F9" s="15" t="inlineStr">
        <is>
          <t>OK</t>
        </is>
      </c>
    </row>
    <row r="10">
      <c r="A10" s="13" t="inlineStr">
        <is>
          <t>eap-3_1</t>
        </is>
      </c>
      <c r="B10" s="13" t="inlineStr">
        <is>
          <t>CPU-PAVIM-ATI-060</t>
        </is>
      </c>
      <c r="C10" s="26" t="n">
        <v>319049.64</v>
      </c>
      <c r="D10" s="26" t="n">
        <v>446968.7</v>
      </c>
      <c r="E10" s="77" t="n">
        <v>127919.06</v>
      </c>
      <c r="F10" s="24" t="inlineStr">
        <is>
          <t>OK</t>
        </is>
      </c>
    </row>
    <row r="11">
      <c r="A11" s="11" t="inlineStr">
        <is>
          <t>eap-4_1</t>
        </is>
      </c>
      <c r="B11" s="11" t="inlineStr">
        <is>
          <t>CPU-TERRA-ATI-019-M2</t>
        </is>
      </c>
      <c r="C11" s="17" t="n">
        <v>115815.42</v>
      </c>
      <c r="D11" s="17" t="n">
        <v>155766.53</v>
      </c>
      <c r="E11" s="76" t="n">
        <v>39951.11</v>
      </c>
      <c r="F11" s="15" t="inlineStr">
        <is>
          <t>OK</t>
        </is>
      </c>
    </row>
    <row r="12">
      <c r="A12" s="13" t="inlineStr">
        <is>
          <t>eap-4_5</t>
        </is>
      </c>
      <c r="B12" s="13" t="inlineStr">
        <is>
          <t>CPU-PAVIM-ATI-056</t>
        </is>
      </c>
      <c r="C12" s="26" t="n">
        <v>16540.9</v>
      </c>
      <c r="D12" s="26" t="n">
        <v>154718.95</v>
      </c>
      <c r="E12" s="77" t="n">
        <v>138178.05</v>
      </c>
      <c r="F12" s="24" t="inlineStr">
        <is>
          <t>OK</t>
        </is>
      </c>
    </row>
    <row r="13">
      <c r="A13" s="11" t="inlineStr">
        <is>
          <t>eap-4_2</t>
        </is>
      </c>
      <c r="B13" s="11" t="inlineStr">
        <is>
          <t>CPU-TERRA-ATI-011-DMT-LONGA</t>
        </is>
      </c>
      <c r="C13" s="17" t="n">
        <v>601171.11</v>
      </c>
      <c r="D13" s="17" t="n">
        <v>831257.13</v>
      </c>
      <c r="E13" s="76" t="n">
        <v>230086.02</v>
      </c>
      <c r="F13" s="15" t="inlineStr">
        <is>
          <t>OK</t>
        </is>
      </c>
    </row>
    <row r="14">
      <c r="A14" s="13" t="inlineStr">
        <is>
          <t>eap-4_6</t>
        </is>
      </c>
      <c r="B14" s="13" t="inlineStr">
        <is>
          <t>CPU-PAVIM-ATI-057</t>
        </is>
      </c>
      <c r="C14" s="26" t="n">
        <v>66163.73</v>
      </c>
      <c r="D14" s="26" t="n">
        <v>218147.62</v>
      </c>
      <c r="E14" s="77" t="n">
        <v>151983.89</v>
      </c>
      <c r="F14" s="24" t="inlineStr">
        <is>
          <t>OK</t>
        </is>
      </c>
    </row>
    <row r="15">
      <c r="A15" s="11" t="inlineStr">
        <is>
          <t>eap-1_2</t>
        </is>
      </c>
      <c r="B15" s="11" t="inlineStr">
        <is>
          <t>CPU-TERRA-ESCO-CARGA-1CAT-DMT2000</t>
        </is>
      </c>
      <c r="C15" s="17" t="n">
        <v>60681.75</v>
      </c>
      <c r="D15" s="17" t="n">
        <v>160681.14</v>
      </c>
      <c r="E15" s="76" t="n">
        <v>99999.39</v>
      </c>
      <c r="F15" s="15" t="inlineStr">
        <is>
          <t>OK</t>
        </is>
      </c>
    </row>
    <row r="16">
      <c r="A16" s="13" t="inlineStr">
        <is>
          <t>eap-1_3</t>
        </is>
      </c>
      <c r="B16" s="13" t="inlineStr">
        <is>
          <t>CPU-TERRA-ATI-019</t>
        </is>
      </c>
      <c r="C16" s="26" t="n">
        <v>117588.77</v>
      </c>
      <c r="D16" s="26" t="n">
        <v>6898287.61</v>
      </c>
      <c r="E16" s="77" t="n">
        <v>6780698.84</v>
      </c>
      <c r="F16" s="24" t="inlineStr">
        <is>
          <t>OK</t>
        </is>
      </c>
    </row>
    <row r="17">
      <c r="A17" s="78" t="inlineStr">
        <is>
          <t>eap-1_1</t>
        </is>
      </c>
      <c r="B17" s="78" t="inlineStr">
        <is>
          <t>CPU-TERRA-ATI-003</t>
        </is>
      </c>
      <c r="C17" s="79" t="n">
        <v>201179.73</v>
      </c>
      <c r="D17" s="79" t="n">
        <v>61099.5</v>
      </c>
      <c r="E17" s="80" t="n">
        <v>-140080.23</v>
      </c>
      <c r="F17" s="81" t="inlineStr">
        <is>
          <t>ERRO</t>
        </is>
      </c>
    </row>
    <row r="18">
      <c r="A18" s="13" t="inlineStr">
        <is>
          <t>eap-5_6</t>
        </is>
      </c>
      <c r="B18" s="13" t="inlineStr">
        <is>
          <t>CPU-TERRA-ATI-019-M2</t>
        </is>
      </c>
      <c r="C18" s="26" t="n">
        <v>19379.31</v>
      </c>
      <c r="D18" s="26" t="n">
        <v>26064.31</v>
      </c>
      <c r="E18" s="77" t="n">
        <v>6685</v>
      </c>
      <c r="F18" s="24" t="inlineStr">
        <is>
          <t>OK</t>
        </is>
      </c>
    </row>
    <row r="19">
      <c r="A19" s="11" t="inlineStr">
        <is>
          <t>eap-6_5</t>
        </is>
      </c>
      <c r="B19" s="11" t="inlineStr">
        <is>
          <t>CPU-PAVIM-ATI-057</t>
        </is>
      </c>
      <c r="C19" s="17" t="n">
        <v>16540.9</v>
      </c>
      <c r="D19" s="17" t="n">
        <v>24907.38</v>
      </c>
      <c r="E19" s="76" t="n">
        <v>8366.48</v>
      </c>
      <c r="F19" s="15" t="inlineStr">
        <is>
          <t>OK</t>
        </is>
      </c>
    </row>
    <row r="20">
      <c r="A20" s="13" t="inlineStr">
        <is>
          <t>eap-6_11</t>
        </is>
      </c>
      <c r="B20" s="13" t="inlineStr">
        <is>
          <t>CPU-DIVER-ATI-065</t>
        </is>
      </c>
      <c r="C20" s="26" t="n">
        <v>10579.96</v>
      </c>
      <c r="D20" s="26" t="n">
        <v>14229.57</v>
      </c>
      <c r="E20" s="77" t="n">
        <v>3649.61</v>
      </c>
      <c r="F20" s="24" t="inlineStr">
        <is>
          <t>OK</t>
        </is>
      </c>
    </row>
    <row r="21">
      <c r="A21" s="11" t="inlineStr">
        <is>
          <t>eap-3_2</t>
        </is>
      </c>
      <c r="B21" s="11" t="inlineStr">
        <is>
          <t>CPU-TERRA-ESCO-CARGA-1CAT-DMT2000</t>
        </is>
      </c>
      <c r="C21" s="17" t="n">
        <v>20059.57</v>
      </c>
      <c r="D21" s="17" t="n">
        <v>43260.31</v>
      </c>
      <c r="E21" s="76" t="n">
        <v>23200.74</v>
      </c>
      <c r="F21" s="15" t="inlineStr">
        <is>
          <t>OK</t>
        </is>
      </c>
    </row>
    <row r="22">
      <c r="A22" s="13" t="inlineStr">
        <is>
          <t>eap-6_4</t>
        </is>
      </c>
      <c r="B22" s="13" t="inlineStr">
        <is>
          <t>CPU-TERRA-REGULARIZACAO-SUBLEITO</t>
        </is>
      </c>
      <c r="C22" s="26" t="n">
        <v>24926.31</v>
      </c>
      <c r="D22" s="26" t="n">
        <v>33524.77</v>
      </c>
      <c r="E22" s="77" t="n">
        <v>8598.459999999999</v>
      </c>
      <c r="F22" s="24" t="inlineStr">
        <is>
          <t>OK</t>
        </is>
      </c>
    </row>
    <row r="23">
      <c r="A23" s="11" t="inlineStr">
        <is>
          <t>eap-6_6</t>
        </is>
      </c>
      <c r="B23" s="11" t="inlineStr">
        <is>
          <t>CPU-PAVIM-ATI-058</t>
        </is>
      </c>
      <c r="C23" s="17" t="n">
        <v>49539.13</v>
      </c>
      <c r="D23" s="17" t="n">
        <v>83777</v>
      </c>
      <c r="E23" s="76" t="n">
        <v>34237.87</v>
      </c>
      <c r="F23" s="15" t="inlineStr">
        <is>
          <t>OK</t>
        </is>
      </c>
    </row>
    <row r="24">
      <c r="A24" s="13" t="inlineStr">
        <is>
          <t>eap-5_8</t>
        </is>
      </c>
      <c r="B24" s="13" t="inlineStr">
        <is>
          <t>CPU-TERRA-ATI-080</t>
        </is>
      </c>
      <c r="C24" s="26" t="n">
        <v>6257.52</v>
      </c>
      <c r="D24" s="26" t="n">
        <v>8416.08</v>
      </c>
      <c r="E24" s="77" t="n">
        <v>2158.56</v>
      </c>
      <c r="F24" s="24" t="inlineStr">
        <is>
          <t>OK</t>
        </is>
      </c>
    </row>
    <row r="25">
      <c r="A25" s="11" t="inlineStr">
        <is>
          <t>eap-3_3</t>
        </is>
      </c>
      <c r="B25" s="11" t="inlineStr">
        <is>
          <t>CPU-TERRA-ATI-019</t>
        </is>
      </c>
      <c r="C25" s="17" t="n">
        <v>38763.09</v>
      </c>
      <c r="D25" s="17" t="n">
        <v>1866786.61</v>
      </c>
      <c r="E25" s="76" t="n">
        <v>1828023.52</v>
      </c>
      <c r="F25" s="15" t="inlineStr">
        <is>
          <t>OK</t>
        </is>
      </c>
    </row>
    <row r="26">
      <c r="A26" s="13" t="inlineStr">
        <is>
          <t>eap-6_3</t>
        </is>
      </c>
      <c r="B26" s="13" t="inlineStr">
        <is>
          <t>CPU-TERRA-ATI-005</t>
        </is>
      </c>
      <c r="C26" s="26" t="n">
        <v>162226.84</v>
      </c>
      <c r="D26" s="26" t="n">
        <v>218187.8</v>
      </c>
      <c r="E26" s="77" t="n">
        <v>55960.96</v>
      </c>
      <c r="F26" s="24" t="inlineStr">
        <is>
          <t>OK</t>
        </is>
      </c>
    </row>
    <row r="27">
      <c r="A27" s="11" t="inlineStr">
        <is>
          <t>eap-6_7</t>
        </is>
      </c>
      <c r="B27" s="11" t="inlineStr">
        <is>
          <t>CPU-PAVIM-ATI-058</t>
        </is>
      </c>
      <c r="C27" s="17" t="n">
        <v>49539.13</v>
      </c>
      <c r="D27" s="17" t="n">
        <v>79170.33</v>
      </c>
      <c r="E27" s="76" t="n">
        <v>29631.2</v>
      </c>
      <c r="F27" s="15" t="inlineStr">
        <is>
          <t>OK</t>
        </is>
      </c>
    </row>
    <row r="28">
      <c r="A28" s="13" t="inlineStr">
        <is>
          <t>eap-5_16</t>
        </is>
      </c>
      <c r="B28" s="13" t="inlineStr">
        <is>
          <t>CPU-TERRA-REGULARIZACAO-SUBLEITO</t>
        </is>
      </c>
      <c r="C28" s="26" t="n">
        <v>24926.31</v>
      </c>
      <c r="D28" s="26" t="n">
        <v>33524.77</v>
      </c>
      <c r="E28" s="77" t="n">
        <v>8598.459999999999</v>
      </c>
      <c r="F28" s="24" t="inlineStr">
        <is>
          <t>OK</t>
        </is>
      </c>
    </row>
    <row r="29">
      <c r="A29" s="11" t="inlineStr">
        <is>
          <t>eap-5_5</t>
        </is>
      </c>
      <c r="B29" s="11" t="inlineStr">
        <is>
          <t>CPU-TERRA-ATI-011</t>
        </is>
      </c>
      <c r="C29" s="17" t="n">
        <v>46463.01</v>
      </c>
      <c r="D29" s="17" t="n">
        <v>63984.23</v>
      </c>
      <c r="E29" s="76" t="n">
        <v>17521.22</v>
      </c>
      <c r="F29" s="15" t="inlineStr">
        <is>
          <t>OK</t>
        </is>
      </c>
    </row>
    <row r="30">
      <c r="A30" s="13" t="inlineStr">
        <is>
          <t>eap-2_1</t>
        </is>
      </c>
      <c r="B30" s="13" t="inlineStr">
        <is>
          <t>CPU-TERRA-ATI-011</t>
        </is>
      </c>
      <c r="C30" s="26" t="n">
        <v>46463.01</v>
      </c>
      <c r="D30" s="26" t="n">
        <v>63725.46</v>
      </c>
      <c r="E30" s="77" t="n">
        <v>17262.45</v>
      </c>
      <c r="F30" s="24" t="inlineStr">
        <is>
          <t>OK</t>
        </is>
      </c>
    </row>
    <row r="31">
      <c r="A31" s="11" t="inlineStr">
        <is>
          <t>eap-5_7</t>
        </is>
      </c>
      <c r="B31" s="11" t="inlineStr">
        <is>
          <t>CPU-TERRA-ATI-019</t>
        </is>
      </c>
      <c r="C31" s="17" t="n">
        <v>38763.09</v>
      </c>
      <c r="D31" s="17" t="n">
        <v>676463.04</v>
      </c>
      <c r="E31" s="76" t="n">
        <v>637699.95</v>
      </c>
      <c r="F31" s="15" t="inlineStr">
        <is>
          <t>OK</t>
        </is>
      </c>
    </row>
    <row r="32">
      <c r="A32" s="13" t="inlineStr">
        <is>
          <t>eap-4_9</t>
        </is>
      </c>
      <c r="B32" s="13" t="inlineStr">
        <is>
          <t>CPU-PAVIM-ATI-060</t>
        </is>
      </c>
      <c r="C32" s="26" t="n">
        <v>53391.22</v>
      </c>
      <c r="D32" s="26" t="n">
        <v>72063.95</v>
      </c>
      <c r="E32" s="77" t="n">
        <v>18672.73</v>
      </c>
      <c r="F32" s="24" t="inlineStr">
        <is>
          <t>OK</t>
        </is>
      </c>
    </row>
    <row r="33">
      <c r="A33" s="11" t="inlineStr">
        <is>
          <t>eap-5_18</t>
        </is>
      </c>
      <c r="B33" s="11" t="inlineStr">
        <is>
          <t>CPU-TERRA-ATI-080</t>
        </is>
      </c>
      <c r="C33" s="17" t="n">
        <v>6257.52</v>
      </c>
      <c r="D33" s="17" t="n">
        <v>8416.08</v>
      </c>
      <c r="E33" s="76" t="n">
        <v>2158.56</v>
      </c>
      <c r="F33" s="15" t="inlineStr">
        <is>
          <t>OK</t>
        </is>
      </c>
    </row>
    <row r="34">
      <c r="A34" s="13" t="inlineStr">
        <is>
          <t>eap-5_9</t>
        </is>
      </c>
      <c r="B34" s="13" t="inlineStr">
        <is>
          <t>CPU-TERRA-ATI-080</t>
        </is>
      </c>
      <c r="C34" s="26" t="n">
        <v>6257.52</v>
      </c>
      <c r="D34" s="26" t="n">
        <v>8416.08</v>
      </c>
      <c r="E34" s="77" t="n">
        <v>2158.56</v>
      </c>
      <c r="F34" s="24" t="inlineStr">
        <is>
          <t>OK</t>
        </is>
      </c>
    </row>
    <row r="35">
      <c r="A35" s="11" t="inlineStr">
        <is>
          <t>eap-5_15</t>
        </is>
      </c>
      <c r="B35" s="11" t="inlineStr">
        <is>
          <t>CPU-TERRA-ATI-011</t>
        </is>
      </c>
      <c r="C35" s="17" t="n">
        <v>46463.01</v>
      </c>
      <c r="D35" s="17" t="n">
        <v>62768.61</v>
      </c>
      <c r="E35" s="76" t="n">
        <v>16305.6</v>
      </c>
      <c r="F35" s="15" t="inlineStr">
        <is>
          <t>OK</t>
        </is>
      </c>
    </row>
    <row r="36">
      <c r="A36" s="13" t="inlineStr">
        <is>
          <t>eap-5_17</t>
        </is>
      </c>
      <c r="B36" s="13" t="inlineStr">
        <is>
          <t>CPU-PAVIM-PAV-BASE-BGTC</t>
        </is>
      </c>
      <c r="C36" s="26" t="n">
        <v>43061.72</v>
      </c>
      <c r="D36" s="26" t="n">
        <v>89257.3</v>
      </c>
      <c r="E36" s="77" t="n">
        <v>46195.58</v>
      </c>
      <c r="F36" s="24" t="inlineStr">
        <is>
          <t>OK</t>
        </is>
      </c>
    </row>
    <row r="37">
      <c r="A37" s="11" t="inlineStr">
        <is>
          <t>eap-5_19</t>
        </is>
      </c>
      <c r="B37" s="11" t="inlineStr">
        <is>
          <t>CPU-TERRA-ATI-080</t>
        </is>
      </c>
      <c r="C37" s="17" t="n">
        <v>6257.52</v>
      </c>
      <c r="D37" s="17" t="n">
        <v>8416.08</v>
      </c>
      <c r="E37" s="76" t="n">
        <v>2158.56</v>
      </c>
      <c r="F37" s="15" t="inlineStr">
        <is>
          <t>OK</t>
        </is>
      </c>
    </row>
    <row r="38">
      <c r="A38" s="13" t="inlineStr">
        <is>
          <t>eap-5_11</t>
        </is>
      </c>
      <c r="B38" s="13" t="inlineStr">
        <is>
          <t>CPU-TERRA-ATI-019-M2</t>
        </is>
      </c>
      <c r="C38" s="26" t="n">
        <v>19379.31</v>
      </c>
      <c r="D38" s="26" t="n">
        <v>26064.31</v>
      </c>
      <c r="E38" s="77" t="n">
        <v>6685</v>
      </c>
      <c r="F38" s="24" t="inlineStr">
        <is>
          <t>OK</t>
        </is>
      </c>
    </row>
    <row r="39">
      <c r="A39" s="11" t="inlineStr">
        <is>
          <t>eap-5_13</t>
        </is>
      </c>
      <c r="B39" s="11" t="inlineStr">
        <is>
          <t>CPU-TERRA-ATI-080</t>
        </is>
      </c>
      <c r="C39" s="17" t="n">
        <v>6257.52</v>
      </c>
      <c r="D39" s="17" t="n">
        <v>8416.08</v>
      </c>
      <c r="E39" s="76" t="n">
        <v>2158.56</v>
      </c>
      <c r="F39" s="15" t="inlineStr">
        <is>
          <t>OK</t>
        </is>
      </c>
    </row>
    <row r="40">
      <c r="A40" s="13" t="inlineStr">
        <is>
          <t>eap-5_10</t>
        </is>
      </c>
      <c r="B40" s="13" t="inlineStr">
        <is>
          <t>CPU-TERRA-ATI-011</t>
        </is>
      </c>
      <c r="C40" s="26" t="n">
        <v>46463.01</v>
      </c>
      <c r="D40" s="26" t="n">
        <v>62509.85</v>
      </c>
      <c r="E40" s="77" t="n">
        <v>16046.84</v>
      </c>
      <c r="F40" s="24" t="inlineStr">
        <is>
          <t>OK</t>
        </is>
      </c>
    </row>
    <row r="41">
      <c r="A41" s="11" t="inlineStr">
        <is>
          <t>eap-5_12</t>
        </is>
      </c>
      <c r="B41" s="11" t="inlineStr">
        <is>
          <t>CPU-TERRA-ATI-019</t>
        </is>
      </c>
      <c r="C41" s="17" t="n">
        <v>38763.09</v>
      </c>
      <c r="D41" s="17" t="n">
        <v>60157.45</v>
      </c>
      <c r="E41" s="76" t="n">
        <v>21394.36</v>
      </c>
      <c r="F41" s="15" t="inlineStr">
        <is>
          <t>OK</t>
        </is>
      </c>
    </row>
    <row r="42">
      <c r="A42" s="13" t="inlineStr">
        <is>
          <t>eap-5_14</t>
        </is>
      </c>
      <c r="B42" s="13" t="inlineStr">
        <is>
          <t>CPU-TERRA-ATI-080</t>
        </is>
      </c>
      <c r="C42" s="26" t="n">
        <v>6257.52</v>
      </c>
      <c r="D42" s="26" t="n">
        <v>8416.08</v>
      </c>
      <c r="E42" s="77" t="n">
        <v>2158.56</v>
      </c>
      <c r="F42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RUMO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2024-12-30 -&gt; 2025-07-06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PLANEJAMENTO!$I$44</f>
        <v/>
      </c>
      <c r="C11" s="14" t="n"/>
    </row>
    <row r="12">
      <c r="A12" s="82" t="inlineStr">
        <is>
          <t>Preço de venda c/ BDI</t>
        </is>
      </c>
      <c r="B12" s="83">
        <f>PLANEJAMENTO!$N$44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'DIRETOS.DET'!$I$353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82" t="inlineStr">
        <is>
          <t>CUSTO TOTAL</t>
        </is>
      </c>
      <c r="B22" s="83">
        <f>B15+B21</f>
        <v/>
      </c>
      <c r="C22" s="12" t="n"/>
    </row>
    <row r="24">
      <c r="A24" s="9" t="inlineStr">
        <is>
          <t>RESULTADO</t>
        </is>
      </c>
    </row>
    <row r="25">
      <c r="A25" s="84" t="inlineStr">
        <is>
          <t>Resultado bruto (R$)</t>
        </is>
      </c>
      <c r="B25" s="77">
        <f>B12-B22</f>
        <v/>
      </c>
      <c r="C25" s="14" t="n"/>
    </row>
    <row r="26">
      <c r="A26" s="82" t="inlineStr">
        <is>
          <t>Margem bruta (%)</t>
        </is>
      </c>
      <c r="B26" s="85">
        <f>IF(B12&gt;0, B25/B12, 0)</f>
        <v/>
      </c>
      <c r="C26" s="12" t="n"/>
    </row>
    <row r="28">
      <c r="A28" s="86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PLANEJAMENTO!$I$44</f>
        <v/>
      </c>
      <c r="C31" s="14" t="n"/>
    </row>
    <row r="32">
      <c r="A32" s="11" t="inlineStr">
        <is>
          <t>Total Direto (c/BDI)</t>
        </is>
      </c>
      <c r="B32" s="17">
        <f>PLANEJAMENTO!$N$44</f>
        <v/>
      </c>
      <c r="C32" s="12" t="n"/>
    </row>
    <row r="33">
      <c r="A33" s="13" t="inlineStr">
        <is>
          <t>RAZÃO CI / CD (%)</t>
        </is>
      </c>
      <c r="B33" s="87" t="n">
        <v>24</v>
      </c>
      <c r="C33" s="14" t="n"/>
    </row>
    <row r="34">
      <c r="A34" s="11" t="inlineStr">
        <is>
          <t>CI / PVT (%)</t>
        </is>
      </c>
      <c r="B34" s="88" t="n">
        <v>15.34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9" t="n">
        <v>1849862.876991787</v>
      </c>
      <c r="C37" s="14" t="n"/>
    </row>
    <row r="38">
      <c r="A38" s="11" t="inlineStr">
        <is>
          <t>Parcela mensal (meses 2 a n)</t>
        </is>
      </c>
      <c r="B38" s="17" t="n">
        <v>3012102</v>
      </c>
      <c r="C38" s="12" t="n"/>
    </row>
    <row r="39">
      <c r="A39" s="13" t="inlineStr">
        <is>
          <t>Resíduo (mês n+1)</t>
        </is>
      </c>
      <c r="B39" s="26" t="n">
        <v>3012104.039999999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1849862.88</v>
      </c>
      <c r="C3" s="17" t="n">
        <v>0</v>
      </c>
      <c r="D3" s="17" t="n">
        <v>0</v>
      </c>
      <c r="E3" s="90" t="n">
        <v>-1849862.88</v>
      </c>
      <c r="F3" s="90" t="n">
        <v>-1849862.88</v>
      </c>
      <c r="G3" s="90" t="n">
        <v>1849862.88</v>
      </c>
    </row>
    <row r="4">
      <c r="A4" s="27" t="inlineStr">
        <is>
          <t>Jan/25</t>
        </is>
      </c>
      <c r="B4" s="26" t="n">
        <v>2564086.72</v>
      </c>
      <c r="C4" s="26" t="n">
        <v>3012102</v>
      </c>
      <c r="D4" s="26" t="n">
        <v>3012102</v>
      </c>
      <c r="E4" s="91" t="n">
        <v>448015.28</v>
      </c>
      <c r="F4" s="90" t="n">
        <v>-1401847.59</v>
      </c>
      <c r="G4" s="90" t="n">
        <v>1401847.59</v>
      </c>
    </row>
    <row r="5">
      <c r="A5" s="18" t="inlineStr">
        <is>
          <t>Fev/25</t>
        </is>
      </c>
      <c r="B5" s="17" t="n">
        <v>1445678.62</v>
      </c>
      <c r="C5" s="17" t="n">
        <v>3012102</v>
      </c>
      <c r="D5" s="17" t="n">
        <v>6024204</v>
      </c>
      <c r="E5" s="91" t="n">
        <v>1566423.38</v>
      </c>
      <c r="F5" s="91" t="n">
        <v>164575.79</v>
      </c>
      <c r="G5" s="91" t="n">
        <v>-164575.79</v>
      </c>
    </row>
    <row r="6">
      <c r="A6" s="27" t="inlineStr">
        <is>
          <t>Mar/25</t>
        </is>
      </c>
      <c r="B6" s="26" t="n">
        <v>1028956.32</v>
      </c>
      <c r="C6" s="26" t="n">
        <v>3012102</v>
      </c>
      <c r="D6" s="26" t="n">
        <v>9036306</v>
      </c>
      <c r="E6" s="91" t="n">
        <v>1983145.68</v>
      </c>
      <c r="F6" s="91" t="n">
        <v>2147721.47</v>
      </c>
      <c r="G6" s="91" t="n">
        <v>-2147721.47</v>
      </c>
    </row>
    <row r="7">
      <c r="A7" s="18" t="inlineStr">
        <is>
          <t>Abr/25</t>
        </is>
      </c>
      <c r="B7" s="17" t="n">
        <v>714122.4399999999</v>
      </c>
      <c r="C7" s="17" t="n">
        <v>3012102</v>
      </c>
      <c r="D7" s="17" t="n">
        <v>12048408</v>
      </c>
      <c r="E7" s="91" t="n">
        <v>2297979.56</v>
      </c>
      <c r="F7" s="91" t="n">
        <v>4445701.03</v>
      </c>
      <c r="G7" s="91" t="n">
        <v>-4445701.03</v>
      </c>
    </row>
    <row r="8">
      <c r="A8" s="27" t="inlineStr">
        <is>
          <t>Mai/25</t>
        </is>
      </c>
      <c r="B8" s="26" t="n">
        <v>639100.62</v>
      </c>
      <c r="C8" s="26" t="n">
        <v>3012102</v>
      </c>
      <c r="D8" s="26" t="n">
        <v>15060510</v>
      </c>
      <c r="E8" s="91" t="n">
        <v>2373001.38</v>
      </c>
      <c r="F8" s="91" t="n">
        <v>6818702.42</v>
      </c>
      <c r="G8" s="91" t="n">
        <v>-6818702.42</v>
      </c>
    </row>
    <row r="9">
      <c r="A9" s="18" t="inlineStr">
        <is>
          <t>Jun/25</t>
        </is>
      </c>
      <c r="B9" s="17" t="n">
        <v>0</v>
      </c>
      <c r="C9" s="17" t="n">
        <v>3012102</v>
      </c>
      <c r="D9" s="17" t="n">
        <v>18072612</v>
      </c>
      <c r="E9" s="91" t="n">
        <v>3012102</v>
      </c>
      <c r="F9" s="91" t="n">
        <v>9830804.42</v>
      </c>
      <c r="G9" s="91" t="n">
        <v>-9830804.42</v>
      </c>
    </row>
    <row r="10">
      <c r="A10" s="27" t="inlineStr">
        <is>
          <t>Jul/25</t>
        </is>
      </c>
      <c r="B10" s="26" t="n">
        <v>0</v>
      </c>
      <c r="C10" s="26" t="n">
        <v>3012104.04</v>
      </c>
      <c r="D10" s="26" t="n">
        <v>21084716.04</v>
      </c>
      <c r="E10" s="91" t="n">
        <v>3012104.04</v>
      </c>
      <c r="F10" s="91" t="n">
        <v>12842908.46</v>
      </c>
      <c r="G10" s="91" t="n">
        <v>-12842908.46</v>
      </c>
    </row>
    <row r="12">
      <c r="A12" s="92" t="inlineStr">
        <is>
          <t>TOTAL</t>
        </is>
      </c>
      <c r="B12" s="30" t="n">
        <v>8241807.58</v>
      </c>
      <c r="C12" s="30" t="n">
        <v>21084716.04</v>
      </c>
      <c r="D12" s="30" t="n">
        <v>21084716.04</v>
      </c>
      <c r="E12" s="93" t="n">
        <v>12842908.46</v>
      </c>
      <c r="F12" s="93" t="n">
        <v>12842908.46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4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4" t="n">
        <v>3012102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5" t="n">
        <v>3012104.039999999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80" t="n">
        <v>1849862.876991787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4" t="inlineStr">
        <is>
          <t>Dez/24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5" t="n">
        <v>12842908.45525667</v>
      </c>
      <c r="D21" s="41" t="n"/>
      <c r="E21" s="41" t="n"/>
      <c r="F21" s="41" t="n"/>
      <c r="G21" s="39" t="n"/>
    </row>
    <row r="23" ht="36" customHeight="1">
      <c r="A23" s="96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EQ-CAM-BASC-14M3</t>
        </is>
      </c>
      <c r="B3" s="11" t="inlineStr">
        <is>
          <t>Caminhão basculante 14 m³</t>
        </is>
      </c>
      <c r="C3" s="18" t="inlineStr">
        <is>
          <t>un</t>
        </is>
      </c>
      <c r="D3" s="58" t="n">
        <v>2</v>
      </c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3" t="inlineStr">
        <is>
          <t>EQ-E0001</t>
        </is>
      </c>
      <c r="B4" s="13" t="inlineStr">
        <is>
          <t>Automóvel (veículo leve)</t>
        </is>
      </c>
      <c r="C4" s="27" t="inlineStr">
        <is>
          <t>un</t>
        </is>
      </c>
      <c r="D4" s="67" t="n">
        <v>2</v>
      </c>
      <c r="E4" s="67" t="n">
        <v>1</v>
      </c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>
      <c r="A5" s="11" t="inlineStr">
        <is>
          <t>EQ-E0002</t>
        </is>
      </c>
      <c r="B5" s="11" t="inlineStr">
        <is>
          <t>Betoneira 400L</t>
        </is>
      </c>
      <c r="C5" s="18" t="inlineStr">
        <is>
          <t>un</t>
        </is>
      </c>
      <c r="D5" s="58" t="n">
        <v>14</v>
      </c>
      <c r="E5" s="58" t="n">
        <v>7</v>
      </c>
      <c r="F5" s="58" t="n">
        <v>7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>
      <c r="A6" s="13" t="inlineStr">
        <is>
          <t>EQ-E0007</t>
        </is>
      </c>
      <c r="B6" s="13" t="inlineStr">
        <is>
          <t>Caminhão Basculante 14m³</t>
        </is>
      </c>
      <c r="C6" s="27" t="inlineStr">
        <is>
          <t>un</t>
        </is>
      </c>
      <c r="D6" s="67" t="n">
        <v>12</v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11" t="inlineStr">
        <is>
          <t>EQ-E0008</t>
        </is>
      </c>
      <c r="B7" s="11" t="inlineStr">
        <is>
          <t>Caminhão Basculante 16m³</t>
        </is>
      </c>
      <c r="C7" s="18" t="inlineStr">
        <is>
          <t>un</t>
        </is>
      </c>
      <c r="D7" s="58" t="n">
        <v>22</v>
      </c>
      <c r="E7" s="58" t="n">
        <v>18</v>
      </c>
      <c r="F7" s="58" t="n">
        <v>18</v>
      </c>
      <c r="G7" s="58" t="n">
        <v>18</v>
      </c>
      <c r="H7" s="58" t="n">
        <v>12</v>
      </c>
      <c r="I7" s="58" t="n">
        <v>12</v>
      </c>
      <c r="J7" s="58" t="n">
        <v>10</v>
      </c>
      <c r="K7" s="58" t="n">
        <v>10</v>
      </c>
      <c r="L7" s="58" t="n">
        <v>5</v>
      </c>
      <c r="M7" s="58" t="n">
        <v>5</v>
      </c>
      <c r="N7" s="58" t="n">
        <v>5</v>
      </c>
      <c r="O7" s="58" t="n">
        <v>5</v>
      </c>
      <c r="P7" s="58" t="n">
        <v>5</v>
      </c>
      <c r="Q7" s="58" t="n">
        <v>5</v>
      </c>
      <c r="R7" s="58" t="n">
        <v>5</v>
      </c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>
      <c r="A8" s="13" t="inlineStr">
        <is>
          <t>EQ-E0010</t>
        </is>
      </c>
      <c r="B8" s="13" t="inlineStr">
        <is>
          <t>Caminhão Pipa 10.000L</t>
        </is>
      </c>
      <c r="C8" s="27" t="inlineStr">
        <is>
          <t>un</t>
        </is>
      </c>
      <c r="D8" s="67" t="n">
        <v>10</v>
      </c>
      <c r="E8" s="67" t="n">
        <v>5</v>
      </c>
      <c r="F8" s="67" t="n">
        <v>5</v>
      </c>
      <c r="G8" s="67" t="n">
        <v>4</v>
      </c>
      <c r="H8" s="67" t="n">
        <v>1</v>
      </c>
      <c r="I8" s="67" t="n">
        <v>1</v>
      </c>
      <c r="J8" s="67" t="n">
        <v>1</v>
      </c>
      <c r="K8" s="67" t="n">
        <v>1</v>
      </c>
      <c r="L8" s="67" t="n">
        <v>1</v>
      </c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</row>
    <row r="9">
      <c r="A9" s="11" t="inlineStr">
        <is>
          <t>EQ-E0015</t>
        </is>
      </c>
      <c r="B9" s="11" t="inlineStr">
        <is>
          <t>Distribuidor de Brita</t>
        </is>
      </c>
      <c r="C9" s="18" t="inlineStr">
        <is>
          <t>un</t>
        </is>
      </c>
      <c r="D9" s="58" t="n">
        <v>2</v>
      </c>
      <c r="E9" s="58" t="n">
        <v>1</v>
      </c>
      <c r="F9" s="58" t="n">
        <v>1</v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3" t="inlineStr">
        <is>
          <t>EQ-E0016</t>
        </is>
      </c>
      <c r="B10" s="13" t="inlineStr">
        <is>
          <t>Escavadeira Hidráulica 22t</t>
        </is>
      </c>
      <c r="C10" s="27" t="inlineStr">
        <is>
          <t>un</t>
        </is>
      </c>
      <c r="D10" s="67" t="n">
        <v>10</v>
      </c>
      <c r="E10" s="67" t="n">
        <v>5</v>
      </c>
      <c r="F10" s="67" t="n">
        <v>5</v>
      </c>
      <c r="G10" s="67" t="n">
        <v>5</v>
      </c>
      <c r="H10" s="67" t="n">
        <v>4</v>
      </c>
      <c r="I10" s="67" t="n">
        <v>4</v>
      </c>
      <c r="J10" s="67" t="n">
        <v>2</v>
      </c>
      <c r="K10" s="67" t="n">
        <v>2</v>
      </c>
      <c r="L10" s="67" t="n">
        <v>1</v>
      </c>
      <c r="M10" s="67" t="n">
        <v>1</v>
      </c>
      <c r="N10" s="67" t="n">
        <v>1</v>
      </c>
      <c r="O10" s="67" t="n">
        <v>1</v>
      </c>
      <c r="P10" s="67" t="n">
        <v>1</v>
      </c>
      <c r="Q10" s="67" t="n">
        <v>1</v>
      </c>
      <c r="R10" s="67" t="n">
        <v>1</v>
      </c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>
      <c r="A11" s="11" t="inlineStr">
        <is>
          <t>EQ-E0020</t>
        </is>
      </c>
      <c r="B11" s="11" t="inlineStr">
        <is>
          <t>Espargidor de Ligante Betuminoso</t>
        </is>
      </c>
      <c r="C11" s="18" t="inlineStr">
        <is>
          <t>un</t>
        </is>
      </c>
      <c r="D11" s="58" t="n">
        <v>3</v>
      </c>
      <c r="E11" s="58" t="n">
        <v>1</v>
      </c>
      <c r="F11" s="58" t="n">
        <v>1</v>
      </c>
      <c r="G11" s="58" t="n">
        <v>1</v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</row>
    <row r="12">
      <c r="A12" s="13" t="inlineStr">
        <is>
          <t>EQ-E0024</t>
        </is>
      </c>
      <c r="B12" s="13" t="inlineStr">
        <is>
          <t>Trator de Esteiras 20t (300HP)</t>
        </is>
      </c>
      <c r="C12" s="27" t="inlineStr">
        <is>
          <t>un</t>
        </is>
      </c>
      <c r="D12" s="67" t="n">
        <v>1</v>
      </c>
      <c r="E12" s="67" t="n">
        <v>1</v>
      </c>
      <c r="F12" s="67" t="n">
        <v>1</v>
      </c>
      <c r="G12" s="67" t="n">
        <v>1</v>
      </c>
      <c r="H12" s="67" t="n">
        <v>1</v>
      </c>
      <c r="I12" s="67" t="n">
        <v>1</v>
      </c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3">
      <c r="A13" s="11" t="inlineStr">
        <is>
          <t>EQ-E0028</t>
        </is>
      </c>
      <c r="B13" s="11" t="inlineStr">
        <is>
          <t>Motoniveladora 120HP</t>
        </is>
      </c>
      <c r="C13" s="18" t="inlineStr">
        <is>
          <t>un</t>
        </is>
      </c>
      <c r="D13" s="58" t="n">
        <v>2</v>
      </c>
      <c r="E13" s="58" t="n">
        <v>2</v>
      </c>
      <c r="F13" s="58" t="n">
        <v>2</v>
      </c>
      <c r="G13" s="58" t="n">
        <v>2</v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</row>
    <row r="14">
      <c r="A14" s="13" t="inlineStr">
        <is>
          <t>EQ-E0029</t>
        </is>
      </c>
      <c r="B14" s="13" t="inlineStr">
        <is>
          <t>Motoniveladora 140HP</t>
        </is>
      </c>
      <c r="C14" s="27" t="inlineStr">
        <is>
          <t>un</t>
        </is>
      </c>
      <c r="D14" s="67" t="n">
        <v>8</v>
      </c>
      <c r="E14" s="67" t="n">
        <v>3</v>
      </c>
      <c r="F14" s="67" t="n">
        <v>3</v>
      </c>
      <c r="G14" s="67" t="n">
        <v>2</v>
      </c>
      <c r="H14" s="67" t="n">
        <v>2</v>
      </c>
      <c r="I14" s="67" t="n">
        <v>2</v>
      </c>
      <c r="J14" s="67" t="n">
        <v>1</v>
      </c>
      <c r="K14" s="67" t="n">
        <v>1</v>
      </c>
      <c r="L14" s="67" t="n">
        <v>1</v>
      </c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</row>
    <row r="15">
      <c r="A15" s="11" t="inlineStr">
        <is>
          <t>EQ-E0035</t>
        </is>
      </c>
      <c r="B15" s="11" t="inlineStr">
        <is>
          <t>Trator de esteiras 20T</t>
        </is>
      </c>
      <c r="C15" s="18" t="inlineStr">
        <is>
          <t>un</t>
        </is>
      </c>
      <c r="D15" s="58" t="n">
        <v>7</v>
      </c>
      <c r="E15" s="58" t="n">
        <v>4</v>
      </c>
      <c r="F15" s="58" t="n">
        <v>4</v>
      </c>
      <c r="G15" s="58" t="n">
        <v>3</v>
      </c>
      <c r="H15" s="58" t="n">
        <v>1</v>
      </c>
      <c r="I15" s="58" t="n">
        <v>1</v>
      </c>
      <c r="J15" s="58" t="n">
        <v>1</v>
      </c>
      <c r="K15" s="58" t="n">
        <v>1</v>
      </c>
      <c r="L15" s="58" t="n">
        <v>1</v>
      </c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</row>
    <row r="16">
      <c r="A16" s="13" t="inlineStr">
        <is>
          <t>EQ-E0036</t>
        </is>
      </c>
      <c r="B16" s="13" t="inlineStr">
        <is>
          <t>Trator de esteiras 30T</t>
        </is>
      </c>
      <c r="C16" s="27" t="inlineStr">
        <is>
          <t>un</t>
        </is>
      </c>
      <c r="D16" s="67" t="n">
        <v>2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</row>
    <row r="17">
      <c r="A17" s="11" t="inlineStr">
        <is>
          <t>EQ-E0037</t>
        </is>
      </c>
      <c r="B17" s="11" t="inlineStr">
        <is>
          <t>Trator de esteiras 40T</t>
        </is>
      </c>
      <c r="C17" s="18" t="inlineStr">
        <is>
          <t>un</t>
        </is>
      </c>
      <c r="D17" s="58" t="n">
        <v>2</v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</row>
    <row r="18">
      <c r="A18" s="13" t="inlineStr">
        <is>
          <t>EQ-E0041</t>
        </is>
      </c>
      <c r="B18" s="13" t="inlineStr">
        <is>
          <t>Vibroacabadora de asfalto sobre esteiras - 82 kW</t>
        </is>
      </c>
      <c r="C18" s="27" t="inlineStr">
        <is>
          <t>un</t>
        </is>
      </c>
      <c r="D18" s="67" t="n">
        <v>2</v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>
      <c r="A19" s="11" t="inlineStr">
        <is>
          <t>EQ-E0050</t>
        </is>
      </c>
      <c r="B19" s="11" t="inlineStr">
        <is>
          <t>Escavadeira 35t com rompedor</t>
        </is>
      </c>
      <c r="C19" s="18" t="inlineStr">
        <is>
          <t>un</t>
        </is>
      </c>
      <c r="D19" s="58" t="n">
        <v>3</v>
      </c>
      <c r="E19" s="58" t="n">
        <v>2</v>
      </c>
      <c r="F19" s="58" t="n">
        <v>2</v>
      </c>
      <c r="G19" s="58" t="n">
        <v>2</v>
      </c>
      <c r="H19" s="58" t="n">
        <v>1</v>
      </c>
      <c r="I19" s="58" t="n">
        <v>1</v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</row>
    <row r="20">
      <c r="A20" s="13" t="inlineStr">
        <is>
          <t>EQ-ESTACAO-TOTAL</t>
        </is>
      </c>
      <c r="B20" s="13" t="inlineStr">
        <is>
          <t>Estação Total</t>
        </is>
      </c>
      <c r="C20" s="27" t="inlineStr">
        <is>
          <t>un</t>
        </is>
      </c>
      <c r="D20" s="67" t="n">
        <v>2</v>
      </c>
      <c r="E20" s="67" t="n">
        <v>2</v>
      </c>
      <c r="F20" s="67" t="n">
        <v>2</v>
      </c>
      <c r="G20" s="67" t="n">
        <v>2</v>
      </c>
      <c r="H20" s="67" t="n">
        <v>2</v>
      </c>
      <c r="I20" s="67" t="n">
        <v>2</v>
      </c>
      <c r="J20" s="67" t="n">
        <v>2</v>
      </c>
      <c r="K20" s="67" t="n">
        <v>2</v>
      </c>
      <c r="L20" s="67" t="n">
        <v>2</v>
      </c>
      <c r="M20" s="67" t="n">
        <v>2</v>
      </c>
      <c r="N20" s="67" t="n">
        <v>2</v>
      </c>
      <c r="O20" s="67" t="n">
        <v>2</v>
      </c>
      <c r="P20" s="67" t="n">
        <v>2</v>
      </c>
      <c r="Q20" s="67" t="n">
        <v>2</v>
      </c>
      <c r="R20" s="67" t="n">
        <v>2</v>
      </c>
      <c r="S20" s="67" t="n">
        <v>2</v>
      </c>
      <c r="T20" s="67" t="n">
        <v>2</v>
      </c>
      <c r="U20" s="67" t="n">
        <v>2</v>
      </c>
      <c r="V20" s="67" t="n">
        <v>2</v>
      </c>
      <c r="W20" s="67" t="n">
        <v>2</v>
      </c>
      <c r="X20" s="67" t="n">
        <v>2</v>
      </c>
      <c r="Y20" s="67" t="n">
        <v>2</v>
      </c>
      <c r="Z20" s="14" t="n"/>
      <c r="AA20" s="14" t="n"/>
      <c r="AB20" s="14" t="n"/>
      <c r="AC20" s="14" t="n"/>
      <c r="AD20" s="14" t="n"/>
    </row>
    <row r="21">
      <c r="A21" s="11" t="inlineStr">
        <is>
          <t>EQ-HIDROSSEMEADORA</t>
        </is>
      </c>
      <c r="B21" s="11" t="inlineStr">
        <is>
          <t>Hidrossemeadora rebocável</t>
        </is>
      </c>
      <c r="C21" s="18" t="inlineStr">
        <is>
          <t>un</t>
        </is>
      </c>
      <c r="D21" s="58" t="n">
        <v>7</v>
      </c>
      <c r="E21" s="58" t="n">
        <v>1</v>
      </c>
      <c r="F21" s="58" t="n">
        <v>1</v>
      </c>
      <c r="G21" s="58" t="n">
        <v>1</v>
      </c>
      <c r="H21" s="58" t="n">
        <v>1</v>
      </c>
      <c r="I21" s="58" t="n">
        <v>1</v>
      </c>
      <c r="J21" s="58" t="n">
        <v>1</v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</row>
    <row r="22">
      <c r="A22" s="13" t="inlineStr">
        <is>
          <t>EQ-MOTONIVEL-140K</t>
        </is>
      </c>
      <c r="B22" s="13" t="inlineStr">
        <is>
          <t>Motoniveladora 140K</t>
        </is>
      </c>
      <c r="C22" s="27" t="inlineStr">
        <is>
          <t>un</t>
        </is>
      </c>
      <c r="D22" s="67" t="n">
        <v>3</v>
      </c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</row>
    <row r="23">
      <c r="A23" s="11" t="inlineStr">
        <is>
          <t>EQ-ROLO-LISO</t>
        </is>
      </c>
      <c r="B23" s="11" t="inlineStr">
        <is>
          <t>Rolo compactador liso</t>
        </is>
      </c>
      <c r="C23" s="18" t="inlineStr">
        <is>
          <t>un</t>
        </is>
      </c>
      <c r="D23" s="58" t="n">
        <v>2</v>
      </c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</row>
    <row r="24">
      <c r="A24" s="13" t="inlineStr">
        <is>
          <t>EQ-ROLO-PE-CARNEIRO</t>
        </is>
      </c>
      <c r="B24" s="13" t="inlineStr">
        <is>
          <t>Rolo compactador pé de carneiro 10T</t>
        </is>
      </c>
      <c r="C24" s="27" t="inlineStr">
        <is>
          <t>un</t>
        </is>
      </c>
      <c r="D24" s="67" t="n">
        <v>1</v>
      </c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</row>
    <row r="26">
      <c r="A26" s="97" t="inlineStr">
        <is>
          <t>TOTAL SEMANAL</t>
        </is>
      </c>
      <c r="D26" s="98" t="n">
        <v>119</v>
      </c>
      <c r="E26" s="98" t="n">
        <v>53</v>
      </c>
      <c r="F26" s="98" t="n">
        <v>52</v>
      </c>
      <c r="G26" s="98" t="n">
        <v>41</v>
      </c>
      <c r="H26" s="98" t="n">
        <v>25</v>
      </c>
      <c r="I26" s="98" t="n">
        <v>25</v>
      </c>
      <c r="J26" s="98" t="n">
        <v>18</v>
      </c>
      <c r="K26" s="98" t="n">
        <v>17</v>
      </c>
      <c r="L26" s="98" t="n">
        <v>11</v>
      </c>
      <c r="M26" s="98" t="n">
        <v>8</v>
      </c>
      <c r="N26" s="98" t="n">
        <v>8</v>
      </c>
      <c r="O26" s="98" t="n">
        <v>8</v>
      </c>
      <c r="P26" s="98" t="n">
        <v>8</v>
      </c>
      <c r="Q26" s="98" t="n">
        <v>8</v>
      </c>
      <c r="R26" s="98" t="n">
        <v>8</v>
      </c>
      <c r="S26" s="98" t="n">
        <v>2</v>
      </c>
      <c r="T26" s="98" t="n">
        <v>2</v>
      </c>
      <c r="U26" s="98" t="n">
        <v>2</v>
      </c>
      <c r="V26" s="98" t="n">
        <v>2</v>
      </c>
      <c r="W26" s="98" t="n">
        <v>2</v>
      </c>
      <c r="X26" s="98" t="n">
        <v>2</v>
      </c>
      <c r="Y26" s="98" t="n">
        <v>2</v>
      </c>
      <c r="Z26" s="37" t="n"/>
      <c r="AA26" s="37" t="n"/>
      <c r="AB26" s="37" t="n"/>
      <c r="AC26" s="37" t="n"/>
      <c r="AD26" s="37" t="n"/>
    </row>
  </sheetData>
  <mergeCells count="2">
    <mergeCell ref="A26:C26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MO-AJUDANTE</t>
        </is>
      </c>
      <c r="B3" s="11" t="inlineStr">
        <is>
          <t>Ajudante</t>
        </is>
      </c>
      <c r="C3" s="18" t="inlineStr">
        <is>
          <t>pax</t>
        </is>
      </c>
      <c r="D3" s="58" t="n">
        <v>31</v>
      </c>
      <c r="E3" s="58" t="n">
        <v>7</v>
      </c>
      <c r="F3" s="58" t="n">
        <v>7</v>
      </c>
      <c r="G3" s="58" t="n">
        <v>7</v>
      </c>
      <c r="H3" s="58" t="n">
        <v>7</v>
      </c>
      <c r="I3" s="58" t="n">
        <v>7</v>
      </c>
      <c r="J3" s="58" t="n">
        <v>4</v>
      </c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3" t="inlineStr">
        <is>
          <t>MO-AUX-TOPO</t>
        </is>
      </c>
      <c r="B4" s="13" t="inlineStr">
        <is>
          <t>Auxiliar de topografia</t>
        </is>
      </c>
      <c r="C4" s="27" t="inlineStr">
        <is>
          <t>pax</t>
        </is>
      </c>
      <c r="D4" s="67" t="n">
        <v>4</v>
      </c>
      <c r="E4" s="67" t="n">
        <v>4</v>
      </c>
      <c r="F4" s="67" t="n">
        <v>4</v>
      </c>
      <c r="G4" s="67" t="n">
        <v>4</v>
      </c>
      <c r="H4" s="67" t="n">
        <v>4</v>
      </c>
      <c r="I4" s="67" t="n">
        <v>4</v>
      </c>
      <c r="J4" s="67" t="n">
        <v>4</v>
      </c>
      <c r="K4" s="67" t="n">
        <v>4</v>
      </c>
      <c r="L4" s="67" t="n">
        <v>4</v>
      </c>
      <c r="M4" s="67" t="n">
        <v>4</v>
      </c>
      <c r="N4" s="67" t="n">
        <v>4</v>
      </c>
      <c r="O4" s="67" t="n">
        <v>4</v>
      </c>
      <c r="P4" s="67" t="n">
        <v>4</v>
      </c>
      <c r="Q4" s="67" t="n">
        <v>4</v>
      </c>
      <c r="R4" s="67" t="n">
        <v>4</v>
      </c>
      <c r="S4" s="67" t="n">
        <v>4</v>
      </c>
      <c r="T4" s="67" t="n">
        <v>4</v>
      </c>
      <c r="U4" s="67" t="n">
        <v>4</v>
      </c>
      <c r="V4" s="67" t="n">
        <v>4</v>
      </c>
      <c r="W4" s="67" t="n">
        <v>4</v>
      </c>
      <c r="X4" s="67" t="n">
        <v>4</v>
      </c>
      <c r="Y4" s="67" t="n">
        <v>4</v>
      </c>
      <c r="Z4" s="14" t="n"/>
      <c r="AA4" s="14" t="n"/>
      <c r="AB4" s="14" t="n"/>
      <c r="AC4" s="14" t="n"/>
      <c r="AD4" s="14" t="n"/>
    </row>
    <row r="5">
      <c r="A5" s="11" t="inlineStr">
        <is>
          <t>MO-CERQUEIRO</t>
        </is>
      </c>
      <c r="B5" s="11" t="inlineStr">
        <is>
          <t>Cerqueiro</t>
        </is>
      </c>
      <c r="C5" s="18" t="inlineStr">
        <is>
          <t>pax</t>
        </is>
      </c>
      <c r="D5" s="58" t="n">
        <v>6</v>
      </c>
      <c r="E5" s="58" t="n">
        <v>3</v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>
      <c r="A6" s="13" t="inlineStr">
        <is>
          <t>MO-ENCARREG-CAPA</t>
        </is>
      </c>
      <c r="B6" s="13" t="inlineStr">
        <is>
          <t>Encarregado de Capa</t>
        </is>
      </c>
      <c r="C6" s="27" t="inlineStr">
        <is>
          <t>pax</t>
        </is>
      </c>
      <c r="D6" s="67" t="n">
        <v>4</v>
      </c>
      <c r="E6" s="67" t="n">
        <v>2</v>
      </c>
      <c r="F6" s="67" t="n">
        <v>2</v>
      </c>
      <c r="G6" s="67" t="n">
        <v>2</v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11" t="inlineStr">
        <is>
          <t>MO-ENCARREG-TERRA</t>
        </is>
      </c>
      <c r="B7" s="11" t="inlineStr">
        <is>
          <t>Encarregado de Terraplenagem</t>
        </is>
      </c>
      <c r="C7" s="18" t="inlineStr">
        <is>
          <t>pax</t>
        </is>
      </c>
      <c r="D7" s="58" t="n">
        <v>16</v>
      </c>
      <c r="E7" s="58" t="n">
        <v>6</v>
      </c>
      <c r="F7" s="58" t="n">
        <v>5</v>
      </c>
      <c r="G7" s="58" t="n">
        <v>4</v>
      </c>
      <c r="H7" s="58" t="n">
        <v>4</v>
      </c>
      <c r="I7" s="58" t="n">
        <v>4</v>
      </c>
      <c r="J7" s="58" t="n">
        <v>3</v>
      </c>
      <c r="K7" s="58" t="n">
        <v>3</v>
      </c>
      <c r="L7" s="58" t="n">
        <v>2</v>
      </c>
      <c r="M7" s="58" t="n">
        <v>1</v>
      </c>
      <c r="N7" s="58" t="n">
        <v>1</v>
      </c>
      <c r="O7" s="58" t="n">
        <v>1</v>
      </c>
      <c r="P7" s="58" t="n">
        <v>1</v>
      </c>
      <c r="Q7" s="58" t="n">
        <v>1</v>
      </c>
      <c r="R7" s="58" t="n">
        <v>1</v>
      </c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>
      <c r="A8" s="13" t="inlineStr">
        <is>
          <t>MO-MOTOR-CAM-BASC</t>
        </is>
      </c>
      <c r="B8" s="13" t="inlineStr">
        <is>
          <t>Motorista de Caminhão Basculante</t>
        </is>
      </c>
      <c r="C8" s="27" t="inlineStr">
        <is>
          <t>pax</t>
        </is>
      </c>
      <c r="D8" s="67" t="n">
        <v>40</v>
      </c>
      <c r="E8" s="67" t="n">
        <v>18</v>
      </c>
      <c r="F8" s="67" t="n">
        <v>18</v>
      </c>
      <c r="G8" s="67" t="n">
        <v>18</v>
      </c>
      <c r="H8" s="67" t="n">
        <v>12</v>
      </c>
      <c r="I8" s="67" t="n">
        <v>12</v>
      </c>
      <c r="J8" s="67" t="n">
        <v>10</v>
      </c>
      <c r="K8" s="67" t="n">
        <v>10</v>
      </c>
      <c r="L8" s="67" t="n">
        <v>5</v>
      </c>
      <c r="M8" s="67" t="n">
        <v>5</v>
      </c>
      <c r="N8" s="67" t="n">
        <v>5</v>
      </c>
      <c r="O8" s="67" t="n">
        <v>5</v>
      </c>
      <c r="P8" s="67" t="n">
        <v>5</v>
      </c>
      <c r="Q8" s="67" t="n">
        <v>5</v>
      </c>
      <c r="R8" s="67" t="n">
        <v>5</v>
      </c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</row>
    <row r="9">
      <c r="A9" s="11" t="inlineStr">
        <is>
          <t>MO-MOTOR-CAM-PIPA</t>
        </is>
      </c>
      <c r="B9" s="11" t="inlineStr">
        <is>
          <t>Motorista de Caminhão Pipa</t>
        </is>
      </c>
      <c r="C9" s="18" t="inlineStr">
        <is>
          <t>pax</t>
        </is>
      </c>
      <c r="D9" s="58" t="n">
        <v>6</v>
      </c>
      <c r="E9" s="58" t="n">
        <v>4</v>
      </c>
      <c r="F9" s="58" t="n">
        <v>4</v>
      </c>
      <c r="G9" s="58" t="n">
        <v>4</v>
      </c>
      <c r="H9" s="58" t="n">
        <v>1</v>
      </c>
      <c r="I9" s="58" t="n">
        <v>1</v>
      </c>
      <c r="J9" s="58" t="n">
        <v>1</v>
      </c>
      <c r="K9" s="58" t="n">
        <v>1</v>
      </c>
      <c r="L9" s="58" t="n">
        <v>1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3" t="inlineStr">
        <is>
          <t>MO-OPER-ESCAV</t>
        </is>
      </c>
      <c r="B10" s="13" t="inlineStr">
        <is>
          <t>Operador de Escavadeira</t>
        </is>
      </c>
      <c r="C10" s="27" t="inlineStr">
        <is>
          <t>pax</t>
        </is>
      </c>
      <c r="D10" s="67" t="n">
        <v>13</v>
      </c>
      <c r="E10" s="67" t="n">
        <v>7</v>
      </c>
      <c r="F10" s="67" t="n">
        <v>7</v>
      </c>
      <c r="G10" s="67" t="n">
        <v>7</v>
      </c>
      <c r="H10" s="67" t="n">
        <v>5</v>
      </c>
      <c r="I10" s="67" t="n">
        <v>5</v>
      </c>
      <c r="J10" s="67" t="n">
        <v>2</v>
      </c>
      <c r="K10" s="67" t="n">
        <v>2</v>
      </c>
      <c r="L10" s="67" t="n">
        <v>1</v>
      </c>
      <c r="M10" s="67" t="n">
        <v>1</v>
      </c>
      <c r="N10" s="67" t="n">
        <v>1</v>
      </c>
      <c r="O10" s="67" t="n">
        <v>1</v>
      </c>
      <c r="P10" s="67" t="n">
        <v>1</v>
      </c>
      <c r="Q10" s="67" t="n">
        <v>1</v>
      </c>
      <c r="R10" s="67" t="n">
        <v>1</v>
      </c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>
      <c r="A11" s="11" t="inlineStr">
        <is>
          <t>MO-OPER-ESPARG</t>
        </is>
      </c>
      <c r="B11" s="11" t="inlineStr">
        <is>
          <t>Operador de Espargidor</t>
        </is>
      </c>
      <c r="C11" s="18" t="inlineStr">
        <is>
          <t>pax</t>
        </is>
      </c>
      <c r="D11" s="58" t="n">
        <v>3</v>
      </c>
      <c r="E11" s="58" t="n">
        <v>1</v>
      </c>
      <c r="F11" s="58" t="n">
        <v>1</v>
      </c>
      <c r="G11" s="58" t="n">
        <v>1</v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</row>
    <row r="12">
      <c r="A12" s="13" t="inlineStr">
        <is>
          <t>MO-OPER-MOTO</t>
        </is>
      </c>
      <c r="B12" s="13" t="inlineStr">
        <is>
          <t>Operador de Motoniveladora</t>
        </is>
      </c>
      <c r="C12" s="27" t="inlineStr">
        <is>
          <t>pax</t>
        </is>
      </c>
      <c r="D12" s="67" t="n">
        <v>13</v>
      </c>
      <c r="E12" s="67" t="n">
        <v>5</v>
      </c>
      <c r="F12" s="67" t="n">
        <v>5</v>
      </c>
      <c r="G12" s="67" t="n">
        <v>4</v>
      </c>
      <c r="H12" s="67" t="n">
        <v>2</v>
      </c>
      <c r="I12" s="67" t="n">
        <v>2</v>
      </c>
      <c r="J12" s="67" t="n">
        <v>1</v>
      </c>
      <c r="K12" s="67" t="n">
        <v>1</v>
      </c>
      <c r="L12" s="67" t="n">
        <v>1</v>
      </c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3">
      <c r="A13" s="11" t="inlineStr">
        <is>
          <t>MO-OPER-ROLO-COMP</t>
        </is>
      </c>
      <c r="B13" s="11" t="inlineStr">
        <is>
          <t>Operador de Rolo Compactador</t>
        </is>
      </c>
      <c r="C13" s="18" t="inlineStr">
        <is>
          <t>pax</t>
        </is>
      </c>
      <c r="D13" s="58" t="n">
        <v>17</v>
      </c>
      <c r="E13" s="58" t="n">
        <v>6</v>
      </c>
      <c r="F13" s="58" t="n">
        <v>6</v>
      </c>
      <c r="G13" s="58" t="n">
        <v>4</v>
      </c>
      <c r="H13" s="58" t="n">
        <v>2</v>
      </c>
      <c r="I13" s="58" t="n">
        <v>2</v>
      </c>
      <c r="J13" s="58" t="n">
        <v>2</v>
      </c>
      <c r="K13" s="58" t="n">
        <v>2</v>
      </c>
      <c r="L13" s="58" t="n">
        <v>2</v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</row>
    <row r="14">
      <c r="A14" s="13" t="inlineStr">
        <is>
          <t>MO-OPER-ROLO-PNEU</t>
        </is>
      </c>
      <c r="B14" s="13" t="inlineStr">
        <is>
          <t>Operador de Rolo de Pneu</t>
        </is>
      </c>
      <c r="C14" s="27" t="inlineStr">
        <is>
          <t>pax</t>
        </is>
      </c>
      <c r="D14" s="67" t="n">
        <v>2</v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</row>
    <row r="15">
      <c r="A15" s="11" t="inlineStr">
        <is>
          <t>MO-OPER-TRATOR-EST</t>
        </is>
      </c>
      <c r="B15" s="11" t="inlineStr">
        <is>
          <t>Operador de Trator de Esteiras</t>
        </is>
      </c>
      <c r="C15" s="18" t="inlineStr">
        <is>
          <t>pax</t>
        </is>
      </c>
      <c r="D15" s="58" t="n">
        <v>1</v>
      </c>
      <c r="E15" s="58" t="n">
        <v>1</v>
      </c>
      <c r="F15" s="58" t="n">
        <v>1</v>
      </c>
      <c r="G15" s="58" t="n">
        <v>1</v>
      </c>
      <c r="H15" s="58" t="n">
        <v>1</v>
      </c>
      <c r="I15" s="58" t="n">
        <v>1</v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</row>
    <row r="16">
      <c r="A16" s="13" t="inlineStr">
        <is>
          <t>MO-OPER-VIBRO</t>
        </is>
      </c>
      <c r="B16" s="13" t="inlineStr">
        <is>
          <t>Operador de Vibroacabadora</t>
        </is>
      </c>
      <c r="C16" s="27" t="inlineStr">
        <is>
          <t>pax</t>
        </is>
      </c>
      <c r="D16" s="67" t="n">
        <v>2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</row>
    <row r="17">
      <c r="A17" s="11" t="inlineStr">
        <is>
          <t>MO-SERV-GERAL</t>
        </is>
      </c>
      <c r="B17" s="11" t="inlineStr">
        <is>
          <t>Servente</t>
        </is>
      </c>
      <c r="C17" s="18" t="inlineStr">
        <is>
          <t>pax</t>
        </is>
      </c>
      <c r="D17" s="58" t="n">
        <v>1</v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</row>
    <row r="18">
      <c r="A18" s="13" t="inlineStr">
        <is>
          <t>MO-SINALEIRO</t>
        </is>
      </c>
      <c r="B18" s="13" t="inlineStr">
        <is>
          <t>Sinaleiro</t>
        </is>
      </c>
      <c r="C18" s="27" t="inlineStr">
        <is>
          <t>pax</t>
        </is>
      </c>
      <c r="D18" s="67" t="n">
        <v>3</v>
      </c>
      <c r="E18" s="67" t="n">
        <v>1</v>
      </c>
      <c r="F18" s="67" t="n">
        <v>1</v>
      </c>
      <c r="G18" s="67" t="n">
        <v>1</v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</row>
    <row r="19">
      <c r="A19" s="11" t="inlineStr">
        <is>
          <t>MO-TOPOGRAFO</t>
        </is>
      </c>
      <c r="B19" s="11" t="inlineStr">
        <is>
          <t>Topógrafo</t>
        </is>
      </c>
      <c r="C19" s="18" t="inlineStr">
        <is>
          <t>pax</t>
        </is>
      </c>
      <c r="D19" s="58" t="n">
        <v>2</v>
      </c>
      <c r="E19" s="58" t="n">
        <v>2</v>
      </c>
      <c r="F19" s="58" t="n">
        <v>2</v>
      </c>
      <c r="G19" s="58" t="n">
        <v>2</v>
      </c>
      <c r="H19" s="58" t="n">
        <v>2</v>
      </c>
      <c r="I19" s="58" t="n">
        <v>2</v>
      </c>
      <c r="J19" s="58" t="n">
        <v>2</v>
      </c>
      <c r="K19" s="58" t="n">
        <v>2</v>
      </c>
      <c r="L19" s="58" t="n">
        <v>2</v>
      </c>
      <c r="M19" s="58" t="n">
        <v>2</v>
      </c>
      <c r="N19" s="58" t="n">
        <v>2</v>
      </c>
      <c r="O19" s="58" t="n">
        <v>2</v>
      </c>
      <c r="P19" s="58" t="n">
        <v>2</v>
      </c>
      <c r="Q19" s="58" t="n">
        <v>2</v>
      </c>
      <c r="R19" s="58" t="n">
        <v>2</v>
      </c>
      <c r="S19" s="58" t="n">
        <v>2</v>
      </c>
      <c r="T19" s="58" t="n">
        <v>2</v>
      </c>
      <c r="U19" s="58" t="n">
        <v>2</v>
      </c>
      <c r="V19" s="58" t="n">
        <v>2</v>
      </c>
      <c r="W19" s="58" t="n">
        <v>2</v>
      </c>
      <c r="X19" s="58" t="n">
        <v>2</v>
      </c>
      <c r="Y19" s="58" t="n">
        <v>2</v>
      </c>
      <c r="Z19" s="12" t="n"/>
      <c r="AA19" s="12" t="n"/>
      <c r="AB19" s="12" t="n"/>
      <c r="AC19" s="12" t="n"/>
      <c r="AD19" s="12" t="n"/>
    </row>
    <row r="20">
      <c r="A20" s="13" t="inlineStr">
        <is>
          <t>P0001</t>
        </is>
      </c>
      <c r="B20" s="13" t="inlineStr">
        <is>
          <t>Ajudante</t>
        </is>
      </c>
      <c r="C20" s="27" t="inlineStr">
        <is>
          <t>pax</t>
        </is>
      </c>
      <c r="D20" s="67" t="n">
        <v>2</v>
      </c>
      <c r="E20" s="67" t="n">
        <v>1</v>
      </c>
      <c r="F20" s="67" t="n">
        <v>1</v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</row>
    <row r="21">
      <c r="A21" s="11" t="inlineStr">
        <is>
          <t>P0032</t>
        </is>
      </c>
      <c r="B21" s="11" t="inlineStr">
        <is>
          <t>Motorista de Caminhão Basculante</t>
        </is>
      </c>
      <c r="C21" s="18" t="inlineStr">
        <is>
          <t>pax</t>
        </is>
      </c>
      <c r="D21" s="58" t="n">
        <v>14</v>
      </c>
      <c r="E21" s="58" t="n">
        <v>7</v>
      </c>
      <c r="F21" s="58" t="n">
        <v>7</v>
      </c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</row>
    <row r="22">
      <c r="A22" s="13" t="inlineStr">
        <is>
          <t>P0040</t>
        </is>
      </c>
      <c r="B22" s="13" t="inlineStr">
        <is>
          <t>Operador de Escavadeira</t>
        </is>
      </c>
      <c r="C22" s="27" t="inlineStr">
        <is>
          <t>pax</t>
        </is>
      </c>
      <c r="D22" s="67" t="n">
        <v>2</v>
      </c>
      <c r="E22" s="67" t="n">
        <v>1</v>
      </c>
      <c r="F22" s="67" t="n">
        <v>1</v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</row>
    <row r="23">
      <c r="A23" s="11" t="inlineStr">
        <is>
          <t>P0065</t>
        </is>
      </c>
      <c r="B23" s="11" t="inlineStr">
        <is>
          <t>Encarregado de Frente</t>
        </is>
      </c>
      <c r="C23" s="18" t="inlineStr">
        <is>
          <t>pax</t>
        </is>
      </c>
      <c r="D23" s="58" t="n">
        <v>2</v>
      </c>
      <c r="E23" s="58" t="n">
        <v>1</v>
      </c>
      <c r="F23" s="58" t="n">
        <v>1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</row>
    <row r="25">
      <c r="A25" s="97" t="inlineStr">
        <is>
          <t>TOTAL SEMANAL</t>
        </is>
      </c>
      <c r="D25" s="98" t="n">
        <v>184</v>
      </c>
      <c r="E25" s="98" t="n">
        <v>77</v>
      </c>
      <c r="F25" s="98" t="n">
        <v>73</v>
      </c>
      <c r="G25" s="98" t="n">
        <v>59</v>
      </c>
      <c r="H25" s="98" t="n">
        <v>40</v>
      </c>
      <c r="I25" s="98" t="n">
        <v>40</v>
      </c>
      <c r="J25" s="98" t="n">
        <v>29</v>
      </c>
      <c r="K25" s="98" t="n">
        <v>25</v>
      </c>
      <c r="L25" s="98" t="n">
        <v>18</v>
      </c>
      <c r="M25" s="98" t="n">
        <v>13</v>
      </c>
      <c r="N25" s="98" t="n">
        <v>13</v>
      </c>
      <c r="O25" s="98" t="n">
        <v>13</v>
      </c>
      <c r="P25" s="98" t="n">
        <v>13</v>
      </c>
      <c r="Q25" s="98" t="n">
        <v>13</v>
      </c>
      <c r="R25" s="98" t="n">
        <v>13</v>
      </c>
      <c r="S25" s="98" t="n">
        <v>6</v>
      </c>
      <c r="T25" s="98" t="n">
        <v>6</v>
      </c>
      <c r="U25" s="98" t="n">
        <v>6</v>
      </c>
      <c r="V25" s="98" t="n">
        <v>6</v>
      </c>
      <c r="W25" s="98" t="n">
        <v>6</v>
      </c>
      <c r="X25" s="98" t="n">
        <v>6</v>
      </c>
      <c r="Y25" s="98" t="n">
        <v>6</v>
      </c>
      <c r="Z25" s="37" t="n"/>
      <c r="AA25" s="37" t="n"/>
      <c r="AB25" s="37" t="n"/>
      <c r="AC25" s="37" t="n"/>
      <c r="AD25" s="37" t="n"/>
    </row>
  </sheetData>
  <mergeCells count="2">
    <mergeCell ref="A25:C25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3" t="inlineStr">
        <is>
          <t>eap-2_2</t>
        </is>
      </c>
      <c r="B3" s="43" t="inlineStr">
        <is>
          <t>Escavação, carga e transporte de material de 1° cat. - dmt: 4700m (importação solo de jazida interna ao TBR070)</t>
        </is>
      </c>
      <c r="C3" s="43" t="inlineStr">
        <is>
          <t>m3</t>
        </is>
      </c>
      <c r="D3" s="44" t="n">
        <v>51353.781</v>
      </c>
      <c r="E3" s="45" t="n">
        <v>1168609.84</v>
      </c>
      <c r="F3" s="99" t="n">
        <v>8.672000000000001</v>
      </c>
      <c r="G3" s="99" t="n">
        <v>8.672000000000001</v>
      </c>
      <c r="H3" s="43" t="inlineStr">
        <is>
          <t>A</t>
        </is>
      </c>
      <c r="I3" s="43" t="inlineStr"/>
    </row>
    <row r="4">
      <c r="A4" s="43" t="inlineStr">
        <is>
          <t>eap-4_3</t>
        </is>
      </c>
      <c r="B4" s="43" t="inlineStr">
        <is>
          <t>Sub-base estabilizada granulometricamente com mistura solo brita (70% - 30%) na pista com material de jazida e brita comercial - volume geométrico</t>
        </is>
      </c>
      <c r="C4" s="43" t="inlineStr">
        <is>
          <t>m3</t>
        </is>
      </c>
      <c r="D4" s="44" t="n">
        <v>5626.356</v>
      </c>
      <c r="E4" s="45" t="n">
        <v>727295.84</v>
      </c>
      <c r="F4" s="99" t="n">
        <v>5.3971</v>
      </c>
      <c r="G4" s="99" t="n">
        <v>14.069</v>
      </c>
      <c r="H4" s="43" t="inlineStr">
        <is>
          <t>A</t>
        </is>
      </c>
      <c r="I4" s="43" t="inlineStr"/>
    </row>
    <row r="5">
      <c r="A5" s="43" t="inlineStr">
        <is>
          <t>eap-4_4</t>
        </is>
      </c>
      <c r="B5" s="43" t="inlineStr">
        <is>
          <t>Base ou sub-base de brita graduada executada com vibroacabadora - brita comercial</t>
        </is>
      </c>
      <c r="C5" s="43" t="inlineStr">
        <is>
          <t>m3</t>
        </is>
      </c>
      <c r="D5" s="44" t="n">
        <v>5501.33</v>
      </c>
      <c r="E5" s="45" t="n">
        <v>716668.63</v>
      </c>
      <c r="F5" s="99" t="n">
        <v>5.3182</v>
      </c>
      <c r="G5" s="99" t="n">
        <v>19.3872</v>
      </c>
      <c r="H5" s="43" t="inlineStr">
        <is>
          <t>A</t>
        </is>
      </c>
      <c r="I5" s="43" t="inlineStr"/>
    </row>
    <row r="6">
      <c r="A6" s="43" t="inlineStr">
        <is>
          <t>eap-4_2</t>
        </is>
      </c>
      <c r="B6" s="43" t="inlineStr">
        <is>
          <t>Reforço de subleito com solo de jazida selecionada - volume geométrico</t>
        </is>
      </c>
      <c r="C6" s="43" t="inlineStr">
        <is>
          <t>m3</t>
        </is>
      </c>
      <c r="D6" s="44" t="n">
        <v>22505.424</v>
      </c>
      <c r="E6" s="45" t="n">
        <v>620095.3100000001</v>
      </c>
      <c r="F6" s="99" t="n">
        <v>4.6016</v>
      </c>
      <c r="G6" s="99" t="n">
        <v>23.9888</v>
      </c>
      <c r="H6" s="43" t="inlineStr">
        <is>
          <t>A</t>
        </is>
      </c>
      <c r="I6" s="43" t="inlineStr"/>
    </row>
    <row r="7">
      <c r="A7" s="43" t="inlineStr">
        <is>
          <t>eap-2_3</t>
        </is>
      </c>
      <c r="B7" s="43" t="inlineStr">
        <is>
          <t>Compactação de aterros a 100% do proctor intermediário (camada final) - volume homogeneizado (vol. geométrico x 1,25)</t>
        </is>
      </c>
      <c r="C7" s="43" t="inlineStr">
        <is>
          <t>m3</t>
        </is>
      </c>
      <c r="D7" s="44" t="n">
        <v>40421.87</v>
      </c>
      <c r="E7" s="45" t="n">
        <v>365792.08</v>
      </c>
      <c r="F7" s="99" t="n">
        <v>2.7144</v>
      </c>
      <c r="G7" s="99" t="n">
        <v>26.7033</v>
      </c>
      <c r="H7" s="43" t="inlineStr">
        <is>
          <t>A</t>
        </is>
      </c>
      <c r="I7" s="43" t="inlineStr"/>
    </row>
    <row r="8">
      <c r="A8" s="43" t="inlineStr">
        <is>
          <t>eap-3_1</t>
        </is>
      </c>
      <c r="B8" s="43" t="inlineStr">
        <is>
          <t>Demolição mecânica de pavimento</t>
        </is>
      </c>
      <c r="C8" s="43" t="inlineStr">
        <is>
          <t>m3</t>
        </is>
      </c>
      <c r="D8" s="44" t="n">
        <v>4200</v>
      </c>
      <c r="E8" s="45" t="n">
        <v>333934.05</v>
      </c>
      <c r="F8" s="99" t="n">
        <v>2.478</v>
      </c>
      <c r="G8" s="99" t="n">
        <v>29.1813</v>
      </c>
      <c r="H8" s="43" t="inlineStr">
        <is>
          <t>A</t>
        </is>
      </c>
      <c r="I8" s="43" t="inlineStr"/>
    </row>
    <row r="9">
      <c r="A9" s="43" t="inlineStr">
        <is>
          <t>eap-4_7</t>
        </is>
      </c>
      <c r="B9" s="43" t="inlineStr">
        <is>
          <t>Binder - camada de ligação (FAIXA B)</t>
        </is>
      </c>
      <c r="C9" s="43" t="inlineStr">
        <is>
          <t>m3</t>
        </is>
      </c>
      <c r="D9" s="44" t="n">
        <v>2438.0876</v>
      </c>
      <c r="E9" s="45" t="n">
        <v>222206.15</v>
      </c>
      <c r="F9" s="99" t="n">
        <v>1.6489</v>
      </c>
      <c r="G9" s="99" t="n">
        <v>30.8302</v>
      </c>
      <c r="H9" s="43" t="inlineStr">
        <is>
          <t>A</t>
        </is>
      </c>
      <c r="I9" s="43" t="inlineStr"/>
    </row>
    <row r="10">
      <c r="A10" s="43" t="inlineStr">
        <is>
          <t>eap-6_3</t>
        </is>
      </c>
      <c r="B10" s="43" t="inlineStr">
        <is>
          <t>Tachão refletivo em plástico injetado - bidirecional - fornecimento e colocação</t>
        </is>
      </c>
      <c r="C10" s="43" t="inlineStr">
        <is>
          <t>und</t>
        </is>
      </c>
      <c r="D10" s="44" t="n">
        <v>220</v>
      </c>
      <c r="E10" s="45" t="n">
        <v>162226.84</v>
      </c>
      <c r="F10" s="99" t="n">
        <v>1.2038</v>
      </c>
      <c r="G10" s="99" t="n">
        <v>32.0341</v>
      </c>
      <c r="H10" s="43" t="inlineStr">
        <is>
          <t>A</t>
        </is>
      </c>
      <c r="I10" s="43" t="inlineStr"/>
    </row>
    <row r="11">
      <c r="A11" s="46" t="inlineStr">
        <is>
          <t>eap-1_3</t>
        </is>
      </c>
      <c r="B11" s="46" t="inlineStr">
        <is>
          <t>Regularização de bota-fora com espalhamento e compactação</t>
        </is>
      </c>
      <c r="C11" s="46" t="inlineStr">
        <is>
          <t>m3</t>
        </is>
      </c>
      <c r="D11" s="47" t="n">
        <v>15600</v>
      </c>
      <c r="E11" s="48" t="n">
        <v>5734368.77</v>
      </c>
      <c r="F11" s="100" t="n">
        <v>42.5533</v>
      </c>
      <c r="G11" s="100" t="n">
        <v>74.5874</v>
      </c>
      <c r="H11" s="46" t="inlineStr">
        <is>
          <t>B</t>
        </is>
      </c>
      <c r="I11" s="46" t="inlineStr"/>
    </row>
    <row r="12">
      <c r="A12" s="46" t="inlineStr">
        <is>
          <t>eap-4_6</t>
        </is>
      </c>
      <c r="B12" s="46" t="inlineStr">
        <is>
          <t>Pintura de ligação (RR1C)</t>
        </is>
      </c>
      <c r="C12" s="46" t="inlineStr">
        <is>
          <t>m2</t>
        </is>
      </c>
      <c r="D12" s="47" t="n">
        <v>71684.08</v>
      </c>
      <c r="E12" s="48" t="n">
        <v>173797.38</v>
      </c>
      <c r="F12" s="100" t="n">
        <v>1.2897</v>
      </c>
      <c r="G12" s="100" t="n">
        <v>75.8771</v>
      </c>
      <c r="H12" s="46" t="inlineStr">
        <is>
          <t>B</t>
        </is>
      </c>
      <c r="I12" s="46" t="inlineStr"/>
    </row>
    <row r="13">
      <c r="A13" s="46" t="inlineStr">
        <is>
          <t>eap-1_2</t>
        </is>
      </c>
      <c r="B13" s="46" t="inlineStr">
        <is>
          <t>Transporte de solo excedente com caminhão basculante de 14 m3 (peso específico de transporte de 1,8 g/cm3) - dmt de até 3,0 km (interno à planta)</t>
        </is>
      </c>
      <c r="C13" s="46" t="inlineStr">
        <is>
          <t>m3</t>
        </is>
      </c>
      <c r="D13" s="47" t="n">
        <v>15600</v>
      </c>
      <c r="E13" s="48" t="n">
        <v>119469.53</v>
      </c>
      <c r="F13" s="100" t="n">
        <v>0.8866000000000001</v>
      </c>
      <c r="G13" s="100" t="n">
        <v>76.7636</v>
      </c>
      <c r="H13" s="46" t="inlineStr">
        <is>
          <t>B</t>
        </is>
      </c>
      <c r="I13" s="46" t="inlineStr"/>
    </row>
    <row r="14">
      <c r="A14" s="46" t="inlineStr">
        <is>
          <t>eap-4_1</t>
        </is>
      </c>
      <c r="B14" s="46" t="inlineStr">
        <is>
          <t>Regularização do subleito</t>
        </is>
      </c>
      <c r="C14" s="46" t="inlineStr">
        <is>
          <t>m2</t>
        </is>
      </c>
      <c r="D14" s="47" t="n">
        <v>37509.04</v>
      </c>
      <c r="E14" s="48" t="n">
        <v>115815.42</v>
      </c>
      <c r="F14" s="100" t="n">
        <v>0.8594000000000001</v>
      </c>
      <c r="G14" s="100" t="n">
        <v>77.62309999999999</v>
      </c>
      <c r="H14" s="46" t="inlineStr">
        <is>
          <t>B</t>
        </is>
      </c>
      <c r="I14" s="46" t="inlineStr"/>
    </row>
    <row r="15">
      <c r="A15" s="46" t="inlineStr">
        <is>
          <t>eap-6_6</t>
        </is>
      </c>
      <c r="B15" s="46" t="inlineStr">
        <is>
          <t>Placa em alumínio composto, espessura de 3,0 mm, modulada, aérea - película retrorrefletiva tipo III + III - fornecimento e implantação</t>
        </is>
      </c>
      <c r="C15" s="46" t="inlineStr">
        <is>
          <t>m2</t>
        </is>
      </c>
      <c r="D15" s="47" t="n">
        <v>37.45</v>
      </c>
      <c r="E15" s="48" t="n">
        <v>63830.05</v>
      </c>
      <c r="F15" s="100" t="n">
        <v>0.4737</v>
      </c>
      <c r="G15" s="100" t="n">
        <v>78.0967</v>
      </c>
      <c r="H15" s="46" t="inlineStr">
        <is>
          <t>B</t>
        </is>
      </c>
      <c r="I15" s="46" t="inlineStr"/>
    </row>
    <row r="16">
      <c r="A16" s="46" t="inlineStr">
        <is>
          <t>eap-6_7</t>
        </is>
      </c>
      <c r="B16" s="46" t="inlineStr">
        <is>
          <t>Placa em aço - película III + III - fornecimento e implantação</t>
        </is>
      </c>
      <c r="C16" s="46" t="inlineStr">
        <is>
          <t>m2</t>
        </is>
      </c>
      <c r="D16" s="47" t="n">
        <v>27.39</v>
      </c>
      <c r="E16" s="48" t="n">
        <v>59991.15</v>
      </c>
      <c r="F16" s="100" t="n">
        <v>0.4452</v>
      </c>
      <c r="G16" s="100" t="n">
        <v>78.5419</v>
      </c>
      <c r="H16" s="46" t="inlineStr">
        <is>
          <t>B</t>
        </is>
      </c>
      <c r="I16" s="46" t="inlineStr"/>
    </row>
    <row r="17">
      <c r="A17" s="46" t="inlineStr">
        <is>
          <t>eap-4_9</t>
        </is>
      </c>
      <c r="B17" s="46" t="inlineStr">
        <is>
          <t>Fresagem de pavimento esp=10cm (Para encaixes novas alças)</t>
        </is>
      </c>
      <c r="C17" s="46" t="inlineStr">
        <is>
          <t>m3</t>
        </is>
      </c>
      <c r="D17" s="47" t="n">
        <v>60</v>
      </c>
      <c r="E17" s="48" t="n">
        <v>53603.85</v>
      </c>
      <c r="F17" s="100" t="n">
        <v>0.3978</v>
      </c>
      <c r="G17" s="100" t="n">
        <v>78.9397</v>
      </c>
      <c r="H17" s="46" t="inlineStr">
        <is>
          <t>B</t>
        </is>
      </c>
      <c r="I17" s="46" t="inlineStr"/>
    </row>
    <row r="18">
      <c r="A18" s="46" t="inlineStr">
        <is>
          <t>eap-5_5</t>
        </is>
      </c>
      <c r="B18" s="46" t="inlineStr">
        <is>
          <t>Escavação mecanizada de cavas ou valas de solo local - volume geométrico</t>
        </is>
      </c>
      <c r="C18" s="46" t="inlineStr">
        <is>
          <t>m³</t>
        </is>
      </c>
      <c r="D18" s="47" t="n">
        <v>1445.004</v>
      </c>
      <c r="E18" s="48" t="n">
        <v>47707.66</v>
      </c>
      <c r="F18" s="100" t="n">
        <v>0.354</v>
      </c>
      <c r="G18" s="100" t="n">
        <v>79.2937</v>
      </c>
      <c r="H18" s="46" t="inlineStr">
        <is>
          <t>B</t>
        </is>
      </c>
      <c r="I18" s="46" t="inlineStr"/>
    </row>
    <row r="19">
      <c r="A19" s="46" t="inlineStr">
        <is>
          <t>eap-2_1</t>
        </is>
      </c>
      <c r="B19" s="46" t="inlineStr">
        <is>
          <t>Escavação, carga e transporte de material de 1ª categoria - dmt de 400 a 600 m - caminho de serviço em leito natural - com carregadeira e caminhão basculante de 14 m³ - volume geométrico</t>
        </is>
      </c>
      <c r="C19" s="46" t="inlineStr">
        <is>
          <t>m3</t>
        </is>
      </c>
      <c r="D19" s="47" t="n">
        <v>1194.65</v>
      </c>
      <c r="E19" s="48" t="n">
        <v>47492.02</v>
      </c>
      <c r="F19" s="100" t="n">
        <v>0.3524</v>
      </c>
      <c r="G19" s="100" t="n">
        <v>79.64619999999999</v>
      </c>
      <c r="H19" s="46" t="inlineStr">
        <is>
          <t>B</t>
        </is>
      </c>
      <c r="I19" s="46" t="inlineStr"/>
    </row>
    <row r="20">
      <c r="A20" s="46" t="inlineStr">
        <is>
          <t>eap-5_15</t>
        </is>
      </c>
      <c r="B20" s="46" t="inlineStr">
        <is>
          <t>Escavação mecanizada de cavas ou valas de solo local - volume geométrico</t>
        </is>
      </c>
      <c r="C20" s="46" t="inlineStr">
        <is>
          <t>m³</t>
        </is>
      </c>
      <c r="D20" s="47" t="n">
        <v>268.9080000000001</v>
      </c>
      <c r="E20" s="48" t="n">
        <v>46694.63</v>
      </c>
      <c r="F20" s="100" t="n">
        <v>0.3465</v>
      </c>
      <c r="G20" s="100" t="n">
        <v>79.9927</v>
      </c>
      <c r="H20" s="46" t="inlineStr">
        <is>
          <t>B</t>
        </is>
      </c>
      <c r="I20" s="46" t="inlineStr"/>
    </row>
    <row r="21">
      <c r="A21" s="46" t="inlineStr">
        <is>
          <t>eap-5_10</t>
        </is>
      </c>
      <c r="B21" s="46" t="inlineStr">
        <is>
          <t>Escavação mecanizada de cavas ou valas de solo local - volume geométrico</t>
        </is>
      </c>
      <c r="C21" s="46" t="inlineStr">
        <is>
          <t>m³</t>
        </is>
      </c>
      <c r="D21" s="47" t="n">
        <v>18.5688</v>
      </c>
      <c r="E21" s="48" t="n">
        <v>46479.01</v>
      </c>
      <c r="F21" s="100" t="n">
        <v>0.3449</v>
      </c>
      <c r="G21" s="100" t="n">
        <v>80.33759999999999</v>
      </c>
      <c r="H21" s="46" t="inlineStr">
        <is>
          <t>B</t>
        </is>
      </c>
      <c r="I21" s="46" t="inlineStr"/>
    </row>
    <row r="22">
      <c r="A22" s="46" t="inlineStr">
        <is>
          <t>eap-1_1</t>
        </is>
      </c>
      <c r="B22" s="46" t="inlineStr">
        <is>
          <t>Limpeza mecanizada da camada vegetal (espessura média de 30 cm) - volume geométrico</t>
        </is>
      </c>
      <c r="C22" s="46" t="inlineStr">
        <is>
          <t>m2</t>
        </is>
      </c>
      <c r="D22" s="47" t="n">
        <v>52000</v>
      </c>
      <c r="E22" s="48" t="n">
        <v>45428.66</v>
      </c>
      <c r="F22" s="100" t="n">
        <v>0.3371</v>
      </c>
      <c r="G22" s="100" t="n">
        <v>80.6747</v>
      </c>
      <c r="H22" s="46" t="inlineStr">
        <is>
          <t>B</t>
        </is>
      </c>
      <c r="I22" s="46" t="inlineStr"/>
    </row>
    <row r="23">
      <c r="A23" s="31" t="inlineStr">
        <is>
          <t>eap-3_3</t>
        </is>
      </c>
      <c r="B23" s="31" t="inlineStr">
        <is>
          <t>Regularização de bota-fora com espalhamento e compactação</t>
        </is>
      </c>
      <c r="C23" s="31" t="inlineStr">
        <is>
          <t>m3</t>
        </is>
      </c>
      <c r="D23" s="32" t="n">
        <v>4200</v>
      </c>
      <c r="E23" s="33" t="n">
        <v>1550973.09</v>
      </c>
      <c r="F23" s="4" t="n">
        <v>11.5094</v>
      </c>
      <c r="G23" s="4" t="n">
        <v>92.1841</v>
      </c>
      <c r="H23" s="31" t="inlineStr">
        <is>
          <t>C</t>
        </is>
      </c>
      <c r="I23" s="31" t="inlineStr"/>
    </row>
    <row r="24">
      <c r="A24" s="34" t="inlineStr">
        <is>
          <t>eap-5_7</t>
        </is>
      </c>
      <c r="B24" s="34" t="inlineStr">
        <is>
          <t>Regularização de bota-fora com espalhamento e compactação</t>
        </is>
      </c>
      <c r="C24" s="34" t="inlineStr">
        <is>
          <t>m³</t>
        </is>
      </c>
      <c r="D24" s="35" t="n">
        <v>1445.004</v>
      </c>
      <c r="E24" s="36" t="n">
        <v>559036.78</v>
      </c>
      <c r="F24" s="7" t="n">
        <v>4.1485</v>
      </c>
      <c r="G24" s="7" t="n">
        <v>96.3325</v>
      </c>
      <c r="H24" s="34" t="inlineStr">
        <is>
          <t>C</t>
        </is>
      </c>
      <c r="I24" s="34" t="inlineStr"/>
    </row>
    <row r="25">
      <c r="A25" s="31" t="inlineStr">
        <is>
          <t>eap-4_5</t>
        </is>
      </c>
      <c r="B25" s="31" t="inlineStr">
        <is>
          <t>Imprimação com asfalto diluído (EAI)</t>
        </is>
      </c>
      <c r="C25" s="31" t="inlineStr">
        <is>
          <t>m2</t>
        </is>
      </c>
      <c r="D25" s="32" t="n">
        <v>35842.04</v>
      </c>
      <c r="E25" s="33" t="n">
        <v>126934.38</v>
      </c>
      <c r="F25" s="4" t="n">
        <v>0.9419</v>
      </c>
      <c r="G25" s="4" t="n">
        <v>97.2745</v>
      </c>
      <c r="H25" s="31" t="inlineStr">
        <is>
          <t>C</t>
        </is>
      </c>
      <c r="I25" s="31" t="inlineStr"/>
    </row>
    <row r="26">
      <c r="A26" s="34" t="inlineStr">
        <is>
          <t>eap-5_17</t>
        </is>
      </c>
      <c r="B26" s="34" t="inlineStr">
        <is>
          <t>Eegularização de bota-fora com espalhamento e compactação</t>
        </is>
      </c>
      <c r="C26" s="34" t="inlineStr">
        <is>
          <t>m³</t>
        </is>
      </c>
      <c r="D26" s="35" t="n">
        <v>268.9080000000001</v>
      </c>
      <c r="E26" s="36" t="n">
        <v>69179.41</v>
      </c>
      <c r="F26" s="7" t="n">
        <v>0.5134</v>
      </c>
      <c r="G26" s="7" t="n">
        <v>97.7878</v>
      </c>
      <c r="H26" s="34" t="inlineStr">
        <is>
          <t>C</t>
        </is>
      </c>
      <c r="I26" s="34" t="inlineStr"/>
    </row>
    <row r="27">
      <c r="A27" s="31" t="inlineStr">
        <is>
          <t>eap-5_12</t>
        </is>
      </c>
      <c r="B27" s="31" t="inlineStr">
        <is>
          <t>Regularização de bota-fora com espalhamento e compactação</t>
        </is>
      </c>
      <c r="C27" s="31" t="inlineStr">
        <is>
          <t>m³</t>
        </is>
      </c>
      <c r="D27" s="32" t="n">
        <v>18.5688</v>
      </c>
      <c r="E27" s="33" t="n">
        <v>45448.79</v>
      </c>
      <c r="F27" s="4" t="n">
        <v>0.3373</v>
      </c>
      <c r="G27" s="4" t="n">
        <v>98.1251</v>
      </c>
      <c r="H27" s="31" t="inlineStr">
        <is>
          <t>C</t>
        </is>
      </c>
      <c r="I27" s="31" t="inlineStr"/>
    </row>
    <row r="28">
      <c r="A28" s="34" t="inlineStr">
        <is>
          <t>eap-7_1</t>
        </is>
      </c>
      <c r="B28" s="34" t="inlineStr">
        <is>
          <t>Hidrossemeadura para cobertura de taludes</t>
        </is>
      </c>
      <c r="C28" s="34" t="inlineStr">
        <is>
          <t>m2</t>
        </is>
      </c>
      <c r="D28" s="35" t="n">
        <v>85475.66</v>
      </c>
      <c r="E28" s="36" t="n">
        <v>43802.63</v>
      </c>
      <c r="F28" s="7" t="n">
        <v>0.325</v>
      </c>
      <c r="G28" s="7" t="n">
        <v>98.4502</v>
      </c>
      <c r="H28" s="34" t="inlineStr">
        <is>
          <t>C</t>
        </is>
      </c>
      <c r="I28" s="34" t="inlineStr"/>
    </row>
    <row r="29">
      <c r="A29" s="31" t="inlineStr">
        <is>
          <t>eap-3_2</t>
        </is>
      </c>
      <c r="B29" s="31" t="inlineStr">
        <is>
          <t>Carregamento e transporte de material de demolição para bota fora interno ao TBR070 em basculante de 14m³ - DMT até 4 km</t>
        </is>
      </c>
      <c r="C29" s="31" t="inlineStr">
        <is>
          <t>m3</t>
        </is>
      </c>
      <c r="D29" s="32" t="n">
        <v>4200</v>
      </c>
      <c r="E29" s="33" t="n">
        <v>32164.87</v>
      </c>
      <c r="F29" s="4" t="n">
        <v>0.2387</v>
      </c>
      <c r="G29" s="4" t="n">
        <v>98.6888</v>
      </c>
      <c r="H29" s="31" t="inlineStr">
        <is>
          <t>C</t>
        </is>
      </c>
      <c r="I29" s="31" t="inlineStr"/>
    </row>
    <row r="30">
      <c r="A30" s="34" t="inlineStr">
        <is>
          <t>eap-6_4</t>
        </is>
      </c>
      <c r="B30" s="34" t="inlineStr">
        <is>
          <t>Pintura de setas e zebrados com termoplástico por extrusão - espessura de 3,0 mm</t>
        </is>
      </c>
      <c r="C30" s="34" t="inlineStr">
        <is>
          <t>m2</t>
        </is>
      </c>
      <c r="D30" s="35" t="n">
        <v>339.96</v>
      </c>
      <c r="E30" s="36" t="n">
        <v>24926.31</v>
      </c>
      <c r="F30" s="7" t="n">
        <v>0.185</v>
      </c>
      <c r="G30" s="7" t="n">
        <v>98.8738</v>
      </c>
      <c r="H30" s="34" t="inlineStr">
        <is>
          <t>C</t>
        </is>
      </c>
      <c r="I30" s="34" t="inlineStr"/>
    </row>
    <row r="31">
      <c r="A31" s="31" t="inlineStr">
        <is>
          <t>eap-5_16</t>
        </is>
      </c>
      <c r="B31" s="31" t="inlineStr">
        <is>
          <t>Eegularização de valas com apiloamento do fundo</t>
        </is>
      </c>
      <c r="C31" s="31" t="inlineStr">
        <is>
          <t>m²</t>
        </is>
      </c>
      <c r="D31" s="32" t="n">
        <v>537.8160000000001</v>
      </c>
      <c r="E31" s="33" t="n">
        <v>24926.31</v>
      </c>
      <c r="F31" s="4" t="n">
        <v>0.185</v>
      </c>
      <c r="G31" s="4" t="n">
        <v>99.05880000000001</v>
      </c>
      <c r="H31" s="31" t="inlineStr">
        <is>
          <t>C</t>
        </is>
      </c>
      <c r="I31" s="31" t="inlineStr"/>
    </row>
    <row r="32">
      <c r="A32" s="34" t="inlineStr">
        <is>
          <t>eap-4_8</t>
        </is>
      </c>
      <c r="B32" s="34" t="inlineStr">
        <is>
          <t>Cbuq - concreto betuminoso usinado a quente</t>
        </is>
      </c>
      <c r="C32" s="34" t="inlineStr">
        <is>
          <t>m3</t>
        </is>
      </c>
      <c r="D32" s="35" t="n">
        <v>2250.5424</v>
      </c>
      <c r="E32" s="36" t="n">
        <v>21193.47</v>
      </c>
      <c r="F32" s="7" t="n">
        <v>0.1573</v>
      </c>
      <c r="G32" s="7" t="n">
        <v>99.2161</v>
      </c>
      <c r="H32" s="34" t="inlineStr">
        <is>
          <t>C</t>
        </is>
      </c>
      <c r="I32" s="34" t="inlineStr"/>
    </row>
    <row r="33">
      <c r="A33" s="31" t="inlineStr">
        <is>
          <t>eap-5_6</t>
        </is>
      </c>
      <c r="B33" s="31" t="inlineStr">
        <is>
          <t>Regularização de valas com apiloamento do fundo</t>
        </is>
      </c>
      <c r="C33" s="31" t="inlineStr">
        <is>
          <t>m²</t>
        </is>
      </c>
      <c r="D33" s="32" t="n">
        <v>2408.34</v>
      </c>
      <c r="E33" s="33" t="n">
        <v>19379.31</v>
      </c>
      <c r="F33" s="4" t="n">
        <v>0.1438</v>
      </c>
      <c r="G33" s="4" t="n">
        <v>99.3599</v>
      </c>
      <c r="H33" s="31" t="inlineStr">
        <is>
          <t>C</t>
        </is>
      </c>
      <c r="I33" s="31" t="inlineStr"/>
    </row>
    <row r="34">
      <c r="A34" s="34" t="inlineStr">
        <is>
          <t>eap-5_11</t>
        </is>
      </c>
      <c r="B34" s="34" t="inlineStr">
        <is>
          <t>Regularização de valas com apiloamento do fundo</t>
        </is>
      </c>
      <c r="C34" s="34" t="inlineStr">
        <is>
          <t>m²</t>
        </is>
      </c>
      <c r="D34" s="35" t="n">
        <v>30.948</v>
      </c>
      <c r="E34" s="36" t="n">
        <v>19379.31</v>
      </c>
      <c r="F34" s="7" t="n">
        <v>0.1438</v>
      </c>
      <c r="G34" s="7" t="n">
        <v>99.50369999999999</v>
      </c>
      <c r="H34" s="34" t="inlineStr">
        <is>
          <t>C</t>
        </is>
      </c>
      <c r="I34" s="34" t="inlineStr"/>
    </row>
    <row r="35">
      <c r="A35" s="31" t="inlineStr">
        <is>
          <t>eap-6_5</t>
        </is>
      </c>
      <c r="B35" s="31" t="inlineStr">
        <is>
          <t>Pintura de faixa com tinta acrílica - espessura de 0,6 mm</t>
        </is>
      </c>
      <c r="C35" s="31" t="inlineStr">
        <is>
          <t>m2</t>
        </is>
      </c>
      <c r="D35" s="32" t="n">
        <v>1476.64</v>
      </c>
      <c r="E35" s="33" t="n">
        <v>18758.08</v>
      </c>
      <c r="F35" s="4" t="n">
        <v>0.1392</v>
      </c>
      <c r="G35" s="4" t="n">
        <v>99.6429</v>
      </c>
      <c r="H35" s="31" t="inlineStr">
        <is>
          <t>C</t>
        </is>
      </c>
      <c r="I35" s="31" t="inlineStr"/>
    </row>
    <row r="36">
      <c r="A36" s="34" t="inlineStr">
        <is>
          <t>eap-6_11</t>
        </is>
      </c>
      <c r="B36" s="34" t="inlineStr">
        <is>
          <t>Ancoragem de defensa semimaleável simples - fornecimento e implantação</t>
        </is>
      </c>
      <c r="C36" s="34" t="inlineStr">
        <is>
          <t>m</t>
        </is>
      </c>
      <c r="D36" s="35" t="n">
        <v>96</v>
      </c>
      <c r="E36" s="36" t="n">
        <v>10579.96</v>
      </c>
      <c r="F36" s="7" t="n">
        <v>0.0785</v>
      </c>
      <c r="G36" s="7" t="n">
        <v>99.7214</v>
      </c>
      <c r="H36" s="34" t="inlineStr">
        <is>
          <t>C</t>
        </is>
      </c>
      <c r="I36" s="34" t="inlineStr"/>
    </row>
    <row r="37">
      <c r="A37" s="31" t="inlineStr">
        <is>
          <t>eap-5_8</t>
        </is>
      </c>
      <c r="B37" s="31" t="inlineStr">
        <is>
          <t>Hidrossemeadura para cobertura de taludes</t>
        </is>
      </c>
      <c r="C37" s="31" t="inlineStr">
        <is>
          <t>m²</t>
        </is>
      </c>
      <c r="D37" s="32" t="n">
        <v>2408.34</v>
      </c>
      <c r="E37" s="33" t="n">
        <v>6257.52</v>
      </c>
      <c r="F37" s="4" t="n">
        <v>0.0464</v>
      </c>
      <c r="G37" s="4" t="n">
        <v>99.76779999999999</v>
      </c>
      <c r="H37" s="31" t="inlineStr">
        <is>
          <t>C</t>
        </is>
      </c>
      <c r="I37" s="31" t="inlineStr"/>
    </row>
    <row r="38">
      <c r="A38" s="34" t="inlineStr">
        <is>
          <t>eap-5_18</t>
        </is>
      </c>
      <c r="B38" s="34" t="inlineStr">
        <is>
          <t>Hidrossemeadura para cobertura de taludes</t>
        </is>
      </c>
      <c r="C38" s="34" t="inlineStr">
        <is>
          <t>m²</t>
        </is>
      </c>
      <c r="D38" s="35" t="n">
        <v>537.8160000000001</v>
      </c>
      <c r="E38" s="36" t="n">
        <v>6257.52</v>
      </c>
      <c r="F38" s="7" t="n">
        <v>0.0464</v>
      </c>
      <c r="G38" s="7" t="n">
        <v>99.8143</v>
      </c>
      <c r="H38" s="34" t="inlineStr">
        <is>
          <t>C</t>
        </is>
      </c>
      <c r="I38" s="34" t="inlineStr"/>
    </row>
    <row r="39">
      <c r="A39" s="31" t="inlineStr">
        <is>
          <t>eap-5_9</t>
        </is>
      </c>
      <c r="B39" s="31" t="inlineStr">
        <is>
          <t>Manutenção de cobertura de gramíneas por hidrossemeadura</t>
        </is>
      </c>
      <c r="C39" s="31" t="inlineStr">
        <is>
          <t>m²</t>
        </is>
      </c>
      <c r="D39" s="32" t="n">
        <v>2408.34</v>
      </c>
      <c r="E39" s="33" t="n">
        <v>6257.52</v>
      </c>
      <c r="F39" s="4" t="n">
        <v>0.0464</v>
      </c>
      <c r="G39" s="4" t="n">
        <v>99.86069999999999</v>
      </c>
      <c r="H39" s="31" t="inlineStr">
        <is>
          <t>C</t>
        </is>
      </c>
      <c r="I39" s="31" t="inlineStr"/>
    </row>
    <row r="40">
      <c r="A40" s="34" t="inlineStr">
        <is>
          <t>eap-5_19</t>
        </is>
      </c>
      <c r="B40" s="34" t="inlineStr">
        <is>
          <t>manutenção de cobertura de gramíneas por hidrossemeadura</t>
        </is>
      </c>
      <c r="C40" s="34" t="inlineStr">
        <is>
          <t>m²</t>
        </is>
      </c>
      <c r="D40" s="35" t="n">
        <v>537.8160000000001</v>
      </c>
      <c r="E40" s="36" t="n">
        <v>6257.52</v>
      </c>
      <c r="F40" s="7" t="n">
        <v>0.0464</v>
      </c>
      <c r="G40" s="7" t="n">
        <v>99.9071</v>
      </c>
      <c r="H40" s="34" t="inlineStr">
        <is>
          <t>C</t>
        </is>
      </c>
      <c r="I40" s="34" t="inlineStr"/>
    </row>
    <row r="41">
      <c r="A41" s="31" t="inlineStr">
        <is>
          <t>eap-5_13</t>
        </is>
      </c>
      <c r="B41" s="31" t="inlineStr">
        <is>
          <t>Hidrossemeadura para cobertura de taludes</t>
        </is>
      </c>
      <c r="C41" s="31" t="inlineStr">
        <is>
          <t>m²</t>
        </is>
      </c>
      <c r="D41" s="32" t="n">
        <v>30.948</v>
      </c>
      <c r="E41" s="33" t="n">
        <v>6257.52</v>
      </c>
      <c r="F41" s="4" t="n">
        <v>0.0464</v>
      </c>
      <c r="G41" s="4" t="n">
        <v>99.95359999999999</v>
      </c>
      <c r="H41" s="31" t="inlineStr">
        <is>
          <t>C</t>
        </is>
      </c>
      <c r="I41" s="31" t="inlineStr"/>
    </row>
    <row r="42">
      <c r="A42" s="34" t="inlineStr">
        <is>
          <t>eap-5_14</t>
        </is>
      </c>
      <c r="B42" s="34" t="inlineStr">
        <is>
          <t>manutenção de cobertura de gramíneas por hidrossemeadura</t>
        </is>
      </c>
      <c r="C42" s="34" t="inlineStr">
        <is>
          <t>m²</t>
        </is>
      </c>
      <c r="D42" s="35" t="n">
        <v>30.948</v>
      </c>
      <c r="E42" s="36" t="n">
        <v>6257.52</v>
      </c>
      <c r="F42" s="7" t="n">
        <v>0.0464</v>
      </c>
      <c r="G42" s="7" t="n">
        <v>100</v>
      </c>
      <c r="H42" s="34" t="inlineStr">
        <is>
          <t>C</t>
        </is>
      </c>
      <c r="I42" s="34" t="inlineStr"/>
    </row>
    <row r="44">
      <c r="A44" s="29" t="inlineStr">
        <is>
          <t>TOTAL</t>
        </is>
      </c>
      <c r="E44" s="30">
        <f>SUM(E3:E43)</f>
        <v/>
      </c>
      <c r="F44" s="37" t="n"/>
      <c r="G44" s="37" t="n"/>
      <c r="H44" s="37" t="n"/>
      <c r="I44" s="37" t="n"/>
    </row>
  </sheetData>
  <mergeCells count="2">
    <mergeCell ref="A1:I1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2026-05-12T18:13:21Z</dcterms:created>
  <dcterms:modified xsi:type="dcterms:W3CDTF">2026-05-12T18:13:32Z</dcterms:modified>
</cp:coreProperties>
</file>