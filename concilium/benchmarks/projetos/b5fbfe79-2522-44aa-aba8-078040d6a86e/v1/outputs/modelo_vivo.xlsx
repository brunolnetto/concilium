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ÂMETROS" sheetId="1" state="visible" r:id="rId1"/>
    <sheet name="RECURSOS" sheetId="2" state="visible" r:id="rId2"/>
    <sheet name="CUSTOS DIR." sheetId="3" state="visible" r:id="rId3"/>
    <sheet name="ORÇAMENTO" sheetId="4" state="visible" r:id="rId4"/>
    <sheet name="CRONOGRAMA" sheetId="5" state="visible" r:id="rId5"/>
    <sheet name="INDIRETOS" sheetId="6" state="visible" r:id="rId6"/>
    <sheet name="CONSOLIDAÇÃO" sheetId="7" state="visible" r:id="rId7"/>
    <sheet name="FLUXO DE CX" sheetId="8" state="visible" r:id="rId8"/>
    <sheet name="REFERÊNCI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##"/>
    <numFmt numFmtId="165" formatCode="#,##0.0000"/>
    <numFmt numFmtId="166" formatCode="#,##0.0"/>
    <numFmt numFmtId="167" formatCode="0.0%"/>
  </numFmts>
  <fonts count="10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000000"/>
      <sz val="9"/>
    </font>
    <font>
      <color rgb="00000000"/>
      <sz val="10"/>
    </font>
    <font>
      <color rgb="00000000"/>
      <sz val="8"/>
    </font>
    <font>
      <b val="1"/>
      <color rgb="00000000"/>
      <sz val="7"/>
    </font>
    <font>
      <b val="1"/>
      <color rgb="00FFFFFF"/>
      <sz val="8"/>
    </font>
    <font>
      <b val="1"/>
      <color rgb="00000000"/>
      <sz val="10"/>
    </font>
    <font>
      <b val="1"/>
      <color rgb="00FFFFFF"/>
      <sz val="7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5F5F5"/>
      </patternFill>
    </fill>
    <fill>
      <patternFill patternType="solid">
        <fgColor rgb="00D9D9D9"/>
      </patternFill>
    </fill>
    <fill>
      <patternFill patternType="solid">
        <fgColor rgb="00F4CCCC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/>
      <right/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3" borderId="1" applyAlignment="1" pivotButton="0" quotePrefix="0" xfId="0">
      <alignment horizontal="left" vertical="center"/>
    </xf>
    <xf numFmtId="1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10" fontId="4" fillId="4" borderId="1" applyAlignment="1" pivotButton="0" quotePrefix="0" xfId="0">
      <alignment horizontal="right" vertical="center"/>
    </xf>
    <xf numFmtId="0" fontId="0" fillId="0" borderId="5" pivotButton="0" quotePrefix="0" xfId="0"/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" fontId="4" fillId="5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right" vertical="center"/>
    </xf>
    <xf numFmtId="1" fontId="5" fillId="4" borderId="1" applyAlignment="1" pivotButton="0" quotePrefix="0" xfId="0">
      <alignment horizontal="center" vertical="center"/>
    </xf>
    <xf numFmtId="1" fontId="5" fillId="6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1" fontId="3" fillId="4" borderId="1" applyAlignment="1" pivotButton="0" quotePrefix="0" xfId="0">
      <alignment horizontal="center" vertical="center"/>
    </xf>
    <xf numFmtId="1" fontId="3" fillId="6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8" fillId="7" borderId="1" pivotButton="0" quotePrefix="0" xfId="0"/>
    <xf numFmtId="0" fontId="0" fillId="7" borderId="1" pivotButton="0" quotePrefix="0" xfId="0"/>
    <xf numFmtId="4" fontId="8" fillId="7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165" fontId="4" fillId="5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8" fillId="3" borderId="1" pivotButton="0" quotePrefix="0" xfId="0"/>
    <xf numFmtId="10" fontId="4" fillId="5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0" fontId="0" fillId="3" borderId="1" pivotButton="0" quotePrefix="0" xfId="0"/>
    <xf numFmtId="0" fontId="5" fillId="3" borderId="1" pivotButton="0" quotePrefix="0" xfId="0"/>
    <xf numFmtId="0" fontId="0" fillId="5" borderId="1" applyAlignment="1" pivotButton="0" quotePrefix="0" xfId="0">
      <alignment horizontal="left" vertical="center"/>
    </xf>
    <xf numFmtId="4" fontId="8" fillId="5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4" fontId="4" fillId="8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center" vertical="center"/>
    </xf>
    <xf numFmtId="0" fontId="2" fillId="2" borderId="1" pivotButton="0" quotePrefix="0" xfId="0"/>
    <xf numFmtId="0" fontId="8" fillId="3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0" fontId="4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0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</cols>
  <sheetData>
    <row r="1">
      <c r="A1" s="1" t="inlineStr">
        <is>
          <t>PARÂMETROS — ÚNICA FONTE DE VERDADE</t>
        </is>
      </c>
    </row>
    <row r="3">
      <c r="A3" s="2" t="inlineStr">
        <is>
          <t>REGIME DE TRABALHO</t>
        </is>
      </c>
      <c r="B3" s="3" t="n"/>
    </row>
    <row r="4">
      <c r="A4" s="4" t="inlineStr">
        <is>
          <t>Horas trabalhadas/dia (H)</t>
        </is>
      </c>
      <c r="B4" s="5" t="n">
        <v>8</v>
      </c>
    </row>
    <row r="5">
      <c r="A5" s="4" t="inlineStr">
        <is>
          <t>Dias trabalhados/semana (D)</t>
        </is>
      </c>
      <c r="B5" s="5" t="n">
        <v>6</v>
      </c>
    </row>
    <row r="6">
      <c r="A6" s="4" t="inlineStr">
        <is>
          <t>Preço Diesel (R$/L)</t>
        </is>
      </c>
      <c r="B6" s="6" t="n">
        <v>6.99</v>
      </c>
    </row>
    <row r="8">
      <c r="A8" s="2" t="inlineStr">
        <is>
          <t>BDI POR CATEGORIA</t>
        </is>
      </c>
      <c r="B8" s="3" t="n"/>
    </row>
    <row r="9">
      <c r="A9" s="4" t="inlineStr">
        <is>
          <t>BDI Diesel / Combustível (= BDI Material)</t>
        </is>
      </c>
      <c r="B9" s="7" t="n">
        <v>0.04</v>
      </c>
    </row>
    <row r="10">
      <c r="A10" s="4" t="inlineStr">
        <is>
          <t>BDI Mão de Obra (TER)</t>
        </is>
      </c>
      <c r="B10" s="7" t="n">
        <v>0.290573</v>
      </c>
    </row>
    <row r="11">
      <c r="A11" s="4" t="inlineStr">
        <is>
          <t>BDI Equipamentos</t>
        </is>
      </c>
      <c r="B11" s="7" t="n">
        <v>0.290573</v>
      </c>
    </row>
    <row r="12">
      <c r="A12" s="4" t="inlineStr">
        <is>
          <t>BDI Indiretos</t>
        </is>
      </c>
      <c r="B12" s="7" t="n">
        <v>0.25205</v>
      </c>
    </row>
    <row r="14">
      <c r="A14" s="2" t="inlineStr">
        <is>
          <t>ITENS EAP — QUANTITATIVOS, PRODUTIVIDADES E COMPOSIÇÃO</t>
        </is>
      </c>
      <c r="B14" s="8" t="n"/>
      <c r="C14" s="8" t="n"/>
      <c r="D14" s="8" t="n"/>
      <c r="E14" s="8" t="n"/>
      <c r="F14" s="8" t="n"/>
      <c r="G14" s="8" t="n"/>
      <c r="H14" s="8" t="n"/>
      <c r="I14" s="3" t="n"/>
    </row>
    <row r="15">
      <c r="A15" s="2" t="inlineStr">
        <is>
          <t>Item ID</t>
        </is>
      </c>
      <c r="B15" s="2" t="inlineStr">
        <is>
          <t>Descrição</t>
        </is>
      </c>
      <c r="C15" s="2" t="inlineStr">
        <is>
          <t>Un.</t>
        </is>
      </c>
      <c r="D15" s="2" t="inlineStr">
        <is>
          <t>Quantitativo</t>
        </is>
      </c>
      <c r="E15" s="2" t="inlineStr">
        <is>
          <t>P (un/h)</t>
        </is>
      </c>
      <c r="F15" s="2" t="inlineStr">
        <is>
          <t>P.U.Diesel (R$/un)</t>
        </is>
      </c>
      <c r="G15" s="2" t="inlineStr">
        <is>
          <t>P.U.MO (R$/un)</t>
        </is>
      </c>
      <c r="H15" s="2" t="inlineStr">
        <is>
          <t>nEq médio</t>
        </is>
      </c>
      <c r="I15" s="2" t="inlineStr">
        <is>
          <t>Duração calc. (sem.)</t>
        </is>
      </c>
    </row>
    <row r="16">
      <c r="A16" s="4" t="inlineStr">
        <is>
          <t>eap-1_0</t>
        </is>
      </c>
      <c r="B16" s="4" t="inlineStr">
        <is>
          <t>Desmatamento e limpeza de area vegetada</t>
        </is>
      </c>
      <c r="C16" s="4" t="inlineStr">
        <is>
          <t>m2</t>
        </is>
      </c>
      <c r="D16" s="9" t="n">
        <v>2400000</v>
      </c>
      <c r="E16" s="6" t="n">
        <v>714.2857</v>
      </c>
      <c r="F16" s="10" t="n">
        <v>0.2942</v>
      </c>
      <c r="G16" s="10" t="n">
        <v>0.5794</v>
      </c>
      <c r="H16" s="5" t="n">
        <v>1</v>
      </c>
      <c r="I16" s="11">
        <f>IF(AND(E16&gt;0,H16&gt;0),CEILING(D16/(E16*PARÂMETROS!$B$4*PARÂMETROS!$B$5*AVERAGE(PARÂMETROS!$B$40:$B$91)*H16),1),"N/D")</f>
        <v/>
      </c>
    </row>
    <row r="17">
      <c r="A17" s="4" t="inlineStr">
        <is>
          <t>eap-1_1</t>
        </is>
      </c>
      <c r="B17" s="4" t="inlineStr">
        <is>
          <t>Esc/carg/transp 1aCat DMT&lt;=2000m</t>
        </is>
      </c>
      <c r="C17" s="4" t="inlineStr">
        <is>
          <t>m3</t>
        </is>
      </c>
      <c r="D17" s="9" t="n">
        <v>107463.1053</v>
      </c>
      <c r="E17" s="6" t="n">
        <v>223.8815</v>
      </c>
      <c r="F17" s="10" t="n">
        <v>4.7099</v>
      </c>
      <c r="G17" s="10" t="n">
        <v>2.9484</v>
      </c>
      <c r="H17" s="5" t="n">
        <v>1</v>
      </c>
      <c r="I17" s="11">
        <f>IF(AND(E17&gt;0,H17&gt;0),CEILING(D17/(E17*PARÂMETROS!$B$4*PARÂMETROS!$B$5*AVERAGE(PARÂMETROS!$B$40:$B$91)*H17),1),"N/D")</f>
        <v/>
      </c>
    </row>
    <row r="18">
      <c r="A18" s="4" t="inlineStr">
        <is>
          <t>eap-1_2</t>
        </is>
      </c>
      <c r="B18" s="4" t="inlineStr">
        <is>
          <t>Esc/carg/transp 1aCat DMT&lt;=3000m</t>
        </is>
      </c>
      <c r="C18" s="4" t="inlineStr">
        <is>
          <t>m3</t>
        </is>
      </c>
      <c r="D18" s="9" t="n">
        <v>336915.0947</v>
      </c>
      <c r="E18" s="6" t="n">
        <v>226.7957</v>
      </c>
      <c r="F18" s="10" t="n">
        <v>5.1763</v>
      </c>
      <c r="G18" s="10" t="n">
        <v>3.2848</v>
      </c>
      <c r="H18" s="5" t="n">
        <v>1</v>
      </c>
      <c r="I18" s="11">
        <f>IF(AND(E18&gt;0,H18&gt;0),CEILING(D18/(E18*PARÂMETROS!$B$4*PARÂMETROS!$B$5*AVERAGE(PARÂMETROS!$B$40:$B$91)*H18),1),"N/D")</f>
        <v/>
      </c>
    </row>
    <row r="19">
      <c r="A19" s="4" t="inlineStr">
        <is>
          <t>eap-1_3</t>
        </is>
      </c>
      <c r="B19" s="4" t="inlineStr">
        <is>
          <t>Esc/carg/transp 2aCat DMT&lt;=2000m</t>
        </is>
      </c>
      <c r="C19" s="4" t="inlineStr">
        <is>
          <t>m3</t>
        </is>
      </c>
      <c r="D19" s="9" t="n">
        <v>105311.3323</v>
      </c>
      <c r="E19" s="6" t="n">
        <v>156.7133</v>
      </c>
      <c r="F19" s="10" t="n">
        <v>6.2476</v>
      </c>
      <c r="G19" s="10" t="n">
        <v>3.8464</v>
      </c>
      <c r="H19" s="5" t="n">
        <v>1</v>
      </c>
      <c r="I19" s="11">
        <f>IF(AND(E19&gt;0,H19&gt;0),CEILING(D19/(E19*PARÂMETROS!$B$4*PARÂMETROS!$B$5*AVERAGE(PARÂMETROS!$B$40:$B$91)*H19),1),"N/D")</f>
        <v/>
      </c>
    </row>
    <row r="20">
      <c r="A20" s="4" t="inlineStr">
        <is>
          <t>eap-1_4</t>
        </is>
      </c>
      <c r="B20" s="4" t="inlineStr">
        <is>
          <t>Esc/carg/transp 2aCat DMT&lt;=3000m</t>
        </is>
      </c>
      <c r="C20" s="4" t="inlineStr">
        <is>
          <t>m3</t>
        </is>
      </c>
      <c r="D20" s="9" t="n">
        <v>585945.7677</v>
      </c>
      <c r="E20" s="6" t="n">
        <v>156.4746</v>
      </c>
      <c r="F20" s="10" t="n">
        <v>6.6284</v>
      </c>
      <c r="G20" s="10" t="n">
        <v>4.0173</v>
      </c>
      <c r="H20" s="5" t="n">
        <v>1</v>
      </c>
      <c r="I20" s="11">
        <f>IF(AND(E20&gt;0,H20&gt;0),CEILING(D20/(E20*PARÂMETROS!$B$4*PARÂMETROS!$B$5*AVERAGE(PARÂMETROS!$B$40:$B$91)*H20),1),"N/D")</f>
        <v/>
      </c>
    </row>
    <row r="21">
      <c r="A21" s="4" t="inlineStr">
        <is>
          <t>eap-1_5</t>
        </is>
      </c>
      <c r="B21" s="4" t="inlineStr">
        <is>
          <t>Esc/carg/transp 3aCat DMT&lt;=2000m</t>
        </is>
      </c>
      <c r="C21" s="4" t="inlineStr">
        <is>
          <t>m3</t>
        </is>
      </c>
      <c r="D21" s="9" t="n">
        <v>304634.4556</v>
      </c>
      <c r="E21" s="6" t="n">
        <v>144.2398</v>
      </c>
      <c r="F21" s="10" t="n">
        <v>9.685600000000001</v>
      </c>
      <c r="G21" s="10" t="n">
        <v>5.1859</v>
      </c>
      <c r="H21" s="5" t="n">
        <v>1</v>
      </c>
      <c r="I21" s="11">
        <f>IF(AND(E21&gt;0,H21&gt;0),CEILING(D21/(E21*PARÂMETROS!$B$4*PARÂMETROS!$B$5*AVERAGE(PARÂMETROS!$B$40:$B$91)*H21),1),"N/D")</f>
        <v/>
      </c>
    </row>
    <row r="22">
      <c r="A22" s="4" t="inlineStr">
        <is>
          <t>eap-1_6</t>
        </is>
      </c>
      <c r="B22" s="4" t="inlineStr">
        <is>
          <t>Esc/carg/transp 3aCat DMT&lt;=3000m</t>
        </is>
      </c>
      <c r="C22" s="4" t="inlineStr">
        <is>
          <t>m3</t>
        </is>
      </c>
      <c r="D22" s="9" t="n">
        <v>676519.0444</v>
      </c>
      <c r="E22" s="6" t="n">
        <v>143.9367</v>
      </c>
      <c r="F22" s="10" t="n">
        <v>11.7945</v>
      </c>
      <c r="G22" s="10" t="n">
        <v>6.4299</v>
      </c>
      <c r="H22" s="5" t="n">
        <v>1</v>
      </c>
      <c r="I22" s="11">
        <f>IF(AND(E22&gt;0,H22&gt;0),CEILING(D22/(E22*PARÂMETROS!$B$4*PARÂMETROS!$B$5*AVERAGE(PARÂMETROS!$B$40:$B$91)*H22),1),"N/D")</f>
        <v/>
      </c>
    </row>
    <row r="23">
      <c r="A23" s="4" t="inlineStr">
        <is>
          <t>eap-1_7</t>
        </is>
      </c>
      <c r="B23" s="4" t="inlineStr">
        <is>
          <t>Compactacao aterros 100% Proctor Normal</t>
        </is>
      </c>
      <c r="C23" s="4" t="inlineStr">
        <is>
          <t>m3</t>
        </is>
      </c>
      <c r="D23" s="9" t="n">
        <v>1135635.3</v>
      </c>
      <c r="E23" s="6" t="n">
        <v>189.0899</v>
      </c>
      <c r="F23" s="10" t="n">
        <v>6.1967</v>
      </c>
      <c r="G23" s="10" t="n">
        <v>2.935</v>
      </c>
      <c r="H23" s="5" t="n">
        <v>1</v>
      </c>
      <c r="I23" s="11">
        <f>IF(AND(E23&gt;0,H23&gt;0),CEILING(D23/(E23*PARÂMETROS!$B$4*PARÂMETROS!$B$5*AVERAGE(PARÂMETROS!$B$40:$B$91)*H23),1),"N/D")</f>
        <v/>
      </c>
    </row>
    <row r="24">
      <c r="A24" s="4" t="inlineStr">
        <is>
          <t>eap-1_8</t>
        </is>
      </c>
      <c r="B24" s="4" t="inlineStr">
        <is>
          <t>Compactacao aterros 100% Proctor Intermediario</t>
        </is>
      </c>
      <c r="C24" s="4" t="inlineStr">
        <is>
          <t>m3</t>
        </is>
      </c>
      <c r="D24" s="9" t="n">
        <v>29411</v>
      </c>
      <c r="E24" s="6" t="n">
        <v>102.1215</v>
      </c>
      <c r="F24" s="10" t="n">
        <v>8.1022</v>
      </c>
      <c r="G24" s="10" t="n">
        <v>3.8375</v>
      </c>
      <c r="H24" s="5" t="n">
        <v>1</v>
      </c>
      <c r="I24" s="11">
        <f>IF(AND(E24&gt;0,H24&gt;0),CEILING(D24/(E24*PARÂMETROS!$B$4*PARÂMETROS!$B$5*AVERAGE(PARÂMETROS!$B$40:$B$91)*H24),1),"N/D")</f>
        <v/>
      </c>
    </row>
    <row r="25">
      <c r="A25" s="4" t="inlineStr">
        <is>
          <t>eap-1_9</t>
        </is>
      </c>
      <c r="B25" s="4" t="inlineStr">
        <is>
          <t>Construcao corpo aterro material 3a categoria</t>
        </is>
      </c>
      <c r="C25" s="4" t="inlineStr">
        <is>
          <t>m3</t>
        </is>
      </c>
      <c r="D25" s="9" t="n">
        <v>981153.5</v>
      </c>
      <c r="E25" s="6" t="n">
        <v>235.0682</v>
      </c>
      <c r="F25" s="10" t="n">
        <v>4.0706</v>
      </c>
      <c r="G25" s="10" t="n">
        <v>1.8024</v>
      </c>
      <c r="H25" s="5" t="n">
        <v>1</v>
      </c>
      <c r="I25" s="11">
        <f>IF(AND(E25&gt;0,H25&gt;0),CEILING(D25/(E25*PARÂMETROS!$B$4*PARÂMETROS!$B$5*AVERAGE(PARÂMETROS!$B$40:$B$91)*H25),1),"N/D")</f>
        <v/>
      </c>
    </row>
    <row r="26">
      <c r="A26" s="4" t="inlineStr">
        <is>
          <t>eap-1_10</t>
        </is>
      </c>
      <c r="B26" s="4" t="inlineStr">
        <is>
          <t>Compactacao camada final aterro sobre rocha</t>
        </is>
      </c>
      <c r="C26" s="4" t="inlineStr">
        <is>
          <t>m3</t>
        </is>
      </c>
      <c r="D26" s="9" t="n">
        <v>24721.17</v>
      </c>
      <c r="E26" s="6" t="n">
        <v>85.8374</v>
      </c>
      <c r="F26" s="10" t="n">
        <v>5.6619</v>
      </c>
      <c r="G26" s="10" t="n">
        <v>8.7753</v>
      </c>
      <c r="H26" s="5" t="n">
        <v>1</v>
      </c>
      <c r="I26" s="11">
        <f>IF(AND(E26&gt;0,H26&gt;0),CEILING(D26/(E26*PARÂMETROS!$B$4*PARÂMETROS!$B$5*AVERAGE(PARÂMETROS!$B$40:$B$91)*H26),1),"N/D")</f>
        <v/>
      </c>
    </row>
    <row r="29">
      <c r="A29" s="2" t="inlineStr">
        <is>
          <t>INDIRETOS — CUSTO FIXO MENSAL E PERMANÊNCIA</t>
        </is>
      </c>
      <c r="B29" s="8" t="n"/>
      <c r="C29" s="3" t="n"/>
    </row>
    <row r="30">
      <c r="A30" s="2" t="inlineStr">
        <is>
          <t>Categoria</t>
        </is>
      </c>
      <c r="B30" s="2" t="inlineStr">
        <is>
          <t>Custo Fixo Mensal (R$)</t>
        </is>
      </c>
      <c r="C30" s="2" t="inlineStr">
        <is>
          <t>Permanência (meses)</t>
        </is>
      </c>
    </row>
    <row r="31">
      <c r="A31" s="12" t="inlineStr">
        <is>
          <t>ADM</t>
        </is>
      </c>
      <c r="B31" s="6" t="n">
        <v>1059228.57</v>
      </c>
      <c r="C31" s="13" t="n">
        <v>12.93</v>
      </c>
    </row>
    <row r="32">
      <c r="A32" s="12" t="inlineStr">
        <is>
          <t>TOP</t>
        </is>
      </c>
      <c r="B32" s="6" t="n">
        <v>66415.96000000001</v>
      </c>
      <c r="C32" s="13" t="n">
        <v>12.93</v>
      </c>
    </row>
    <row r="33">
      <c r="A33" s="12" t="inlineStr">
        <is>
          <t>LAB</t>
        </is>
      </c>
      <c r="B33" s="6" t="n">
        <v>10794.14</v>
      </c>
      <c r="C33" s="13" t="n">
        <v>12.93</v>
      </c>
    </row>
    <row r="34">
      <c r="A34" s="12" t="inlineStr">
        <is>
          <t>QSMS</t>
        </is>
      </c>
      <c r="B34" s="6" t="n">
        <v>58451.48</v>
      </c>
      <c r="C34" s="13" t="n">
        <v>12.93</v>
      </c>
    </row>
    <row r="35">
      <c r="A35" s="12" t="inlineStr">
        <is>
          <t>MOB</t>
        </is>
      </c>
      <c r="B35" s="6" t="n">
        <v>311892.34</v>
      </c>
      <c r="C35" s="13" t="n">
        <v>13</v>
      </c>
    </row>
    <row r="38">
      <c r="A38" s="2" t="inlineStr">
        <is>
          <t>PRATICABILIDADE SEMANAL (p_j) — VALORES REAIS</t>
        </is>
      </c>
      <c r="B38" s="3" t="n"/>
    </row>
    <row r="39">
      <c r="A39" s="2" t="inlineStr">
        <is>
          <t>Semana ISO</t>
        </is>
      </c>
      <c r="B39" s="2" t="inlineStr">
        <is>
          <t>Fator [0,1]</t>
        </is>
      </c>
    </row>
    <row r="40">
      <c r="A40" s="14" t="inlineStr">
        <is>
          <t>2026-W24</t>
        </is>
      </c>
      <c r="B40" s="7" t="n">
        <v>1</v>
      </c>
    </row>
    <row r="41">
      <c r="A41" s="14" t="inlineStr">
        <is>
          <t>2026-W25</t>
        </is>
      </c>
      <c r="B41" s="7" t="n">
        <v>1</v>
      </c>
    </row>
    <row r="42">
      <c r="A42" s="14" t="inlineStr">
        <is>
          <t>2026-W26</t>
        </is>
      </c>
      <c r="B42" s="7" t="n">
        <v>1</v>
      </c>
    </row>
    <row r="43">
      <c r="A43" s="14" t="inlineStr">
        <is>
          <t>2026-W27</t>
        </is>
      </c>
      <c r="B43" s="7" t="n">
        <v>1</v>
      </c>
    </row>
    <row r="44">
      <c r="A44" s="14" t="inlineStr">
        <is>
          <t>2026-W28</t>
        </is>
      </c>
      <c r="B44" s="7" t="n">
        <v>1</v>
      </c>
    </row>
    <row r="45">
      <c r="A45" s="14" t="inlineStr">
        <is>
          <t>2026-W29</t>
        </is>
      </c>
      <c r="B45" s="7" t="n">
        <v>1</v>
      </c>
    </row>
    <row r="46">
      <c r="A46" s="14" t="inlineStr">
        <is>
          <t>2026-W30</t>
        </is>
      </c>
      <c r="B46" s="7" t="n">
        <v>1</v>
      </c>
    </row>
    <row r="47">
      <c r="A47" s="14" t="inlineStr">
        <is>
          <t>2026-W31</t>
        </is>
      </c>
      <c r="B47" s="7" t="n">
        <v>1</v>
      </c>
    </row>
    <row r="48">
      <c r="A48" s="14" t="inlineStr">
        <is>
          <t>2026-W32</t>
        </is>
      </c>
      <c r="B48" s="7" t="n">
        <v>1</v>
      </c>
    </row>
    <row r="49">
      <c r="A49" s="14" t="inlineStr">
        <is>
          <t>2026-W33</t>
        </is>
      </c>
      <c r="B49" s="7" t="n">
        <v>1</v>
      </c>
    </row>
    <row r="50">
      <c r="A50" s="14" t="inlineStr">
        <is>
          <t>2026-W34</t>
        </is>
      </c>
      <c r="B50" s="7" t="n">
        <v>1</v>
      </c>
    </row>
    <row r="51">
      <c r="A51" s="14" t="inlineStr">
        <is>
          <t>2026-W35</t>
        </is>
      </c>
      <c r="B51" s="7" t="n">
        <v>1</v>
      </c>
    </row>
    <row r="52">
      <c r="A52" s="14" t="inlineStr">
        <is>
          <t>2026-W36</t>
        </is>
      </c>
      <c r="B52" s="7" t="n">
        <v>1</v>
      </c>
    </row>
    <row r="53">
      <c r="A53" s="14" t="inlineStr">
        <is>
          <t>2026-W37</t>
        </is>
      </c>
      <c r="B53" s="7" t="n">
        <v>1</v>
      </c>
    </row>
    <row r="54">
      <c r="A54" s="14" t="inlineStr">
        <is>
          <t>2026-W38</t>
        </is>
      </c>
      <c r="B54" s="7" t="n">
        <v>1</v>
      </c>
    </row>
    <row r="55">
      <c r="A55" s="14" t="inlineStr">
        <is>
          <t>2026-W39</t>
        </is>
      </c>
      <c r="B55" s="7" t="n">
        <v>1</v>
      </c>
    </row>
    <row r="56">
      <c r="A56" s="14" t="inlineStr">
        <is>
          <t>2026-W40</t>
        </is>
      </c>
      <c r="B56" s="7" t="n">
        <v>1</v>
      </c>
    </row>
    <row r="57">
      <c r="A57" s="14" t="inlineStr">
        <is>
          <t>2026-W41</t>
        </is>
      </c>
      <c r="B57" s="7" t="n">
        <v>1</v>
      </c>
    </row>
    <row r="58">
      <c r="A58" s="14" t="inlineStr">
        <is>
          <t>2026-W42</t>
        </is>
      </c>
      <c r="B58" s="7" t="n">
        <v>1</v>
      </c>
    </row>
    <row r="59">
      <c r="A59" s="14" t="inlineStr">
        <is>
          <t>2026-W43</t>
        </is>
      </c>
      <c r="B59" s="7" t="n">
        <v>1</v>
      </c>
    </row>
    <row r="60">
      <c r="A60" s="14" t="inlineStr">
        <is>
          <t>2026-W44</t>
        </is>
      </c>
      <c r="B60" s="7" t="n">
        <v>1</v>
      </c>
    </row>
    <row r="61">
      <c r="A61" s="14" t="inlineStr">
        <is>
          <t>2026-W45</t>
        </is>
      </c>
      <c r="B61" s="7" t="n">
        <v>1</v>
      </c>
    </row>
    <row r="62">
      <c r="A62" s="14" t="inlineStr">
        <is>
          <t>2026-W46</t>
        </is>
      </c>
      <c r="B62" s="7" t="n">
        <v>1</v>
      </c>
    </row>
    <row r="63">
      <c r="A63" s="14" t="inlineStr">
        <is>
          <t>2026-W47</t>
        </is>
      </c>
      <c r="B63" s="7" t="n">
        <v>1</v>
      </c>
    </row>
    <row r="64">
      <c r="A64" s="14" t="inlineStr">
        <is>
          <t>2026-W48</t>
        </is>
      </c>
      <c r="B64" s="7" t="n">
        <v>1</v>
      </c>
    </row>
    <row r="65">
      <c r="A65" s="14" t="inlineStr">
        <is>
          <t>2026-W49</t>
        </is>
      </c>
      <c r="B65" s="7" t="n">
        <v>1</v>
      </c>
    </row>
    <row r="66">
      <c r="A66" s="14" t="inlineStr">
        <is>
          <t>2026-W50</t>
        </is>
      </c>
      <c r="B66" s="7" t="n">
        <v>1</v>
      </c>
    </row>
    <row r="67">
      <c r="A67" s="14" t="inlineStr">
        <is>
          <t>2026-W51</t>
        </is>
      </c>
      <c r="B67" s="7" t="n">
        <v>1</v>
      </c>
    </row>
    <row r="68">
      <c r="A68" s="14" t="inlineStr">
        <is>
          <t>2026-W52</t>
        </is>
      </c>
      <c r="B68" s="7" t="n">
        <v>1</v>
      </c>
    </row>
    <row r="69">
      <c r="A69" s="14" t="inlineStr">
        <is>
          <t>2026-W53</t>
        </is>
      </c>
      <c r="B69" s="7" t="n">
        <v>1</v>
      </c>
    </row>
    <row r="70">
      <c r="A70" s="14" t="inlineStr">
        <is>
          <t>2027-W01</t>
        </is>
      </c>
      <c r="B70" s="7" t="n">
        <v>1</v>
      </c>
    </row>
    <row r="71">
      <c r="A71" s="14" t="inlineStr">
        <is>
          <t>2027-W02</t>
        </is>
      </c>
      <c r="B71" s="7" t="n">
        <v>1</v>
      </c>
    </row>
    <row r="72">
      <c r="A72" s="14" t="inlineStr">
        <is>
          <t>2027-W03</t>
        </is>
      </c>
      <c r="B72" s="7" t="n">
        <v>1</v>
      </c>
    </row>
    <row r="73">
      <c r="A73" s="14" t="inlineStr">
        <is>
          <t>2027-W04</t>
        </is>
      </c>
      <c r="B73" s="7" t="n">
        <v>1</v>
      </c>
    </row>
    <row r="74">
      <c r="A74" s="14" t="inlineStr">
        <is>
          <t>2027-W05</t>
        </is>
      </c>
      <c r="B74" s="7" t="n">
        <v>1</v>
      </c>
    </row>
    <row r="75">
      <c r="A75" s="14" t="inlineStr">
        <is>
          <t>2027-W06</t>
        </is>
      </c>
      <c r="B75" s="7" t="n">
        <v>1</v>
      </c>
    </row>
    <row r="76">
      <c r="A76" s="14" t="inlineStr">
        <is>
          <t>2027-W07</t>
        </is>
      </c>
      <c r="B76" s="7" t="n">
        <v>1</v>
      </c>
    </row>
    <row r="77">
      <c r="A77" s="14" t="inlineStr">
        <is>
          <t>2027-W08</t>
        </is>
      </c>
      <c r="B77" s="7" t="n">
        <v>1</v>
      </c>
    </row>
    <row r="78">
      <c r="A78" s="14" t="inlineStr">
        <is>
          <t>2027-W09</t>
        </is>
      </c>
      <c r="B78" s="7" t="n">
        <v>1</v>
      </c>
    </row>
    <row r="79">
      <c r="A79" s="14" t="inlineStr">
        <is>
          <t>2027-W10</t>
        </is>
      </c>
      <c r="B79" s="7" t="n">
        <v>1</v>
      </c>
    </row>
    <row r="80">
      <c r="A80" s="14" t="inlineStr">
        <is>
          <t>2027-W11</t>
        </is>
      </c>
      <c r="B80" s="7" t="n">
        <v>1</v>
      </c>
    </row>
    <row r="81">
      <c r="A81" s="14" t="inlineStr">
        <is>
          <t>2027-W12</t>
        </is>
      </c>
      <c r="B81" s="7" t="n">
        <v>1</v>
      </c>
    </row>
    <row r="82">
      <c r="A82" s="14" t="inlineStr">
        <is>
          <t>2027-W13</t>
        </is>
      </c>
      <c r="B82" s="7" t="n">
        <v>1</v>
      </c>
    </row>
    <row r="83">
      <c r="A83" s="14" t="inlineStr">
        <is>
          <t>2027-W14</t>
        </is>
      </c>
      <c r="B83" s="7" t="n">
        <v>1</v>
      </c>
    </row>
    <row r="84">
      <c r="A84" s="14" t="inlineStr">
        <is>
          <t>2027-W15</t>
        </is>
      </c>
      <c r="B84" s="7" t="n">
        <v>1</v>
      </c>
    </row>
    <row r="85">
      <c r="A85" s="14" t="inlineStr">
        <is>
          <t>2027-W16</t>
        </is>
      </c>
      <c r="B85" s="7" t="n">
        <v>1</v>
      </c>
    </row>
    <row r="86">
      <c r="A86" s="14" t="inlineStr">
        <is>
          <t>2027-W17</t>
        </is>
      </c>
      <c r="B86" s="7" t="n">
        <v>1</v>
      </c>
    </row>
    <row r="87">
      <c r="A87" s="14" t="inlineStr">
        <is>
          <t>2027-W18</t>
        </is>
      </c>
      <c r="B87" s="7" t="n">
        <v>1</v>
      </c>
    </row>
    <row r="88">
      <c r="A88" s="14" t="inlineStr">
        <is>
          <t>2027-W19</t>
        </is>
      </c>
      <c r="B88" s="7" t="n">
        <v>1</v>
      </c>
    </row>
    <row r="89">
      <c r="A89" s="14" t="inlineStr">
        <is>
          <t>2027-W20</t>
        </is>
      </c>
      <c r="B89" s="7" t="n">
        <v>1</v>
      </c>
    </row>
    <row r="90">
      <c r="A90" s="14" t="inlineStr">
        <is>
          <t>2027-W21</t>
        </is>
      </c>
      <c r="B90" s="7" t="n">
        <v>1</v>
      </c>
    </row>
    <row r="91">
      <c r="A91" s="14" t="inlineStr">
        <is>
          <t>2027-W22</t>
        </is>
      </c>
      <c r="B91" s="7" t="n">
        <v>1</v>
      </c>
    </row>
    <row r="93">
      <c r="A93" s="2" t="inlineStr">
        <is>
          <t>ALOCAÇÃO SEMANAL — NÚMERO DE EQUIPES E_{j,i}</t>
        </is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/>
      <c r="BD93" s="3" t="n"/>
    </row>
    <row r="94">
      <c r="A94" s="2" t="inlineStr">
        <is>
          <t>Item ID</t>
        </is>
      </c>
      <c r="B94" s="2" t="inlineStr">
        <is>
          <t>Desc.</t>
        </is>
      </c>
      <c r="C94" s="2" t="inlineStr">
        <is>
          <t>Qt. total</t>
        </is>
      </c>
      <c r="D94" s="15" t="inlineStr">
        <is>
          <t>2026-W2</t>
        </is>
      </c>
      <c r="E94" s="15" t="inlineStr">
        <is>
          <t>2026-W2</t>
        </is>
      </c>
      <c r="F94" s="15" t="inlineStr">
        <is>
          <t>2026-W2</t>
        </is>
      </c>
      <c r="G94" s="15" t="inlineStr">
        <is>
          <t>2026-W2</t>
        </is>
      </c>
      <c r="H94" s="15" t="inlineStr">
        <is>
          <t>2026-W2</t>
        </is>
      </c>
      <c r="I94" s="15" t="inlineStr">
        <is>
          <t>2026-W2</t>
        </is>
      </c>
      <c r="J94" s="15" t="inlineStr">
        <is>
          <t>2026-W3</t>
        </is>
      </c>
      <c r="K94" s="15" t="inlineStr">
        <is>
          <t>2026-W3</t>
        </is>
      </c>
      <c r="L94" s="15" t="inlineStr">
        <is>
          <t>2026-W3</t>
        </is>
      </c>
      <c r="M94" s="15" t="inlineStr">
        <is>
          <t>2026-W3</t>
        </is>
      </c>
      <c r="N94" s="15" t="inlineStr">
        <is>
          <t>2026-W3</t>
        </is>
      </c>
      <c r="O94" s="15" t="inlineStr">
        <is>
          <t>2026-W3</t>
        </is>
      </c>
      <c r="P94" s="15" t="inlineStr">
        <is>
          <t>2026-W3</t>
        </is>
      </c>
      <c r="Q94" s="15" t="inlineStr">
        <is>
          <t>2026-W3</t>
        </is>
      </c>
      <c r="R94" s="15" t="inlineStr">
        <is>
          <t>2026-W3</t>
        </is>
      </c>
      <c r="S94" s="15" t="inlineStr">
        <is>
          <t>2026-W3</t>
        </is>
      </c>
      <c r="T94" s="15" t="inlineStr">
        <is>
          <t>2026-W4</t>
        </is>
      </c>
      <c r="U94" s="15" t="inlineStr">
        <is>
          <t>2026-W4</t>
        </is>
      </c>
      <c r="V94" s="15" t="inlineStr">
        <is>
          <t>2026-W4</t>
        </is>
      </c>
      <c r="W94" s="15" t="inlineStr">
        <is>
          <t>2026-W4</t>
        </is>
      </c>
      <c r="X94" s="15" t="inlineStr">
        <is>
          <t>2026-W4</t>
        </is>
      </c>
      <c r="Y94" s="15" t="inlineStr">
        <is>
          <t>2026-W4</t>
        </is>
      </c>
      <c r="Z94" s="15" t="inlineStr">
        <is>
          <t>2026-W4</t>
        </is>
      </c>
      <c r="AA94" s="15" t="inlineStr">
        <is>
          <t>2026-W4</t>
        </is>
      </c>
      <c r="AB94" s="15" t="inlineStr">
        <is>
          <t>2026-W4</t>
        </is>
      </c>
      <c r="AC94" s="15" t="inlineStr">
        <is>
          <t>2026-W4</t>
        </is>
      </c>
      <c r="AD94" s="15" t="inlineStr">
        <is>
          <t>2026-W5</t>
        </is>
      </c>
      <c r="AE94" s="15" t="inlineStr">
        <is>
          <t>2026-W5</t>
        </is>
      </c>
      <c r="AF94" s="15" t="inlineStr">
        <is>
          <t>2026-W5</t>
        </is>
      </c>
      <c r="AG94" s="15" t="inlineStr">
        <is>
          <t>2026-W5</t>
        </is>
      </c>
      <c r="AH94" s="15" t="inlineStr">
        <is>
          <t>2027-W0</t>
        </is>
      </c>
      <c r="AI94" s="15" t="inlineStr">
        <is>
          <t>2027-W0</t>
        </is>
      </c>
      <c r="AJ94" s="15" t="inlineStr">
        <is>
          <t>2027-W0</t>
        </is>
      </c>
      <c r="AK94" s="15" t="inlineStr">
        <is>
          <t>2027-W0</t>
        </is>
      </c>
      <c r="AL94" s="15" t="inlineStr">
        <is>
          <t>2027-W0</t>
        </is>
      </c>
      <c r="AM94" s="15" t="inlineStr">
        <is>
          <t>2027-W0</t>
        </is>
      </c>
      <c r="AN94" s="15" t="inlineStr">
        <is>
          <t>2027-W0</t>
        </is>
      </c>
      <c r="AO94" s="15" t="inlineStr">
        <is>
          <t>2027-W0</t>
        </is>
      </c>
      <c r="AP94" s="15" t="inlineStr">
        <is>
          <t>2027-W0</t>
        </is>
      </c>
      <c r="AQ94" s="15" t="inlineStr">
        <is>
          <t>2027-W1</t>
        </is>
      </c>
      <c r="AR94" s="15" t="inlineStr">
        <is>
          <t>2027-W1</t>
        </is>
      </c>
      <c r="AS94" s="15" t="inlineStr">
        <is>
          <t>2027-W1</t>
        </is>
      </c>
      <c r="AT94" s="15" t="inlineStr">
        <is>
          <t>2027-W1</t>
        </is>
      </c>
      <c r="AU94" s="15" t="inlineStr">
        <is>
          <t>2027-W1</t>
        </is>
      </c>
      <c r="AV94" s="15" t="inlineStr">
        <is>
          <t>2027-W1</t>
        </is>
      </c>
      <c r="AW94" s="15" t="inlineStr">
        <is>
          <t>2027-W1</t>
        </is>
      </c>
      <c r="AX94" s="15" t="inlineStr">
        <is>
          <t>2027-W1</t>
        </is>
      </c>
      <c r="AY94" s="15" t="inlineStr">
        <is>
          <t>2027-W1</t>
        </is>
      </c>
      <c r="AZ94" s="15" t="inlineStr">
        <is>
          <t>2027-W1</t>
        </is>
      </c>
      <c r="BA94" s="15" t="inlineStr">
        <is>
          <t>2027-W2</t>
        </is>
      </c>
      <c r="BB94" s="15" t="inlineStr">
        <is>
          <t>2027-W2</t>
        </is>
      </c>
      <c r="BC94" s="15" t="inlineStr">
        <is>
          <t>2027-W2</t>
        </is>
      </c>
    </row>
    <row r="95">
      <c r="A95" s="14" t="inlineStr">
        <is>
          <t>eap-1_0</t>
        </is>
      </c>
      <c r="B95" s="14" t="inlineStr">
        <is>
          <t>Desmatamento e limpeza de</t>
        </is>
      </c>
      <c r="C95" s="16">
        <f>PARÂMETROS!D16</f>
        <v/>
      </c>
      <c r="D95" s="17" t="n">
        <v>5</v>
      </c>
      <c r="E95" s="17" t="n">
        <v>5</v>
      </c>
      <c r="F95" s="17" t="n">
        <v>5</v>
      </c>
      <c r="G95" s="17" t="n">
        <v>5</v>
      </c>
      <c r="H95" s="17" t="n">
        <v>5</v>
      </c>
      <c r="I95" s="17" t="n">
        <v>5</v>
      </c>
      <c r="J95" s="17" t="n">
        <v>5</v>
      </c>
      <c r="K95" s="17" t="n">
        <v>5</v>
      </c>
      <c r="L95" s="17" t="n">
        <v>5</v>
      </c>
      <c r="M95" s="17" t="n">
        <v>5</v>
      </c>
      <c r="N95" s="17" t="n">
        <v>5</v>
      </c>
      <c r="O95" s="17" t="n">
        <v>5</v>
      </c>
      <c r="P95" s="17" t="n">
        <v>5</v>
      </c>
      <c r="Q95" s="17" t="n">
        <v>5</v>
      </c>
      <c r="R95" s="17" t="n">
        <v>5</v>
      </c>
      <c r="S95" s="17" t="n">
        <v>5</v>
      </c>
      <c r="T95" s="17" t="n">
        <v>5</v>
      </c>
      <c r="U95" s="17" t="n">
        <v>5</v>
      </c>
      <c r="V95" s="17" t="n">
        <v>5</v>
      </c>
      <c r="W95" s="17" t="n">
        <v>5</v>
      </c>
      <c r="X95" s="17" t="n">
        <v>5</v>
      </c>
      <c r="Y95" s="17" t="n">
        <v>5</v>
      </c>
      <c r="Z95" s="17" t="n">
        <v>5</v>
      </c>
      <c r="AA95" s="17" t="n">
        <v>5</v>
      </c>
      <c r="AB95" s="17" t="n">
        <v>5</v>
      </c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8" t="n"/>
      <c r="BA95" s="18" t="n"/>
      <c r="BB95" s="18" t="n"/>
      <c r="BC95" s="18" t="n"/>
    </row>
    <row r="96">
      <c r="A96" s="14" t="inlineStr">
        <is>
          <t>eap-1_1</t>
        </is>
      </c>
      <c r="B96" s="14" t="inlineStr">
        <is>
          <t>Esc/carg/transp 1aCat DMT</t>
        </is>
      </c>
      <c r="C96" s="16">
        <f>PARÂMETROS!D17</f>
        <v/>
      </c>
      <c r="D96" s="17" t="n">
        <v>1</v>
      </c>
      <c r="E96" s="17" t="n">
        <v>1</v>
      </c>
      <c r="F96" s="17" t="n">
        <v>1</v>
      </c>
      <c r="G96" s="17" t="n">
        <v>1</v>
      </c>
      <c r="H96" s="17" t="n">
        <v>1</v>
      </c>
      <c r="I96" s="17" t="n">
        <v>1</v>
      </c>
      <c r="J96" s="17" t="n">
        <v>1</v>
      </c>
      <c r="K96" s="17" t="n">
        <v>1</v>
      </c>
      <c r="L96" s="17" t="n">
        <v>1</v>
      </c>
      <c r="M96" s="17" t="n">
        <v>1</v>
      </c>
      <c r="N96" s="17" t="n">
        <v>1</v>
      </c>
      <c r="O96" s="17" t="n">
        <v>1</v>
      </c>
      <c r="P96" s="17" t="n">
        <v>1</v>
      </c>
      <c r="Q96" s="17" t="n">
        <v>1</v>
      </c>
      <c r="R96" s="17" t="n">
        <v>1</v>
      </c>
      <c r="S96" s="17" t="n">
        <v>1</v>
      </c>
      <c r="T96" s="17" t="n">
        <v>1</v>
      </c>
      <c r="U96" s="17" t="n">
        <v>1</v>
      </c>
      <c r="V96" s="17" t="n">
        <v>1</v>
      </c>
      <c r="W96" s="17" t="n">
        <v>1</v>
      </c>
      <c r="X96" s="17" t="n">
        <v>1</v>
      </c>
      <c r="Y96" s="17" t="n">
        <v>1</v>
      </c>
      <c r="Z96" s="17" t="n">
        <v>1</v>
      </c>
      <c r="AA96" s="17" t="n">
        <v>1</v>
      </c>
      <c r="AB96" s="17" t="n">
        <v>1</v>
      </c>
      <c r="AC96" s="17" t="n">
        <v>1</v>
      </c>
      <c r="AD96" s="17" t="n">
        <v>1</v>
      </c>
      <c r="AE96" s="17" t="n">
        <v>1</v>
      </c>
      <c r="AF96" s="17" t="n">
        <v>1</v>
      </c>
      <c r="AG96" s="17" t="n">
        <v>1</v>
      </c>
      <c r="AH96" s="17" t="n">
        <v>1</v>
      </c>
      <c r="AI96" s="17" t="n">
        <v>1</v>
      </c>
      <c r="AJ96" s="17" t="n">
        <v>1</v>
      </c>
      <c r="AK96" s="17" t="n">
        <v>1</v>
      </c>
      <c r="AL96" s="17" t="n">
        <v>1</v>
      </c>
      <c r="AM96" s="17" t="n">
        <v>1</v>
      </c>
      <c r="AN96" s="17" t="n">
        <v>1</v>
      </c>
      <c r="AO96" s="17" t="n">
        <v>1</v>
      </c>
      <c r="AP96" s="17" t="n">
        <v>1</v>
      </c>
      <c r="AQ96" s="17" t="n">
        <v>1</v>
      </c>
      <c r="AR96" s="17" t="n">
        <v>1</v>
      </c>
      <c r="AS96" s="17" t="n">
        <v>1</v>
      </c>
      <c r="AT96" s="17" t="n">
        <v>1</v>
      </c>
      <c r="AU96" s="17" t="n">
        <v>1</v>
      </c>
      <c r="AV96" s="17" t="n">
        <v>1</v>
      </c>
      <c r="AW96" s="18" t="n"/>
      <c r="AX96" s="18" t="n"/>
      <c r="AY96" s="18" t="n"/>
      <c r="AZ96" s="18" t="n"/>
      <c r="BA96" s="18" t="n"/>
      <c r="BB96" s="18" t="n"/>
      <c r="BC96" s="18" t="n"/>
    </row>
    <row r="97">
      <c r="A97" s="14" t="inlineStr">
        <is>
          <t>eap-1_2</t>
        </is>
      </c>
      <c r="B97" s="14" t="inlineStr">
        <is>
          <t>Esc/carg/transp 1aCat DMT</t>
        </is>
      </c>
      <c r="C97" s="16">
        <f>PARÂMETROS!D18</f>
        <v/>
      </c>
      <c r="D97" s="17" t="n">
        <v>1</v>
      </c>
      <c r="E97" s="17" t="n">
        <v>1</v>
      </c>
      <c r="F97" s="17" t="n">
        <v>1</v>
      </c>
      <c r="G97" s="17" t="n">
        <v>1</v>
      </c>
      <c r="H97" s="17" t="n">
        <v>1</v>
      </c>
      <c r="I97" s="17" t="n">
        <v>1</v>
      </c>
      <c r="J97" s="17" t="n">
        <v>1</v>
      </c>
      <c r="K97" s="17" t="n">
        <v>1</v>
      </c>
      <c r="L97" s="17" t="n">
        <v>1</v>
      </c>
      <c r="M97" s="17" t="n">
        <v>1</v>
      </c>
      <c r="N97" s="17" t="n">
        <v>1</v>
      </c>
      <c r="O97" s="17" t="n">
        <v>1</v>
      </c>
      <c r="P97" s="17" t="n">
        <v>1</v>
      </c>
      <c r="Q97" s="17" t="n">
        <v>1</v>
      </c>
      <c r="R97" s="17" t="n">
        <v>1</v>
      </c>
      <c r="S97" s="17" t="n">
        <v>1</v>
      </c>
      <c r="T97" s="17" t="n">
        <v>1</v>
      </c>
      <c r="U97" s="17" t="n">
        <v>1</v>
      </c>
      <c r="V97" s="17" t="n">
        <v>1</v>
      </c>
      <c r="W97" s="17" t="n">
        <v>1</v>
      </c>
      <c r="X97" s="17" t="n">
        <v>1</v>
      </c>
      <c r="Y97" s="17" t="n">
        <v>1</v>
      </c>
      <c r="Z97" s="17" t="n">
        <v>1</v>
      </c>
      <c r="AA97" s="17" t="n">
        <v>1</v>
      </c>
      <c r="AB97" s="17" t="n">
        <v>1</v>
      </c>
      <c r="AC97" s="17" t="n">
        <v>1</v>
      </c>
      <c r="AD97" s="17" t="n">
        <v>1</v>
      </c>
      <c r="AE97" s="17" t="n">
        <v>1</v>
      </c>
      <c r="AF97" s="17" t="n">
        <v>1</v>
      </c>
      <c r="AG97" s="17" t="n">
        <v>1</v>
      </c>
      <c r="AH97" s="17" t="n">
        <v>1</v>
      </c>
      <c r="AI97" s="17" t="n">
        <v>1</v>
      </c>
      <c r="AJ97" s="17" t="n">
        <v>1</v>
      </c>
      <c r="AK97" s="17" t="n">
        <v>1</v>
      </c>
      <c r="AL97" s="17" t="n">
        <v>1</v>
      </c>
      <c r="AM97" s="17" t="n">
        <v>1</v>
      </c>
      <c r="AN97" s="17" t="n">
        <v>1</v>
      </c>
      <c r="AO97" s="17" t="n">
        <v>1</v>
      </c>
      <c r="AP97" s="17" t="n">
        <v>1</v>
      </c>
      <c r="AQ97" s="17" t="n">
        <v>1</v>
      </c>
      <c r="AR97" s="17" t="n">
        <v>1</v>
      </c>
      <c r="AS97" s="17" t="n">
        <v>1</v>
      </c>
      <c r="AT97" s="17" t="n">
        <v>1</v>
      </c>
      <c r="AU97" s="17" t="n">
        <v>1</v>
      </c>
      <c r="AV97" s="17" t="n">
        <v>1</v>
      </c>
      <c r="AW97" s="18" t="n"/>
      <c r="AX97" s="18" t="n"/>
      <c r="AY97" s="18" t="n"/>
      <c r="AZ97" s="18" t="n"/>
      <c r="BA97" s="18" t="n"/>
      <c r="BB97" s="18" t="n"/>
      <c r="BC97" s="18" t="n"/>
    </row>
    <row r="98">
      <c r="A98" s="14" t="inlineStr">
        <is>
          <t>eap-1_3</t>
        </is>
      </c>
      <c r="B98" s="14" t="inlineStr">
        <is>
          <t>Esc/carg/transp 2aCat DMT</t>
        </is>
      </c>
      <c r="C98" s="16">
        <f>PARÂMETROS!D19</f>
        <v/>
      </c>
      <c r="D98" s="17" t="n">
        <v>2</v>
      </c>
      <c r="E98" s="17" t="n">
        <v>2</v>
      </c>
      <c r="F98" s="17" t="n">
        <v>2</v>
      </c>
      <c r="G98" s="17" t="n">
        <v>2</v>
      </c>
      <c r="H98" s="17" t="n">
        <v>2</v>
      </c>
      <c r="I98" s="17" t="n">
        <v>2</v>
      </c>
      <c r="J98" s="17" t="n">
        <v>2</v>
      </c>
      <c r="K98" s="17" t="n">
        <v>2</v>
      </c>
      <c r="L98" s="17" t="n">
        <v>2</v>
      </c>
      <c r="M98" s="17" t="n">
        <v>2</v>
      </c>
      <c r="N98" s="17" t="n">
        <v>2</v>
      </c>
      <c r="O98" s="17" t="n">
        <v>2</v>
      </c>
      <c r="P98" s="17" t="n">
        <v>2</v>
      </c>
      <c r="Q98" s="17" t="n">
        <v>2</v>
      </c>
      <c r="R98" s="17" t="n">
        <v>2</v>
      </c>
      <c r="S98" s="17" t="n">
        <v>2</v>
      </c>
      <c r="T98" s="17" t="n">
        <v>2</v>
      </c>
      <c r="U98" s="17" t="n">
        <v>2</v>
      </c>
      <c r="V98" s="17" t="n">
        <v>2</v>
      </c>
      <c r="W98" s="17" t="n">
        <v>2</v>
      </c>
      <c r="X98" s="17" t="n">
        <v>2</v>
      </c>
      <c r="Y98" s="17" t="n">
        <v>2</v>
      </c>
      <c r="Z98" s="17" t="n">
        <v>2</v>
      </c>
      <c r="AA98" s="17" t="n">
        <v>2</v>
      </c>
      <c r="AB98" s="17" t="n">
        <v>2</v>
      </c>
      <c r="AC98" s="17" t="n">
        <v>2</v>
      </c>
      <c r="AD98" s="17" t="n">
        <v>2</v>
      </c>
      <c r="AE98" s="17" t="n">
        <v>2</v>
      </c>
      <c r="AF98" s="17" t="n">
        <v>2</v>
      </c>
      <c r="AG98" s="17" t="n">
        <v>2</v>
      </c>
      <c r="AH98" s="17" t="n">
        <v>2</v>
      </c>
      <c r="AI98" s="17" t="n">
        <v>2</v>
      </c>
      <c r="AJ98" s="17" t="n">
        <v>2</v>
      </c>
      <c r="AK98" s="17" t="n">
        <v>2</v>
      </c>
      <c r="AL98" s="17" t="n">
        <v>2</v>
      </c>
      <c r="AM98" s="17" t="n">
        <v>2</v>
      </c>
      <c r="AN98" s="17" t="n">
        <v>2</v>
      </c>
      <c r="AO98" s="17" t="n">
        <v>2</v>
      </c>
      <c r="AP98" s="17" t="n">
        <v>2</v>
      </c>
      <c r="AQ98" s="17" t="n">
        <v>2</v>
      </c>
      <c r="AR98" s="17" t="n">
        <v>2</v>
      </c>
      <c r="AS98" s="17" t="n">
        <v>2</v>
      </c>
      <c r="AT98" s="17" t="n">
        <v>2</v>
      </c>
      <c r="AU98" s="17" t="n">
        <v>2</v>
      </c>
      <c r="AV98" s="17" t="n">
        <v>2</v>
      </c>
      <c r="AW98" s="17" t="n">
        <v>2</v>
      </c>
      <c r="AX98" s="17" t="n">
        <v>2</v>
      </c>
      <c r="AY98" s="17" t="n">
        <v>2</v>
      </c>
      <c r="AZ98" s="17" t="n">
        <v>2</v>
      </c>
      <c r="BA98" s="17" t="n">
        <v>2</v>
      </c>
      <c r="BB98" s="17" t="n">
        <v>2</v>
      </c>
      <c r="BC98" s="18" t="n"/>
    </row>
    <row r="99">
      <c r="A99" s="14" t="inlineStr">
        <is>
          <t>eap-1_4</t>
        </is>
      </c>
      <c r="B99" s="14" t="inlineStr">
        <is>
          <t>Esc/carg/transp 2aCat DMT</t>
        </is>
      </c>
      <c r="C99" s="16">
        <f>PARÂMETROS!D20</f>
        <v/>
      </c>
      <c r="D99" s="17" t="n">
        <v>2</v>
      </c>
      <c r="E99" s="17" t="n">
        <v>2</v>
      </c>
      <c r="F99" s="17" t="n">
        <v>2</v>
      </c>
      <c r="G99" s="17" t="n">
        <v>2</v>
      </c>
      <c r="H99" s="17" t="n">
        <v>2</v>
      </c>
      <c r="I99" s="17" t="n">
        <v>2</v>
      </c>
      <c r="J99" s="17" t="n">
        <v>2</v>
      </c>
      <c r="K99" s="17" t="n">
        <v>2</v>
      </c>
      <c r="L99" s="17" t="n">
        <v>2</v>
      </c>
      <c r="M99" s="17" t="n">
        <v>2</v>
      </c>
      <c r="N99" s="17" t="n">
        <v>2</v>
      </c>
      <c r="O99" s="17" t="n">
        <v>2</v>
      </c>
      <c r="P99" s="17" t="n">
        <v>2</v>
      </c>
      <c r="Q99" s="17" t="n">
        <v>2</v>
      </c>
      <c r="R99" s="17" t="n">
        <v>2</v>
      </c>
      <c r="S99" s="17" t="n">
        <v>2</v>
      </c>
      <c r="T99" s="17" t="n">
        <v>2</v>
      </c>
      <c r="U99" s="17" t="n">
        <v>2</v>
      </c>
      <c r="V99" s="17" t="n">
        <v>2</v>
      </c>
      <c r="W99" s="17" t="n">
        <v>2</v>
      </c>
      <c r="X99" s="17" t="n">
        <v>2</v>
      </c>
      <c r="Y99" s="17" t="n">
        <v>2</v>
      </c>
      <c r="Z99" s="17" t="n">
        <v>2</v>
      </c>
      <c r="AA99" s="17" t="n">
        <v>2</v>
      </c>
      <c r="AB99" s="17" t="n">
        <v>2</v>
      </c>
      <c r="AC99" s="17" t="n">
        <v>2</v>
      </c>
      <c r="AD99" s="17" t="n">
        <v>2</v>
      </c>
      <c r="AE99" s="17" t="n">
        <v>2</v>
      </c>
      <c r="AF99" s="17" t="n">
        <v>2</v>
      </c>
      <c r="AG99" s="17" t="n">
        <v>2</v>
      </c>
      <c r="AH99" s="17" t="n">
        <v>2</v>
      </c>
      <c r="AI99" s="17" t="n">
        <v>2</v>
      </c>
      <c r="AJ99" s="17" t="n">
        <v>2</v>
      </c>
      <c r="AK99" s="17" t="n">
        <v>2</v>
      </c>
      <c r="AL99" s="17" t="n">
        <v>2</v>
      </c>
      <c r="AM99" s="17" t="n">
        <v>2</v>
      </c>
      <c r="AN99" s="17" t="n">
        <v>2</v>
      </c>
      <c r="AO99" s="17" t="n">
        <v>2</v>
      </c>
      <c r="AP99" s="17" t="n">
        <v>2</v>
      </c>
      <c r="AQ99" s="17" t="n">
        <v>2</v>
      </c>
      <c r="AR99" s="17" t="n">
        <v>2</v>
      </c>
      <c r="AS99" s="17" t="n">
        <v>2</v>
      </c>
      <c r="AT99" s="17" t="n">
        <v>2</v>
      </c>
      <c r="AU99" s="17" t="n">
        <v>2</v>
      </c>
      <c r="AV99" s="17" t="n">
        <v>2</v>
      </c>
      <c r="AW99" s="17" t="n">
        <v>2</v>
      </c>
      <c r="AX99" s="17" t="n">
        <v>2</v>
      </c>
      <c r="AY99" s="17" t="n">
        <v>2</v>
      </c>
      <c r="AZ99" s="17" t="n">
        <v>2</v>
      </c>
      <c r="BA99" s="17" t="n">
        <v>2</v>
      </c>
      <c r="BB99" s="17" t="n">
        <v>2</v>
      </c>
      <c r="BC99" s="18" t="n"/>
    </row>
    <row r="100">
      <c r="A100" s="14" t="inlineStr">
        <is>
          <t>eap-1_5</t>
        </is>
      </c>
      <c r="B100" s="14" t="inlineStr">
        <is>
          <t>Esc/carg/transp 3aCat DMT</t>
        </is>
      </c>
      <c r="C100" s="16">
        <f>PARÂMETROS!D21</f>
        <v/>
      </c>
      <c r="D100" s="17" t="n">
        <v>4</v>
      </c>
      <c r="E100" s="17" t="n">
        <v>4</v>
      </c>
      <c r="F100" s="17" t="n">
        <v>4</v>
      </c>
      <c r="G100" s="17" t="n">
        <v>4</v>
      </c>
      <c r="H100" s="17" t="n">
        <v>4</v>
      </c>
      <c r="I100" s="17" t="n">
        <v>4</v>
      </c>
      <c r="J100" s="17" t="n">
        <v>4</v>
      </c>
      <c r="K100" s="17" t="n">
        <v>4</v>
      </c>
      <c r="L100" s="17" t="n">
        <v>4</v>
      </c>
      <c r="M100" s="17" t="n">
        <v>4</v>
      </c>
      <c r="N100" s="17" t="n">
        <v>4</v>
      </c>
      <c r="O100" s="17" t="n">
        <v>4</v>
      </c>
      <c r="P100" s="17" t="n">
        <v>4</v>
      </c>
      <c r="Q100" s="17" t="n">
        <v>4</v>
      </c>
      <c r="R100" s="17" t="n">
        <v>4</v>
      </c>
      <c r="S100" s="17" t="n">
        <v>4</v>
      </c>
      <c r="T100" s="17" t="n">
        <v>4</v>
      </c>
      <c r="U100" s="17" t="n">
        <v>4</v>
      </c>
      <c r="V100" s="17" t="n">
        <v>4</v>
      </c>
      <c r="W100" s="17" t="n">
        <v>4</v>
      </c>
      <c r="X100" s="17" t="n">
        <v>4</v>
      </c>
      <c r="Y100" s="17" t="n">
        <v>4</v>
      </c>
      <c r="Z100" s="17" t="n">
        <v>4</v>
      </c>
      <c r="AA100" s="17" t="n">
        <v>4</v>
      </c>
      <c r="AB100" s="17" t="n">
        <v>4</v>
      </c>
      <c r="AC100" s="17" t="n">
        <v>4</v>
      </c>
      <c r="AD100" s="17" t="n">
        <v>4</v>
      </c>
      <c r="AE100" s="17" t="n">
        <v>4</v>
      </c>
      <c r="AF100" s="17" t="n">
        <v>4</v>
      </c>
      <c r="AG100" s="17" t="n">
        <v>4</v>
      </c>
      <c r="AH100" s="17" t="n">
        <v>4</v>
      </c>
      <c r="AI100" s="17" t="n">
        <v>4</v>
      </c>
      <c r="AJ100" s="17" t="n">
        <v>4</v>
      </c>
      <c r="AK100" s="17" t="n">
        <v>4</v>
      </c>
      <c r="AL100" s="17" t="n">
        <v>4</v>
      </c>
      <c r="AM100" s="17" t="n">
        <v>4</v>
      </c>
      <c r="AN100" s="17" t="n">
        <v>4</v>
      </c>
      <c r="AO100" s="17" t="n">
        <v>4</v>
      </c>
      <c r="AP100" s="17" t="n">
        <v>4</v>
      </c>
      <c r="AQ100" s="17" t="n">
        <v>4</v>
      </c>
      <c r="AR100" s="17" t="n">
        <v>4</v>
      </c>
      <c r="AS100" s="17" t="n">
        <v>4</v>
      </c>
      <c r="AT100" s="17" t="n">
        <v>4</v>
      </c>
      <c r="AU100" s="17" t="n">
        <v>4</v>
      </c>
      <c r="AV100" s="17" t="n">
        <v>4</v>
      </c>
      <c r="AW100" s="17" t="n">
        <v>4</v>
      </c>
      <c r="AX100" s="17" t="n">
        <v>4</v>
      </c>
      <c r="AY100" s="17" t="n">
        <v>4</v>
      </c>
      <c r="AZ100" s="17" t="n">
        <v>4</v>
      </c>
      <c r="BA100" s="18" t="n"/>
      <c r="BB100" s="18" t="n"/>
      <c r="BC100" s="18" t="n"/>
    </row>
    <row r="101">
      <c r="A101" s="14" t="inlineStr">
        <is>
          <t>eap-1_6</t>
        </is>
      </c>
      <c r="B101" s="14" t="inlineStr">
        <is>
          <t>Esc/carg/transp 3aCat DMT</t>
        </is>
      </c>
      <c r="C101" s="16">
        <f>PARÂMETROS!D22</f>
        <v/>
      </c>
      <c r="D101" s="17" t="n">
        <v>4</v>
      </c>
      <c r="E101" s="17" t="n">
        <v>4</v>
      </c>
      <c r="F101" s="17" t="n">
        <v>4</v>
      </c>
      <c r="G101" s="17" t="n">
        <v>4</v>
      </c>
      <c r="H101" s="17" t="n">
        <v>4</v>
      </c>
      <c r="I101" s="17" t="n">
        <v>4</v>
      </c>
      <c r="J101" s="17" t="n">
        <v>4</v>
      </c>
      <c r="K101" s="17" t="n">
        <v>4</v>
      </c>
      <c r="L101" s="17" t="n">
        <v>4</v>
      </c>
      <c r="M101" s="17" t="n">
        <v>4</v>
      </c>
      <c r="N101" s="17" t="n">
        <v>4</v>
      </c>
      <c r="O101" s="17" t="n">
        <v>4</v>
      </c>
      <c r="P101" s="17" t="n">
        <v>4</v>
      </c>
      <c r="Q101" s="17" t="n">
        <v>4</v>
      </c>
      <c r="R101" s="17" t="n">
        <v>4</v>
      </c>
      <c r="S101" s="17" t="n">
        <v>4</v>
      </c>
      <c r="T101" s="17" t="n">
        <v>4</v>
      </c>
      <c r="U101" s="17" t="n">
        <v>4</v>
      </c>
      <c r="V101" s="17" t="n">
        <v>4</v>
      </c>
      <c r="W101" s="17" t="n">
        <v>4</v>
      </c>
      <c r="X101" s="17" t="n">
        <v>4</v>
      </c>
      <c r="Y101" s="17" t="n">
        <v>4</v>
      </c>
      <c r="Z101" s="17" t="n">
        <v>4</v>
      </c>
      <c r="AA101" s="17" t="n">
        <v>4</v>
      </c>
      <c r="AB101" s="17" t="n">
        <v>4</v>
      </c>
      <c r="AC101" s="17" t="n">
        <v>4</v>
      </c>
      <c r="AD101" s="17" t="n">
        <v>4</v>
      </c>
      <c r="AE101" s="17" t="n">
        <v>4</v>
      </c>
      <c r="AF101" s="17" t="n">
        <v>4</v>
      </c>
      <c r="AG101" s="17" t="n">
        <v>4</v>
      </c>
      <c r="AH101" s="17" t="n">
        <v>4</v>
      </c>
      <c r="AI101" s="17" t="n">
        <v>4</v>
      </c>
      <c r="AJ101" s="17" t="n">
        <v>4</v>
      </c>
      <c r="AK101" s="17" t="n">
        <v>4</v>
      </c>
      <c r="AL101" s="17" t="n">
        <v>4</v>
      </c>
      <c r="AM101" s="17" t="n">
        <v>4</v>
      </c>
      <c r="AN101" s="17" t="n">
        <v>4</v>
      </c>
      <c r="AO101" s="17" t="n">
        <v>4</v>
      </c>
      <c r="AP101" s="17" t="n">
        <v>4</v>
      </c>
      <c r="AQ101" s="17" t="n">
        <v>4</v>
      </c>
      <c r="AR101" s="17" t="n">
        <v>4</v>
      </c>
      <c r="AS101" s="17" t="n">
        <v>4</v>
      </c>
      <c r="AT101" s="17" t="n">
        <v>4</v>
      </c>
      <c r="AU101" s="17" t="n">
        <v>4</v>
      </c>
      <c r="AV101" s="17" t="n">
        <v>4</v>
      </c>
      <c r="AW101" s="17" t="n">
        <v>4</v>
      </c>
      <c r="AX101" s="17" t="n">
        <v>4</v>
      </c>
      <c r="AY101" s="17" t="n">
        <v>4</v>
      </c>
      <c r="AZ101" s="17" t="n">
        <v>4</v>
      </c>
      <c r="BA101" s="18" t="n"/>
      <c r="BB101" s="18" t="n"/>
      <c r="BC101" s="18" t="n"/>
    </row>
    <row r="102">
      <c r="A102" s="14" t="inlineStr">
        <is>
          <t>eap-1_7</t>
        </is>
      </c>
      <c r="B102" s="14" t="inlineStr">
        <is>
          <t xml:space="preserve">Compactacao aterros 100% </t>
        </is>
      </c>
      <c r="C102" s="16">
        <f>PARÂMETROS!D23</f>
        <v/>
      </c>
      <c r="D102" s="17" t="n">
        <v>3</v>
      </c>
      <c r="E102" s="17" t="n">
        <v>3</v>
      </c>
      <c r="F102" s="17" t="n">
        <v>3</v>
      </c>
      <c r="G102" s="17" t="n">
        <v>3</v>
      </c>
      <c r="H102" s="17" t="n">
        <v>3</v>
      </c>
      <c r="I102" s="17" t="n">
        <v>3</v>
      </c>
      <c r="J102" s="17" t="n">
        <v>3</v>
      </c>
      <c r="K102" s="17" t="n">
        <v>3</v>
      </c>
      <c r="L102" s="17" t="n">
        <v>3</v>
      </c>
      <c r="M102" s="17" t="n">
        <v>3</v>
      </c>
      <c r="N102" s="17" t="n">
        <v>3</v>
      </c>
      <c r="O102" s="17" t="n">
        <v>3</v>
      </c>
      <c r="P102" s="17" t="n">
        <v>3</v>
      </c>
      <c r="Q102" s="17" t="n">
        <v>3</v>
      </c>
      <c r="R102" s="17" t="n">
        <v>3</v>
      </c>
      <c r="S102" s="17" t="n">
        <v>3</v>
      </c>
      <c r="T102" s="17" t="n">
        <v>3</v>
      </c>
      <c r="U102" s="17" t="n">
        <v>3</v>
      </c>
      <c r="V102" s="17" t="n">
        <v>3</v>
      </c>
      <c r="W102" s="17" t="n">
        <v>3</v>
      </c>
      <c r="X102" s="17" t="n">
        <v>3</v>
      </c>
      <c r="Y102" s="17" t="n">
        <v>3</v>
      </c>
      <c r="Z102" s="17" t="n">
        <v>3</v>
      </c>
      <c r="AA102" s="17" t="n">
        <v>3</v>
      </c>
      <c r="AB102" s="17" t="n">
        <v>3</v>
      </c>
      <c r="AC102" s="17" t="n">
        <v>3</v>
      </c>
      <c r="AD102" s="17" t="n">
        <v>3</v>
      </c>
      <c r="AE102" s="17" t="n">
        <v>3</v>
      </c>
      <c r="AF102" s="17" t="n">
        <v>3</v>
      </c>
      <c r="AG102" s="17" t="n">
        <v>3</v>
      </c>
      <c r="AH102" s="17" t="n">
        <v>3</v>
      </c>
      <c r="AI102" s="17" t="n">
        <v>3</v>
      </c>
      <c r="AJ102" s="17" t="n">
        <v>3</v>
      </c>
      <c r="AK102" s="17" t="n">
        <v>3</v>
      </c>
      <c r="AL102" s="17" t="n">
        <v>3</v>
      </c>
      <c r="AM102" s="17" t="n">
        <v>3</v>
      </c>
      <c r="AN102" s="17" t="n">
        <v>3</v>
      </c>
      <c r="AO102" s="17" t="n">
        <v>3</v>
      </c>
      <c r="AP102" s="17" t="n">
        <v>3</v>
      </c>
      <c r="AQ102" s="17" t="n">
        <v>3</v>
      </c>
      <c r="AR102" s="17" t="n">
        <v>3</v>
      </c>
      <c r="AS102" s="17" t="n">
        <v>3</v>
      </c>
      <c r="AT102" s="17" t="n">
        <v>3</v>
      </c>
      <c r="AU102" s="17" t="n">
        <v>3</v>
      </c>
      <c r="AV102" s="17" t="n">
        <v>3</v>
      </c>
      <c r="AW102" s="17" t="n">
        <v>3</v>
      </c>
      <c r="AX102" s="17" t="n">
        <v>3</v>
      </c>
      <c r="AY102" s="17" t="n">
        <v>3</v>
      </c>
      <c r="AZ102" s="17" t="n">
        <v>3</v>
      </c>
      <c r="BA102" s="17" t="n">
        <v>3</v>
      </c>
      <c r="BB102" s="17" t="n">
        <v>3</v>
      </c>
      <c r="BC102" s="18" t="n"/>
    </row>
    <row r="103">
      <c r="A103" s="14" t="inlineStr">
        <is>
          <t>eap-1_8</t>
        </is>
      </c>
      <c r="B103" s="14" t="inlineStr">
        <is>
          <t xml:space="preserve">Compactacao aterros 100% </t>
        </is>
      </c>
      <c r="C103" s="16">
        <f>PARÂMETROS!D24</f>
        <v/>
      </c>
      <c r="D103" s="17" t="n">
        <v>2</v>
      </c>
      <c r="E103" s="17" t="n">
        <v>2</v>
      </c>
      <c r="F103" s="17" t="n">
        <v>2</v>
      </c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8" t="n"/>
      <c r="BA103" s="18" t="n"/>
      <c r="BB103" s="18" t="n"/>
      <c r="BC103" s="18" t="n"/>
    </row>
    <row r="104">
      <c r="A104" s="14" t="inlineStr">
        <is>
          <t>eap-1_9</t>
        </is>
      </c>
      <c r="B104" s="14" t="inlineStr">
        <is>
          <t>Construcao corpo aterro m</t>
        </is>
      </c>
      <c r="C104" s="16">
        <f>PARÂMETROS!D25</f>
        <v/>
      </c>
      <c r="D104" s="17" t="n">
        <v>2</v>
      </c>
      <c r="E104" s="17" t="n">
        <v>2</v>
      </c>
      <c r="F104" s="17" t="n">
        <v>2</v>
      </c>
      <c r="G104" s="17" t="n">
        <v>2</v>
      </c>
      <c r="H104" s="17" t="n">
        <v>2</v>
      </c>
      <c r="I104" s="17" t="n">
        <v>2</v>
      </c>
      <c r="J104" s="17" t="n">
        <v>2</v>
      </c>
      <c r="K104" s="17" t="n">
        <v>2</v>
      </c>
      <c r="L104" s="17" t="n">
        <v>2</v>
      </c>
      <c r="M104" s="17" t="n">
        <v>2</v>
      </c>
      <c r="N104" s="17" t="n">
        <v>2</v>
      </c>
      <c r="O104" s="17" t="n">
        <v>2</v>
      </c>
      <c r="P104" s="17" t="n">
        <v>2</v>
      </c>
      <c r="Q104" s="17" t="n">
        <v>2</v>
      </c>
      <c r="R104" s="17" t="n">
        <v>2</v>
      </c>
      <c r="S104" s="17" t="n">
        <v>2</v>
      </c>
      <c r="T104" s="17" t="n">
        <v>2</v>
      </c>
      <c r="U104" s="17" t="n">
        <v>2</v>
      </c>
      <c r="V104" s="17" t="n">
        <v>2</v>
      </c>
      <c r="W104" s="17" t="n">
        <v>2</v>
      </c>
      <c r="X104" s="17" t="n">
        <v>2</v>
      </c>
      <c r="Y104" s="17" t="n">
        <v>2</v>
      </c>
      <c r="Z104" s="17" t="n">
        <v>2</v>
      </c>
      <c r="AA104" s="17" t="n">
        <v>2</v>
      </c>
      <c r="AB104" s="17" t="n">
        <v>2</v>
      </c>
      <c r="AC104" s="17" t="n">
        <v>2</v>
      </c>
      <c r="AD104" s="17" t="n">
        <v>2</v>
      </c>
      <c r="AE104" s="17" t="n">
        <v>2</v>
      </c>
      <c r="AF104" s="17" t="n">
        <v>2</v>
      </c>
      <c r="AG104" s="17" t="n">
        <v>2</v>
      </c>
      <c r="AH104" s="17" t="n">
        <v>2</v>
      </c>
      <c r="AI104" s="17" t="n">
        <v>2</v>
      </c>
      <c r="AJ104" s="17" t="n">
        <v>2</v>
      </c>
      <c r="AK104" s="17" t="n">
        <v>2</v>
      </c>
      <c r="AL104" s="17" t="n">
        <v>2</v>
      </c>
      <c r="AM104" s="17" t="n">
        <v>2</v>
      </c>
      <c r="AN104" s="17" t="n">
        <v>2</v>
      </c>
      <c r="AO104" s="17" t="n">
        <v>2</v>
      </c>
      <c r="AP104" s="17" t="n">
        <v>2</v>
      </c>
      <c r="AQ104" s="17" t="n">
        <v>2</v>
      </c>
      <c r="AR104" s="17" t="n">
        <v>2</v>
      </c>
      <c r="AS104" s="17" t="n">
        <v>2</v>
      </c>
      <c r="AT104" s="17" t="n">
        <v>2</v>
      </c>
      <c r="AU104" s="17" t="n">
        <v>2</v>
      </c>
      <c r="AV104" s="17" t="n">
        <v>2</v>
      </c>
      <c r="AW104" s="17" t="n">
        <v>2</v>
      </c>
      <c r="AX104" s="17" t="n">
        <v>2</v>
      </c>
      <c r="AY104" s="17" t="n">
        <v>2</v>
      </c>
      <c r="AZ104" s="17" t="n">
        <v>2</v>
      </c>
      <c r="BA104" s="17" t="n">
        <v>2</v>
      </c>
      <c r="BB104" s="17" t="n">
        <v>2</v>
      </c>
      <c r="BC104" s="17" t="n">
        <v>2</v>
      </c>
    </row>
    <row r="105">
      <c r="A105" s="14" t="inlineStr">
        <is>
          <t>eap-1_10</t>
        </is>
      </c>
      <c r="B105" s="14" t="inlineStr">
        <is>
          <t xml:space="preserve">Compactacao camada final </t>
        </is>
      </c>
      <c r="C105" s="16">
        <f>PARÂMETROS!D26</f>
        <v/>
      </c>
      <c r="D105" s="17" t="n">
        <v>1</v>
      </c>
      <c r="E105" s="17" t="n">
        <v>1</v>
      </c>
      <c r="F105" s="17" t="n">
        <v>1</v>
      </c>
      <c r="G105" s="17" t="n">
        <v>1</v>
      </c>
      <c r="H105" s="17" t="n">
        <v>1</v>
      </c>
      <c r="I105" s="17" t="n">
        <v>1</v>
      </c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8" t="n"/>
      <c r="BA105" s="18" t="n"/>
      <c r="BB105" s="18" t="n"/>
      <c r="BC105" s="18" t="n"/>
    </row>
  </sheetData>
  <mergeCells count="8">
    <mergeCell ref="A38:B38"/>
    <mergeCell ref="A93:C93"/>
    <mergeCell ref="A14:I14"/>
    <mergeCell ref="A1:I1"/>
    <mergeCell ref="A93:BD93"/>
    <mergeCell ref="A29:C29"/>
    <mergeCell ref="A8:B8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1" t="inlineStr">
        <is>
          <t>RECURSOS — TAXAS E COMPOSIÇÃO DAS EQUIPES</t>
        </is>
      </c>
    </row>
    <row r="3">
      <c r="A3" s="2" t="inlineStr">
        <is>
          <t>MÃO DE OBRA — TAXAS MENSAIS</t>
        </is>
      </c>
      <c r="B3" s="8" t="n"/>
      <c r="C3" s="8" t="n"/>
      <c r="D3" s="3" t="n"/>
    </row>
    <row r="4">
      <c r="A4" s="2" t="inlineStr">
        <is>
          <t>ID Função</t>
        </is>
      </c>
      <c r="B4" s="2" t="inlineStr">
        <is>
          <t>Descrição</t>
        </is>
      </c>
      <c r="C4" s="2" t="inlineStr">
        <is>
          <t>Custo Mensal Unitário (R$)</t>
        </is>
      </c>
    </row>
    <row r="5">
      <c r="A5" s="4" t="inlineStr">
        <is>
          <t>P0040</t>
        </is>
      </c>
      <c r="B5" s="4" t="inlineStr">
        <is>
          <t>Operador de Escavadeira</t>
        </is>
      </c>
      <c r="C5" s="6" t="n">
        <v>10300</v>
      </c>
    </row>
    <row r="6">
      <c r="A6" s="4" t="inlineStr">
        <is>
          <t>P0048</t>
        </is>
      </c>
      <c r="B6" s="4" t="inlineStr">
        <is>
          <t>Operador de Trator de Esteiras</t>
        </is>
      </c>
      <c r="C6" s="6" t="n">
        <v>10300</v>
      </c>
    </row>
    <row r="7">
      <c r="A7" s="4" t="inlineStr">
        <is>
          <t>P0062</t>
        </is>
      </c>
      <c r="B7" s="4" t="inlineStr">
        <is>
          <t>Operador de motosserra</t>
        </is>
      </c>
      <c r="C7" s="6" t="n">
        <v>7307.65</v>
      </c>
    </row>
    <row r="8">
      <c r="A8" s="4" t="inlineStr">
        <is>
          <t>P0001</t>
        </is>
      </c>
      <c r="B8" s="4" t="inlineStr">
        <is>
          <t>Ajudante</t>
        </is>
      </c>
      <c r="C8" s="6" t="n">
        <v>4209.32</v>
      </c>
    </row>
    <row r="9">
      <c r="A9" s="4" t="inlineStr">
        <is>
          <t>P0079</t>
        </is>
      </c>
      <c r="B9" s="4" t="inlineStr">
        <is>
          <t>SINALEIRO</t>
        </is>
      </c>
      <c r="C9" s="6" t="n">
        <v>6341.17</v>
      </c>
    </row>
    <row r="10">
      <c r="A10" s="4" t="inlineStr">
        <is>
          <t>P0065</t>
        </is>
      </c>
      <c r="B10" s="4" t="inlineStr">
        <is>
          <t>Encarregado de Frente</t>
        </is>
      </c>
      <c r="C10" s="6" t="n">
        <v>7500</v>
      </c>
    </row>
    <row r="11">
      <c r="A11" s="4" t="inlineStr">
        <is>
          <t>P0072</t>
        </is>
      </c>
      <c r="B11" s="4" t="inlineStr">
        <is>
          <t>Apontador</t>
        </is>
      </c>
      <c r="C11" s="6" t="n">
        <v>6341.17</v>
      </c>
    </row>
    <row r="12">
      <c r="A12" s="4" t="inlineStr">
        <is>
          <t>P0032</t>
        </is>
      </c>
      <c r="B12" s="4" t="inlineStr">
        <is>
          <t>Motorista de Caminhão Basculante</t>
        </is>
      </c>
      <c r="C12" s="6" t="n">
        <v>6341.17</v>
      </c>
    </row>
    <row r="13">
      <c r="A13" s="4" t="inlineStr">
        <is>
          <t>P0043</t>
        </is>
      </c>
      <c r="B13" s="4" t="inlineStr">
        <is>
          <t>Operador de Motoniveladora</t>
        </is>
      </c>
      <c r="C13" s="6" t="n">
        <v>10300</v>
      </c>
    </row>
    <row r="14">
      <c r="A14" s="4" t="inlineStr">
        <is>
          <t>P0049</t>
        </is>
      </c>
      <c r="B14" s="4" t="inlineStr">
        <is>
          <t>Operador de Trator de Pneu</t>
        </is>
      </c>
      <c r="C14" s="6" t="n">
        <v>6341.17</v>
      </c>
    </row>
    <row r="15">
      <c r="A15" s="4" t="inlineStr">
        <is>
          <t>P0033</t>
        </is>
      </c>
      <c r="B15" s="4" t="inlineStr">
        <is>
          <t>Motorista de Caminhão Pipa</t>
        </is>
      </c>
      <c r="C15" s="6" t="n">
        <v>6341.17</v>
      </c>
    </row>
    <row r="16">
      <c r="A16" s="4" t="inlineStr">
        <is>
          <t>P0046</t>
        </is>
      </c>
      <c r="B16" s="4" t="inlineStr">
        <is>
          <t>Operador de Rolo Compactador</t>
        </is>
      </c>
      <c r="C16" s="6" t="n">
        <v>6341.17</v>
      </c>
    </row>
    <row r="17">
      <c r="A17" s="4" t="inlineStr">
        <is>
          <t>P0029</t>
        </is>
      </c>
      <c r="B17" s="4" t="inlineStr">
        <is>
          <t>Gredista</t>
        </is>
      </c>
      <c r="C17" s="6" t="n">
        <v>6341.17</v>
      </c>
    </row>
    <row r="20">
      <c r="A20" s="2" t="inlineStr">
        <is>
          <t>EQUIPAMENTOS — TAXAS MENSAIS</t>
        </is>
      </c>
      <c r="B20" s="8" t="n"/>
      <c r="C20" s="8" t="n"/>
      <c r="D20" s="3" t="n"/>
    </row>
    <row r="21">
      <c r="A21" s="2" t="inlineStr">
        <is>
          <t>ID Equip.</t>
        </is>
      </c>
      <c r="B21" s="2" t="inlineStr">
        <is>
          <t>Descrição</t>
        </is>
      </c>
      <c r="C21" s="2" t="inlineStr">
        <is>
          <t>Aluguel Mensal (R$)</t>
        </is>
      </c>
      <c r="D21" s="2" t="inlineStr">
        <is>
          <t>Comb. Mensal (R$) (por unidade)</t>
        </is>
      </c>
    </row>
    <row r="22">
      <c r="A22" s="4" t="inlineStr">
        <is>
          <t>EQ-E0016</t>
        </is>
      </c>
      <c r="B22" s="4" t="inlineStr">
        <is>
          <t>Escavadeira Hidráulica 22t</t>
        </is>
      </c>
      <c r="C22" s="6" t="n">
        <v>35639.3</v>
      </c>
      <c r="D22" s="6" t="n">
        <v>0</v>
      </c>
    </row>
    <row r="23">
      <c r="A23" s="4" t="inlineStr">
        <is>
          <t>EQ-E0035</t>
        </is>
      </c>
      <c r="B23" s="4" t="inlineStr">
        <is>
          <t>Trator de esteiras 20T</t>
        </is>
      </c>
      <c r="C23" s="6" t="n">
        <v>21683.2</v>
      </c>
      <c r="D23" s="6" t="n">
        <v>22957.71</v>
      </c>
    </row>
    <row r="24">
      <c r="A24" s="4" t="inlineStr">
        <is>
          <t>EQ-E0028</t>
        </is>
      </c>
      <c r="B24" s="4" t="inlineStr">
        <is>
          <t>Motoniveladora 120HP</t>
        </is>
      </c>
      <c r="C24" s="6" t="n">
        <v>36664.32</v>
      </c>
      <c r="D24" s="6" t="n">
        <v>11478.86</v>
      </c>
    </row>
    <row r="25">
      <c r="A25" s="4" t="inlineStr">
        <is>
          <t>EQ-E0034</t>
        </is>
      </c>
      <c r="B25" s="4" t="inlineStr">
        <is>
          <t>Trator de pneus com grade</t>
        </is>
      </c>
      <c r="C25" s="6" t="n">
        <v>7744</v>
      </c>
      <c r="D25" s="6" t="n">
        <v>10203.43</v>
      </c>
    </row>
    <row r="26">
      <c r="A26" s="4" t="inlineStr">
        <is>
          <t>EQ-E0037</t>
        </is>
      </c>
      <c r="B26" s="4" t="inlineStr">
        <is>
          <t>Trator de esteiras 40T</t>
        </is>
      </c>
      <c r="C26" s="6" t="n">
        <v>20421.63</v>
      </c>
      <c r="D26" s="6" t="n">
        <v>30610.29</v>
      </c>
    </row>
    <row r="29">
      <c r="A29" s="2" t="inlineStr">
        <is>
          <t>COMPOSIÇÃO DAS EQUIPES — nº PESSOAS / UNIDADES POR ITEM</t>
        </is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3" t="n"/>
    </row>
    <row r="30">
      <c r="A30" s="2" t="inlineStr">
        <is>
          <t>Item ID</t>
        </is>
      </c>
      <c r="B30" s="2" t="inlineStr">
        <is>
          <t>Descrição</t>
        </is>
      </c>
      <c r="C30" s="19" t="inlineStr">
        <is>
          <t>P0040</t>
        </is>
      </c>
      <c r="D30" s="19" t="inlineStr">
        <is>
          <t>P0048</t>
        </is>
      </c>
      <c r="E30" s="19" t="inlineStr">
        <is>
          <t>P0062</t>
        </is>
      </c>
      <c r="F30" s="19" t="inlineStr">
        <is>
          <t>P0001</t>
        </is>
      </c>
      <c r="G30" s="19" t="inlineStr">
        <is>
          <t>P0079</t>
        </is>
      </c>
      <c r="H30" s="19" t="inlineStr">
        <is>
          <t>P0065</t>
        </is>
      </c>
      <c r="I30" s="19" t="inlineStr">
        <is>
          <t>P0072</t>
        </is>
      </c>
      <c r="J30" s="19" t="inlineStr">
        <is>
          <t>P0032</t>
        </is>
      </c>
      <c r="K30" s="19" t="inlineStr">
        <is>
          <t>P0043</t>
        </is>
      </c>
      <c r="L30" s="19" t="inlineStr">
        <is>
          <t>P0049</t>
        </is>
      </c>
      <c r="M30" s="19" t="inlineStr">
        <is>
          <t>P0033</t>
        </is>
      </c>
      <c r="N30" s="19" t="inlineStr">
        <is>
          <t>P0046</t>
        </is>
      </c>
      <c r="O30" s="19" t="inlineStr">
        <is>
          <t>P0029</t>
        </is>
      </c>
      <c r="P30" s="19" t="inlineStr">
        <is>
          <t>EQ-E0016</t>
        </is>
      </c>
      <c r="Q30" s="19" t="inlineStr">
        <is>
          <t>EQ-E0035</t>
        </is>
      </c>
      <c r="R30" s="19" t="inlineStr">
        <is>
          <t>EQ-E0028</t>
        </is>
      </c>
      <c r="S30" s="19" t="inlineStr">
        <is>
          <t>EQ-E0034</t>
        </is>
      </c>
      <c r="T30" s="19" t="inlineStr">
        <is>
          <t>EQ-E0037</t>
        </is>
      </c>
    </row>
    <row r="31">
      <c r="A31" s="14" t="inlineStr">
        <is>
          <t>eap-1_0</t>
        </is>
      </c>
      <c r="B31" s="14" t="inlineStr">
        <is>
          <t>Desmatamento e limpeza de</t>
        </is>
      </c>
      <c r="C31" s="20" t="n">
        <v>1</v>
      </c>
      <c r="D31" s="20" t="n">
        <v>6</v>
      </c>
      <c r="E31" s="20" t="n">
        <v>6</v>
      </c>
      <c r="F31" s="20" t="n">
        <v>6</v>
      </c>
      <c r="G31" s="20" t="n">
        <v>6</v>
      </c>
      <c r="H31" s="20" t="n">
        <v>1</v>
      </c>
      <c r="I31" s="20" t="n">
        <v>1</v>
      </c>
      <c r="J31" s="21" t="n"/>
      <c r="K31" s="21" t="n"/>
      <c r="L31" s="21" t="n"/>
      <c r="M31" s="21" t="n"/>
      <c r="N31" s="21" t="n"/>
      <c r="O31" s="21" t="n"/>
      <c r="P31" s="20" t="n">
        <v>1</v>
      </c>
      <c r="Q31" s="20" t="n">
        <v>6</v>
      </c>
      <c r="R31" s="21" t="n"/>
      <c r="S31" s="21" t="n"/>
      <c r="T31" s="21" t="n"/>
    </row>
    <row r="32">
      <c r="A32" s="14" t="inlineStr">
        <is>
          <t>eap-1_1</t>
        </is>
      </c>
      <c r="B32" s="14" t="inlineStr">
        <is>
          <t>Esc/carg/transp 1aCat DMT</t>
        </is>
      </c>
      <c r="C32" s="20" t="n">
        <v>1</v>
      </c>
      <c r="D32" s="21" t="n"/>
      <c r="E32" s="21" t="n"/>
      <c r="F32" s="20" t="n">
        <v>1</v>
      </c>
      <c r="G32" s="21" t="n"/>
      <c r="H32" s="20" t="n">
        <v>1</v>
      </c>
      <c r="I32" s="21" t="n"/>
      <c r="J32" s="20" t="n">
        <v>7</v>
      </c>
      <c r="K32" s="21" t="n"/>
      <c r="L32" s="21" t="n"/>
      <c r="M32" s="21" t="n"/>
      <c r="N32" s="21" t="n"/>
      <c r="O32" s="21" t="n"/>
      <c r="P32" s="20" t="n">
        <v>1</v>
      </c>
      <c r="Q32" s="21" t="n"/>
      <c r="R32" s="21" t="n"/>
      <c r="S32" s="21" t="n"/>
      <c r="T32" s="21" t="n"/>
    </row>
    <row r="33">
      <c r="A33" s="14" t="inlineStr">
        <is>
          <t>eap-1_2</t>
        </is>
      </c>
      <c r="B33" s="14" t="inlineStr">
        <is>
          <t>Esc/carg/transp 1aCat DMT</t>
        </is>
      </c>
      <c r="C33" s="20" t="n">
        <v>1</v>
      </c>
      <c r="D33" s="21" t="n"/>
      <c r="E33" s="21" t="n"/>
      <c r="F33" s="20" t="n">
        <v>1</v>
      </c>
      <c r="G33" s="21" t="n"/>
      <c r="H33" s="20" t="n">
        <v>1</v>
      </c>
      <c r="I33" s="21" t="n"/>
      <c r="J33" s="20" t="n">
        <v>7</v>
      </c>
      <c r="K33" s="21" t="n"/>
      <c r="L33" s="21" t="n"/>
      <c r="M33" s="21" t="n"/>
      <c r="N33" s="21" t="n"/>
      <c r="O33" s="21" t="n"/>
      <c r="P33" s="20" t="n">
        <v>1</v>
      </c>
      <c r="Q33" s="21" t="n"/>
      <c r="R33" s="21" t="n"/>
      <c r="S33" s="21" t="n"/>
      <c r="T33" s="21" t="n"/>
    </row>
    <row r="34">
      <c r="A34" s="14" t="inlineStr">
        <is>
          <t>eap-1_3</t>
        </is>
      </c>
      <c r="B34" s="14" t="inlineStr">
        <is>
          <t>Esc/carg/transp 2aCat DMT</t>
        </is>
      </c>
      <c r="C34" s="20" t="n">
        <v>2</v>
      </c>
      <c r="D34" s="21" t="n"/>
      <c r="E34" s="21" t="n"/>
      <c r="F34" s="20" t="n">
        <v>2</v>
      </c>
      <c r="G34" s="21" t="n"/>
      <c r="H34" s="20" t="n">
        <v>1</v>
      </c>
      <c r="I34" s="21" t="n"/>
      <c r="J34" s="20" t="n">
        <v>11</v>
      </c>
      <c r="K34" s="21" t="n"/>
      <c r="L34" s="21" t="n"/>
      <c r="M34" s="21" t="n"/>
      <c r="N34" s="21" t="n"/>
      <c r="O34" s="21" t="n"/>
      <c r="P34" s="20" t="n">
        <v>2</v>
      </c>
      <c r="Q34" s="21" t="n"/>
      <c r="R34" s="21" t="n"/>
      <c r="S34" s="21" t="n"/>
      <c r="T34" s="21" t="n"/>
    </row>
    <row r="35">
      <c r="A35" s="14" t="inlineStr">
        <is>
          <t>eap-1_4</t>
        </is>
      </c>
      <c r="B35" s="14" t="inlineStr">
        <is>
          <t>Esc/carg/transp 2aCat DMT</t>
        </is>
      </c>
      <c r="C35" s="20" t="n">
        <v>2</v>
      </c>
      <c r="D35" s="21" t="n"/>
      <c r="E35" s="21" t="n"/>
      <c r="F35" s="20" t="n">
        <v>2</v>
      </c>
      <c r="G35" s="21" t="n"/>
      <c r="H35" s="20" t="n">
        <v>1</v>
      </c>
      <c r="I35" s="21" t="n"/>
      <c r="J35" s="20" t="n">
        <v>11</v>
      </c>
      <c r="K35" s="21" t="n"/>
      <c r="L35" s="21" t="n"/>
      <c r="M35" s="21" t="n"/>
      <c r="N35" s="21" t="n"/>
      <c r="O35" s="21" t="n"/>
      <c r="P35" s="20" t="n">
        <v>2</v>
      </c>
      <c r="Q35" s="21" t="n"/>
      <c r="R35" s="21" t="n"/>
      <c r="S35" s="21" t="n"/>
      <c r="T35" s="21" t="n"/>
    </row>
    <row r="36">
      <c r="A36" s="14" t="inlineStr">
        <is>
          <t>eap-1_5</t>
        </is>
      </c>
      <c r="B36" s="14" t="inlineStr">
        <is>
          <t>Esc/carg/transp 3aCat DMT</t>
        </is>
      </c>
      <c r="C36" s="20" t="n">
        <v>4</v>
      </c>
      <c r="D36" s="21" t="n"/>
      <c r="E36" s="21" t="n"/>
      <c r="F36" s="20" t="n">
        <v>4</v>
      </c>
      <c r="G36" s="21" t="n"/>
      <c r="H36" s="21" t="n"/>
      <c r="I36" s="21" t="n"/>
      <c r="J36" s="20" t="n">
        <v>25</v>
      </c>
      <c r="K36" s="21" t="n"/>
      <c r="L36" s="21" t="n"/>
      <c r="M36" s="21" t="n"/>
      <c r="N36" s="21" t="n"/>
      <c r="O36" s="21" t="n"/>
      <c r="P36" s="20" t="n">
        <v>4</v>
      </c>
      <c r="Q36" s="21" t="n"/>
      <c r="R36" s="21" t="n"/>
      <c r="S36" s="21" t="n"/>
      <c r="T36" s="21" t="n"/>
    </row>
    <row r="37">
      <c r="A37" s="14" t="inlineStr">
        <is>
          <t>eap-1_6</t>
        </is>
      </c>
      <c r="B37" s="14" t="inlineStr">
        <is>
          <t>Esc/carg/transp 3aCat DMT</t>
        </is>
      </c>
      <c r="C37" s="20" t="n">
        <v>4</v>
      </c>
      <c r="D37" s="21" t="n"/>
      <c r="E37" s="21" t="n"/>
      <c r="F37" s="20" t="n">
        <v>4</v>
      </c>
      <c r="G37" s="21" t="n"/>
      <c r="H37" s="21" t="n"/>
      <c r="I37" s="21" t="n"/>
      <c r="J37" s="20" t="n">
        <v>25</v>
      </c>
      <c r="K37" s="21" t="n"/>
      <c r="L37" s="21" t="n"/>
      <c r="M37" s="21" t="n"/>
      <c r="N37" s="21" t="n"/>
      <c r="O37" s="21" t="n"/>
      <c r="P37" s="20" t="n">
        <v>4</v>
      </c>
      <c r="Q37" s="21" t="n"/>
      <c r="R37" s="21" t="n"/>
      <c r="S37" s="21" t="n"/>
      <c r="T37" s="21" t="n"/>
    </row>
    <row r="38">
      <c r="A38" s="14" t="inlineStr">
        <is>
          <t>eap-1_7</t>
        </is>
      </c>
      <c r="B38" s="14" t="inlineStr">
        <is>
          <t xml:space="preserve">Compactacao aterros 100% </t>
        </is>
      </c>
      <c r="C38" s="21" t="n"/>
      <c r="D38" s="21" t="n"/>
      <c r="E38" s="21" t="n"/>
      <c r="F38" s="20" t="n">
        <v>6</v>
      </c>
      <c r="G38" s="21" t="n"/>
      <c r="H38" s="20" t="n">
        <v>2</v>
      </c>
      <c r="I38" s="21" t="n"/>
      <c r="J38" s="21" t="n"/>
      <c r="K38" s="20" t="n">
        <v>3</v>
      </c>
      <c r="L38" s="20" t="n">
        <v>3</v>
      </c>
      <c r="M38" s="20" t="n">
        <v>3</v>
      </c>
      <c r="N38" s="20" t="n">
        <v>6</v>
      </c>
      <c r="O38" s="20" t="n">
        <v>3</v>
      </c>
      <c r="P38" s="21" t="n"/>
      <c r="Q38" s="21" t="n"/>
      <c r="R38" s="20" t="n">
        <v>3</v>
      </c>
      <c r="S38" s="20" t="n">
        <v>3</v>
      </c>
      <c r="T38" s="21" t="n"/>
    </row>
    <row r="39">
      <c r="A39" s="14" t="inlineStr">
        <is>
          <t>eap-1_8</t>
        </is>
      </c>
      <c r="B39" s="14" t="inlineStr">
        <is>
          <t xml:space="preserve">Compactacao aterros 100% </t>
        </is>
      </c>
      <c r="C39" s="21" t="n"/>
      <c r="D39" s="21" t="n"/>
      <c r="E39" s="21" t="n"/>
      <c r="F39" s="20" t="n">
        <v>6</v>
      </c>
      <c r="G39" s="21" t="n"/>
      <c r="H39" s="20" t="n">
        <v>2</v>
      </c>
      <c r="I39" s="21" t="n"/>
      <c r="J39" s="21" t="n"/>
      <c r="K39" s="20" t="n">
        <v>3</v>
      </c>
      <c r="L39" s="20" t="n">
        <v>3</v>
      </c>
      <c r="M39" s="20" t="n">
        <v>3</v>
      </c>
      <c r="N39" s="20" t="n">
        <v>6</v>
      </c>
      <c r="O39" s="20" t="n">
        <v>3</v>
      </c>
      <c r="P39" s="21" t="n"/>
      <c r="Q39" s="21" t="n"/>
      <c r="R39" s="20" t="n">
        <v>3</v>
      </c>
      <c r="S39" s="20" t="n">
        <v>3</v>
      </c>
      <c r="T39" s="21" t="n"/>
    </row>
    <row r="40">
      <c r="A40" s="14" t="inlineStr">
        <is>
          <t>eap-1_9</t>
        </is>
      </c>
      <c r="B40" s="14" t="inlineStr">
        <is>
          <t>Construcao corpo aterro m</t>
        </is>
      </c>
      <c r="C40" s="21" t="n"/>
      <c r="D40" s="20" t="n">
        <v>2</v>
      </c>
      <c r="E40" s="21" t="n"/>
      <c r="F40" s="20" t="n">
        <v>4</v>
      </c>
      <c r="G40" s="21" t="n"/>
      <c r="H40" s="20" t="n">
        <v>1</v>
      </c>
      <c r="I40" s="21" t="n"/>
      <c r="J40" s="21" t="n"/>
      <c r="K40" s="21" t="n"/>
      <c r="L40" s="21" t="n"/>
      <c r="M40" s="21" t="n"/>
      <c r="N40" s="20" t="n">
        <v>4</v>
      </c>
      <c r="O40" s="20" t="n">
        <v>2</v>
      </c>
      <c r="P40" s="21" t="n"/>
      <c r="Q40" s="21" t="n"/>
      <c r="R40" s="21" t="n"/>
      <c r="S40" s="21" t="n"/>
      <c r="T40" s="20" t="n">
        <v>2</v>
      </c>
    </row>
    <row r="41">
      <c r="A41" s="14" t="inlineStr">
        <is>
          <t>eap-1_10</t>
        </is>
      </c>
      <c r="B41" s="14" t="inlineStr">
        <is>
          <t xml:space="preserve">Compactacao camada final </t>
        </is>
      </c>
      <c r="C41" s="21" t="n"/>
      <c r="D41" s="20" t="n">
        <v>1</v>
      </c>
      <c r="E41" s="21" t="n"/>
      <c r="F41" s="20" t="n">
        <v>2</v>
      </c>
      <c r="G41" s="21" t="n"/>
      <c r="H41" s="21" t="n"/>
      <c r="I41" s="21" t="n"/>
      <c r="J41" s="21" t="n"/>
      <c r="K41" s="21" t="n"/>
      <c r="L41" s="21" t="n"/>
      <c r="M41" s="20" t="n">
        <v>1</v>
      </c>
      <c r="N41" s="20" t="n">
        <v>3</v>
      </c>
      <c r="O41" s="21" t="n"/>
      <c r="P41" s="21" t="n"/>
      <c r="Q41" s="20" t="n">
        <v>1</v>
      </c>
      <c r="R41" s="21" t="n"/>
      <c r="S41" s="21" t="n"/>
      <c r="T41" s="21" t="n"/>
    </row>
  </sheetData>
  <mergeCells count="4">
    <mergeCell ref="A29:T29"/>
    <mergeCell ref="A20:D20"/>
    <mergeCell ref="A3:D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CUSTOS DIRETOS — EQUIPES POR ITEM (FÓRMULAS SOBRE RECURSOS)</t>
        </is>
      </c>
    </row>
    <row r="2">
      <c r="A2" s="2" t="inlineStr">
        <is>
          <t>Item ID</t>
        </is>
      </c>
      <c r="B2" s="2" t="inlineStr">
        <is>
          <t>Desc.</t>
        </is>
      </c>
      <c r="C2" s="2" t="inlineStr">
        <is>
          <t>MO Mensal (R$)</t>
        </is>
      </c>
      <c r="D2" s="2" t="inlineStr">
        <is>
          <t>EQ Mensal (R$)</t>
        </is>
      </c>
      <c r="E2" s="2" t="inlineStr">
        <is>
          <t>Comb. Mensal (R$)</t>
        </is>
      </c>
      <c r="F2" s="2" t="inlineStr">
        <is>
          <t>Total Fixo/Mês (R$)</t>
        </is>
      </c>
      <c r="G2" s="2" t="inlineStr">
        <is>
          <t>Permanência (sem.)</t>
        </is>
      </c>
      <c r="H2" s="2" t="inlineStr">
        <is>
          <t>Permanência (mes.)</t>
        </is>
      </c>
      <c r="I2" s="2" t="inlineStr">
        <is>
          <t>Custo Total (R$)</t>
        </is>
      </c>
    </row>
    <row r="3">
      <c r="A3" s="14" t="inlineStr">
        <is>
          <t>eap-1_0</t>
        </is>
      </c>
      <c r="B3" s="14" t="inlineStr">
        <is>
          <t>Desmatamento e limpeza</t>
        </is>
      </c>
      <c r="C3" s="22">
        <f>RECURSOS!C31*RECURSOS!$C$5+RECURSOS!D31*RECURSOS!$C$6+RECURSOS!E31*RECURSOS!$C$7+RECURSOS!F31*RECURSOS!$C$8+RECURSOS!G31*RECURSOS!$C$9+RECURSOS!H31*RECURSOS!$C$10+RECURSOS!I31*RECURSOS!$C$11+RECURSOS!J31*RECURSOS!$C$12+RECURSOS!K31*RECURSOS!$C$13+RECURSOS!L31*RECURSOS!$C$14+RECURSOS!M31*RECURSOS!$C$15+RECURSOS!N31*RECURSOS!$C$16+RECURSOS!O31*RECURSOS!$C$17</f>
        <v/>
      </c>
      <c r="D3" s="22">
        <f>RECURSOS!P31*RECURSOS!$C$22+RECURSOS!Q31*RECURSOS!$C$23+RECURSOS!R31*RECURSOS!$C$24+RECURSOS!S31*RECURSOS!$C$25+RECURSOS!T31*RECURSOS!$C$26</f>
        <v/>
      </c>
      <c r="E3" s="22">
        <f>RECURSOS!P31*RECURSOS!$D$22+RECURSOS!Q31*RECURSOS!$D$23+RECURSOS!R31*RECURSOS!$D$24+RECURSOS!S31*RECURSOS!$D$25+RECURSOS!T31*RECURSOS!$D$26</f>
        <v/>
      </c>
      <c r="F3" s="22">
        <f>C3+D3+E3</f>
        <v/>
      </c>
      <c r="G3" s="11">
        <f>PARÂMETROS!I16</f>
        <v/>
      </c>
      <c r="H3" s="23">
        <f>G3/4.348</f>
        <v/>
      </c>
      <c r="I3" s="22">
        <f>F3*H3</f>
        <v/>
      </c>
    </row>
    <row r="4">
      <c r="A4" s="14" t="inlineStr">
        <is>
          <t>eap-1_1</t>
        </is>
      </c>
      <c r="B4" s="14" t="inlineStr">
        <is>
          <t xml:space="preserve">Esc/carg/transp 1aCat </t>
        </is>
      </c>
      <c r="C4" s="22">
        <f>RECURSOS!C32*RECURSOS!$C$5+RECURSOS!D32*RECURSOS!$C$6+RECURSOS!E32*RECURSOS!$C$7+RECURSOS!F32*RECURSOS!$C$8+RECURSOS!G32*RECURSOS!$C$9+RECURSOS!H32*RECURSOS!$C$10+RECURSOS!I32*RECURSOS!$C$11+RECURSOS!J32*RECURSOS!$C$12+RECURSOS!K32*RECURSOS!$C$13+RECURSOS!L32*RECURSOS!$C$14+RECURSOS!M32*RECURSOS!$C$15+RECURSOS!N32*RECURSOS!$C$16+RECURSOS!O32*RECURSOS!$C$17</f>
        <v/>
      </c>
      <c r="D4" s="22">
        <f>RECURSOS!P32*RECURSOS!$C$22+RECURSOS!Q32*RECURSOS!$C$23+RECURSOS!R32*RECURSOS!$C$24+RECURSOS!S32*RECURSOS!$C$25+RECURSOS!T32*RECURSOS!$C$26</f>
        <v/>
      </c>
      <c r="E4" s="22">
        <f>RECURSOS!P32*RECURSOS!$D$22+RECURSOS!Q32*RECURSOS!$D$23+RECURSOS!R32*RECURSOS!$D$24+RECURSOS!S32*RECURSOS!$D$25+RECURSOS!T32*RECURSOS!$D$26</f>
        <v/>
      </c>
      <c r="F4" s="22">
        <f>C4+D4+E4</f>
        <v/>
      </c>
      <c r="G4" s="11">
        <f>PARÂMETROS!I17</f>
        <v/>
      </c>
      <c r="H4" s="23">
        <f>G4/4.348</f>
        <v/>
      </c>
      <c r="I4" s="22">
        <f>F4*H4</f>
        <v/>
      </c>
    </row>
    <row r="5">
      <c r="A5" s="14" t="inlineStr">
        <is>
          <t>eap-1_2</t>
        </is>
      </c>
      <c r="B5" s="14" t="inlineStr">
        <is>
          <t xml:space="preserve">Esc/carg/transp 1aCat </t>
        </is>
      </c>
      <c r="C5" s="22">
        <f>RECURSOS!C33*RECURSOS!$C$5+RECURSOS!D33*RECURSOS!$C$6+RECURSOS!E33*RECURSOS!$C$7+RECURSOS!F33*RECURSOS!$C$8+RECURSOS!G33*RECURSOS!$C$9+RECURSOS!H33*RECURSOS!$C$10+RECURSOS!I33*RECURSOS!$C$11+RECURSOS!J33*RECURSOS!$C$12+RECURSOS!K33*RECURSOS!$C$13+RECURSOS!L33*RECURSOS!$C$14+RECURSOS!M33*RECURSOS!$C$15+RECURSOS!N33*RECURSOS!$C$16+RECURSOS!O33*RECURSOS!$C$17</f>
        <v/>
      </c>
      <c r="D5" s="22">
        <f>RECURSOS!P33*RECURSOS!$C$22+RECURSOS!Q33*RECURSOS!$C$23+RECURSOS!R33*RECURSOS!$C$24+RECURSOS!S33*RECURSOS!$C$25+RECURSOS!T33*RECURSOS!$C$26</f>
        <v/>
      </c>
      <c r="E5" s="22">
        <f>RECURSOS!P33*RECURSOS!$D$22+RECURSOS!Q33*RECURSOS!$D$23+RECURSOS!R33*RECURSOS!$D$24+RECURSOS!S33*RECURSOS!$D$25+RECURSOS!T33*RECURSOS!$D$26</f>
        <v/>
      </c>
      <c r="F5" s="22">
        <f>C5+D5+E5</f>
        <v/>
      </c>
      <c r="G5" s="11">
        <f>PARÂMETROS!I18</f>
        <v/>
      </c>
      <c r="H5" s="23">
        <f>G5/4.348</f>
        <v/>
      </c>
      <c r="I5" s="22">
        <f>F5*H5</f>
        <v/>
      </c>
    </row>
    <row r="6">
      <c r="A6" s="14" t="inlineStr">
        <is>
          <t>eap-1_3</t>
        </is>
      </c>
      <c r="B6" s="14" t="inlineStr">
        <is>
          <t xml:space="preserve">Esc/carg/transp 2aCat </t>
        </is>
      </c>
      <c r="C6" s="22">
        <f>RECURSOS!C34*RECURSOS!$C$5+RECURSOS!D34*RECURSOS!$C$6+RECURSOS!E34*RECURSOS!$C$7+RECURSOS!F34*RECURSOS!$C$8+RECURSOS!G34*RECURSOS!$C$9+RECURSOS!H34*RECURSOS!$C$10+RECURSOS!I34*RECURSOS!$C$11+RECURSOS!J34*RECURSOS!$C$12+RECURSOS!K34*RECURSOS!$C$13+RECURSOS!L34*RECURSOS!$C$14+RECURSOS!M34*RECURSOS!$C$15+RECURSOS!N34*RECURSOS!$C$16+RECURSOS!O34*RECURSOS!$C$17</f>
        <v/>
      </c>
      <c r="D6" s="22">
        <f>RECURSOS!P34*RECURSOS!$C$22+RECURSOS!Q34*RECURSOS!$C$23+RECURSOS!R34*RECURSOS!$C$24+RECURSOS!S34*RECURSOS!$C$25+RECURSOS!T34*RECURSOS!$C$26</f>
        <v/>
      </c>
      <c r="E6" s="22">
        <f>RECURSOS!P34*RECURSOS!$D$22+RECURSOS!Q34*RECURSOS!$D$23+RECURSOS!R34*RECURSOS!$D$24+RECURSOS!S34*RECURSOS!$D$25+RECURSOS!T34*RECURSOS!$D$26</f>
        <v/>
      </c>
      <c r="F6" s="22">
        <f>C6+D6+E6</f>
        <v/>
      </c>
      <c r="G6" s="11">
        <f>PARÂMETROS!I19</f>
        <v/>
      </c>
      <c r="H6" s="23">
        <f>G6/4.348</f>
        <v/>
      </c>
      <c r="I6" s="22">
        <f>F6*H6</f>
        <v/>
      </c>
    </row>
    <row r="7">
      <c r="A7" s="14" t="inlineStr">
        <is>
          <t>eap-1_4</t>
        </is>
      </c>
      <c r="B7" s="14" t="inlineStr">
        <is>
          <t xml:space="preserve">Esc/carg/transp 2aCat </t>
        </is>
      </c>
      <c r="C7" s="22">
        <f>RECURSOS!C35*RECURSOS!$C$5+RECURSOS!D35*RECURSOS!$C$6+RECURSOS!E35*RECURSOS!$C$7+RECURSOS!F35*RECURSOS!$C$8+RECURSOS!G35*RECURSOS!$C$9+RECURSOS!H35*RECURSOS!$C$10+RECURSOS!I35*RECURSOS!$C$11+RECURSOS!J35*RECURSOS!$C$12+RECURSOS!K35*RECURSOS!$C$13+RECURSOS!L35*RECURSOS!$C$14+RECURSOS!M35*RECURSOS!$C$15+RECURSOS!N35*RECURSOS!$C$16+RECURSOS!O35*RECURSOS!$C$17</f>
        <v/>
      </c>
      <c r="D7" s="22">
        <f>RECURSOS!P35*RECURSOS!$C$22+RECURSOS!Q35*RECURSOS!$C$23+RECURSOS!R35*RECURSOS!$C$24+RECURSOS!S35*RECURSOS!$C$25+RECURSOS!T35*RECURSOS!$C$26</f>
        <v/>
      </c>
      <c r="E7" s="22">
        <f>RECURSOS!P35*RECURSOS!$D$22+RECURSOS!Q35*RECURSOS!$D$23+RECURSOS!R35*RECURSOS!$D$24+RECURSOS!S35*RECURSOS!$D$25+RECURSOS!T35*RECURSOS!$D$26</f>
        <v/>
      </c>
      <c r="F7" s="22">
        <f>C7+D7+E7</f>
        <v/>
      </c>
      <c r="G7" s="11">
        <f>PARÂMETROS!I20</f>
        <v/>
      </c>
      <c r="H7" s="23">
        <f>G7/4.348</f>
        <v/>
      </c>
      <c r="I7" s="22">
        <f>F7*H7</f>
        <v/>
      </c>
    </row>
    <row r="8">
      <c r="A8" s="14" t="inlineStr">
        <is>
          <t>eap-1_5</t>
        </is>
      </c>
      <c r="B8" s="14" t="inlineStr">
        <is>
          <t xml:space="preserve">Esc/carg/transp 3aCat </t>
        </is>
      </c>
      <c r="C8" s="22">
        <f>RECURSOS!C36*RECURSOS!$C$5+RECURSOS!D36*RECURSOS!$C$6+RECURSOS!E36*RECURSOS!$C$7+RECURSOS!F36*RECURSOS!$C$8+RECURSOS!G36*RECURSOS!$C$9+RECURSOS!H36*RECURSOS!$C$10+RECURSOS!I36*RECURSOS!$C$11+RECURSOS!J36*RECURSOS!$C$12+RECURSOS!K36*RECURSOS!$C$13+RECURSOS!L36*RECURSOS!$C$14+RECURSOS!M36*RECURSOS!$C$15+RECURSOS!N36*RECURSOS!$C$16+RECURSOS!O36*RECURSOS!$C$17</f>
        <v/>
      </c>
      <c r="D8" s="22">
        <f>RECURSOS!P36*RECURSOS!$C$22+RECURSOS!Q36*RECURSOS!$C$23+RECURSOS!R36*RECURSOS!$C$24+RECURSOS!S36*RECURSOS!$C$25+RECURSOS!T36*RECURSOS!$C$26</f>
        <v/>
      </c>
      <c r="E8" s="22">
        <f>RECURSOS!P36*RECURSOS!$D$22+RECURSOS!Q36*RECURSOS!$D$23+RECURSOS!R36*RECURSOS!$D$24+RECURSOS!S36*RECURSOS!$D$25+RECURSOS!T36*RECURSOS!$D$26</f>
        <v/>
      </c>
      <c r="F8" s="22">
        <f>C8+D8+E8</f>
        <v/>
      </c>
      <c r="G8" s="11">
        <f>PARÂMETROS!I21</f>
        <v/>
      </c>
      <c r="H8" s="23">
        <f>G8/4.348</f>
        <v/>
      </c>
      <c r="I8" s="22">
        <f>F8*H8</f>
        <v/>
      </c>
    </row>
    <row r="9">
      <c r="A9" s="14" t="inlineStr">
        <is>
          <t>eap-1_6</t>
        </is>
      </c>
      <c r="B9" s="14" t="inlineStr">
        <is>
          <t xml:space="preserve">Esc/carg/transp 3aCat </t>
        </is>
      </c>
      <c r="C9" s="22">
        <f>RECURSOS!C37*RECURSOS!$C$5+RECURSOS!D37*RECURSOS!$C$6+RECURSOS!E37*RECURSOS!$C$7+RECURSOS!F37*RECURSOS!$C$8+RECURSOS!G37*RECURSOS!$C$9+RECURSOS!H37*RECURSOS!$C$10+RECURSOS!I37*RECURSOS!$C$11+RECURSOS!J37*RECURSOS!$C$12+RECURSOS!K37*RECURSOS!$C$13+RECURSOS!L37*RECURSOS!$C$14+RECURSOS!M37*RECURSOS!$C$15+RECURSOS!N37*RECURSOS!$C$16+RECURSOS!O37*RECURSOS!$C$17</f>
        <v/>
      </c>
      <c r="D9" s="22">
        <f>RECURSOS!P37*RECURSOS!$C$22+RECURSOS!Q37*RECURSOS!$C$23+RECURSOS!R37*RECURSOS!$C$24+RECURSOS!S37*RECURSOS!$C$25+RECURSOS!T37*RECURSOS!$C$26</f>
        <v/>
      </c>
      <c r="E9" s="22">
        <f>RECURSOS!P37*RECURSOS!$D$22+RECURSOS!Q37*RECURSOS!$D$23+RECURSOS!R37*RECURSOS!$D$24+RECURSOS!S37*RECURSOS!$D$25+RECURSOS!T37*RECURSOS!$D$26</f>
        <v/>
      </c>
      <c r="F9" s="22">
        <f>C9+D9+E9</f>
        <v/>
      </c>
      <c r="G9" s="11">
        <f>PARÂMETROS!I22</f>
        <v/>
      </c>
      <c r="H9" s="23">
        <f>G9/4.348</f>
        <v/>
      </c>
      <c r="I9" s="22">
        <f>F9*H9</f>
        <v/>
      </c>
    </row>
    <row r="10">
      <c r="A10" s="14" t="inlineStr">
        <is>
          <t>eap-1_7</t>
        </is>
      </c>
      <c r="B10" s="14" t="inlineStr">
        <is>
          <t>Compactacao aterros 10</t>
        </is>
      </c>
      <c r="C10" s="22">
        <f>RECURSOS!C38*RECURSOS!$C$5+RECURSOS!D38*RECURSOS!$C$6+RECURSOS!E38*RECURSOS!$C$7+RECURSOS!F38*RECURSOS!$C$8+RECURSOS!G38*RECURSOS!$C$9+RECURSOS!H38*RECURSOS!$C$10+RECURSOS!I38*RECURSOS!$C$11+RECURSOS!J38*RECURSOS!$C$12+RECURSOS!K38*RECURSOS!$C$13+RECURSOS!L38*RECURSOS!$C$14+RECURSOS!M38*RECURSOS!$C$15+RECURSOS!N38*RECURSOS!$C$16+RECURSOS!O38*RECURSOS!$C$17</f>
        <v/>
      </c>
      <c r="D10" s="22">
        <f>RECURSOS!P38*RECURSOS!$C$22+RECURSOS!Q38*RECURSOS!$C$23+RECURSOS!R38*RECURSOS!$C$24+RECURSOS!S38*RECURSOS!$C$25+RECURSOS!T38*RECURSOS!$C$26</f>
        <v/>
      </c>
      <c r="E10" s="22">
        <f>RECURSOS!P38*RECURSOS!$D$22+RECURSOS!Q38*RECURSOS!$D$23+RECURSOS!R38*RECURSOS!$D$24+RECURSOS!S38*RECURSOS!$D$25+RECURSOS!T38*RECURSOS!$D$26</f>
        <v/>
      </c>
      <c r="F10" s="22">
        <f>C10+D10+E10</f>
        <v/>
      </c>
      <c r="G10" s="11">
        <f>PARÂMETROS!I23</f>
        <v/>
      </c>
      <c r="H10" s="23">
        <f>G10/4.348</f>
        <v/>
      </c>
      <c r="I10" s="22">
        <f>F10*H10</f>
        <v/>
      </c>
    </row>
    <row r="11">
      <c r="A11" s="14" t="inlineStr">
        <is>
          <t>eap-1_8</t>
        </is>
      </c>
      <c r="B11" s="14" t="inlineStr">
        <is>
          <t>Compactacao aterros 10</t>
        </is>
      </c>
      <c r="C11" s="22">
        <f>RECURSOS!C39*RECURSOS!$C$5+RECURSOS!D39*RECURSOS!$C$6+RECURSOS!E39*RECURSOS!$C$7+RECURSOS!F39*RECURSOS!$C$8+RECURSOS!G39*RECURSOS!$C$9+RECURSOS!H39*RECURSOS!$C$10+RECURSOS!I39*RECURSOS!$C$11+RECURSOS!J39*RECURSOS!$C$12+RECURSOS!K39*RECURSOS!$C$13+RECURSOS!L39*RECURSOS!$C$14+RECURSOS!M39*RECURSOS!$C$15+RECURSOS!N39*RECURSOS!$C$16+RECURSOS!O39*RECURSOS!$C$17</f>
        <v/>
      </c>
      <c r="D11" s="22">
        <f>RECURSOS!P39*RECURSOS!$C$22+RECURSOS!Q39*RECURSOS!$C$23+RECURSOS!R39*RECURSOS!$C$24+RECURSOS!S39*RECURSOS!$C$25+RECURSOS!T39*RECURSOS!$C$26</f>
        <v/>
      </c>
      <c r="E11" s="22">
        <f>RECURSOS!P39*RECURSOS!$D$22+RECURSOS!Q39*RECURSOS!$D$23+RECURSOS!R39*RECURSOS!$D$24+RECURSOS!S39*RECURSOS!$D$25+RECURSOS!T39*RECURSOS!$D$26</f>
        <v/>
      </c>
      <c r="F11" s="22">
        <f>C11+D11+E11</f>
        <v/>
      </c>
      <c r="G11" s="11">
        <f>PARÂMETROS!I24</f>
        <v/>
      </c>
      <c r="H11" s="23">
        <f>G11/4.348</f>
        <v/>
      </c>
      <c r="I11" s="22">
        <f>F11*H11</f>
        <v/>
      </c>
    </row>
    <row r="12">
      <c r="A12" s="14" t="inlineStr">
        <is>
          <t>eap-1_9</t>
        </is>
      </c>
      <c r="B12" s="14" t="inlineStr">
        <is>
          <t>Construcao corpo aterr</t>
        </is>
      </c>
      <c r="C12" s="22">
        <f>RECURSOS!C40*RECURSOS!$C$5+RECURSOS!D40*RECURSOS!$C$6+RECURSOS!E40*RECURSOS!$C$7+RECURSOS!F40*RECURSOS!$C$8+RECURSOS!G40*RECURSOS!$C$9+RECURSOS!H40*RECURSOS!$C$10+RECURSOS!I40*RECURSOS!$C$11+RECURSOS!J40*RECURSOS!$C$12+RECURSOS!K40*RECURSOS!$C$13+RECURSOS!L40*RECURSOS!$C$14+RECURSOS!M40*RECURSOS!$C$15+RECURSOS!N40*RECURSOS!$C$16+RECURSOS!O40*RECURSOS!$C$17</f>
        <v/>
      </c>
      <c r="D12" s="22">
        <f>RECURSOS!P40*RECURSOS!$C$22+RECURSOS!Q40*RECURSOS!$C$23+RECURSOS!R40*RECURSOS!$C$24+RECURSOS!S40*RECURSOS!$C$25+RECURSOS!T40*RECURSOS!$C$26</f>
        <v/>
      </c>
      <c r="E12" s="22">
        <f>RECURSOS!P40*RECURSOS!$D$22+RECURSOS!Q40*RECURSOS!$D$23+RECURSOS!R40*RECURSOS!$D$24+RECURSOS!S40*RECURSOS!$D$25+RECURSOS!T40*RECURSOS!$D$26</f>
        <v/>
      </c>
      <c r="F12" s="22">
        <f>C12+D12+E12</f>
        <v/>
      </c>
      <c r="G12" s="11">
        <f>PARÂMETROS!I25</f>
        <v/>
      </c>
      <c r="H12" s="23">
        <f>G12/4.348</f>
        <v/>
      </c>
      <c r="I12" s="22">
        <f>F12*H12</f>
        <v/>
      </c>
    </row>
    <row r="13">
      <c r="A13" s="14" t="inlineStr">
        <is>
          <t>eap-1_10</t>
        </is>
      </c>
      <c r="B13" s="14" t="inlineStr">
        <is>
          <t>Compactacao camada fin</t>
        </is>
      </c>
      <c r="C13" s="22">
        <f>RECURSOS!C41*RECURSOS!$C$5+RECURSOS!D41*RECURSOS!$C$6+RECURSOS!E41*RECURSOS!$C$7+RECURSOS!F41*RECURSOS!$C$8+RECURSOS!G41*RECURSOS!$C$9+RECURSOS!H41*RECURSOS!$C$10+RECURSOS!I41*RECURSOS!$C$11+RECURSOS!J41*RECURSOS!$C$12+RECURSOS!K41*RECURSOS!$C$13+RECURSOS!L41*RECURSOS!$C$14+RECURSOS!M41*RECURSOS!$C$15+RECURSOS!N41*RECURSOS!$C$16+RECURSOS!O41*RECURSOS!$C$17</f>
        <v/>
      </c>
      <c r="D13" s="22">
        <f>RECURSOS!P41*RECURSOS!$C$22+RECURSOS!Q41*RECURSOS!$C$23+RECURSOS!R41*RECURSOS!$C$24+RECURSOS!S41*RECURSOS!$C$25+RECURSOS!T41*RECURSOS!$C$26</f>
        <v/>
      </c>
      <c r="E13" s="22">
        <f>RECURSOS!P41*RECURSOS!$D$22+RECURSOS!Q41*RECURSOS!$D$23+RECURSOS!R41*RECURSOS!$D$24+RECURSOS!S41*RECURSOS!$D$25+RECURSOS!T41*RECURSOS!$D$26</f>
        <v/>
      </c>
      <c r="F13" s="22">
        <f>C13+D13+E13</f>
        <v/>
      </c>
      <c r="G13" s="11">
        <f>PARÂMETROS!I26</f>
        <v/>
      </c>
      <c r="H13" s="23">
        <f>G13/4.348</f>
        <v/>
      </c>
      <c r="I13" s="22">
        <f>F13*H13</f>
        <v/>
      </c>
    </row>
    <row r="14">
      <c r="A14" s="24" t="inlineStr">
        <is>
          <t>TOTAL</t>
        </is>
      </c>
      <c r="B14" s="25" t="n"/>
      <c r="C14" s="26">
        <f>SUM(C3:C13)</f>
        <v/>
      </c>
      <c r="D14" s="26">
        <f>SUM(D3:D13)</f>
        <v/>
      </c>
      <c r="E14" s="26">
        <f>SUM(E3:E13)</f>
        <v/>
      </c>
      <c r="F14" s="26">
        <f>SUM(F3:F13)</f>
        <v/>
      </c>
      <c r="G14" s="25" t="n"/>
      <c r="H14" s="25" t="n"/>
      <c r="I14" s="26">
        <f>SUM(I3:I13)</f>
        <v/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7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ORÇAMENTO — PREÇOS UNITÁRIOS E SUBTOTAIS (FÓRMULAS)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Quantitativo</t>
        </is>
      </c>
      <c r="E2" s="2" t="inlineStr">
        <is>
          <t>P.U. Diesel</t>
        </is>
      </c>
      <c r="F2" s="2" t="inlineStr">
        <is>
          <t>P.U. MO</t>
        </is>
      </c>
      <c r="G2" s="2" t="inlineStr">
        <is>
          <t>P.U. s/BDI</t>
        </is>
      </c>
      <c r="H2" s="2" t="inlineStr">
        <is>
          <t>P.U. c/BDI</t>
        </is>
      </c>
      <c r="I2" s="2" t="inlineStr">
        <is>
          <t>Subtotal s/BDI</t>
        </is>
      </c>
      <c r="J2" s="2" t="inlineStr">
        <is>
          <t>Subtotal c/BDI</t>
        </is>
      </c>
      <c r="K2" s="2" t="inlineStr">
        <is>
          <t>Δ Cronograma</t>
        </is>
      </c>
    </row>
    <row r="3">
      <c r="A3" s="27">
        <f>PARÂMETROS!A16</f>
        <v/>
      </c>
      <c r="B3" s="27">
        <f>PARÂMETROS!B16</f>
        <v/>
      </c>
      <c r="C3" s="27">
        <f>PARÂMETROS!C16</f>
        <v/>
      </c>
      <c r="D3" s="16">
        <f>PARÂMETROS!D16</f>
        <v/>
      </c>
      <c r="E3" s="28">
        <f>PARÂMETROS!F16</f>
        <v/>
      </c>
      <c r="F3" s="28">
        <f>PARÂMETROS!G16</f>
        <v/>
      </c>
      <c r="G3" s="28">
        <f>E3+F3</f>
        <v/>
      </c>
      <c r="H3" s="28">
        <f>E3*(1+PARÂMETROS!$B$9)+F3*(1+PARÂMETROS!$B$10)</f>
        <v/>
      </c>
      <c r="I3" s="22">
        <f>D3*G3</f>
        <v/>
      </c>
      <c r="J3" s="22">
        <f>D3*H3</f>
        <v/>
      </c>
      <c r="K3" s="29" t="inlineStr">
        <is>
          <t>(ver CRONOGRAMA)</t>
        </is>
      </c>
    </row>
    <row r="4">
      <c r="A4" s="27">
        <f>PARÂMETROS!A17</f>
        <v/>
      </c>
      <c r="B4" s="27">
        <f>PARÂMETROS!B17</f>
        <v/>
      </c>
      <c r="C4" s="27">
        <f>PARÂMETROS!C17</f>
        <v/>
      </c>
      <c r="D4" s="16">
        <f>PARÂMETROS!D17</f>
        <v/>
      </c>
      <c r="E4" s="28">
        <f>PARÂMETROS!F17</f>
        <v/>
      </c>
      <c r="F4" s="28">
        <f>PARÂMETROS!G17</f>
        <v/>
      </c>
      <c r="G4" s="28">
        <f>E4+F4</f>
        <v/>
      </c>
      <c r="H4" s="28">
        <f>E4*(1+PARÂMETROS!$B$9)+F4*(1+PARÂMETROS!$B$10)</f>
        <v/>
      </c>
      <c r="I4" s="22">
        <f>D4*G4</f>
        <v/>
      </c>
      <c r="J4" s="22">
        <f>D4*H4</f>
        <v/>
      </c>
      <c r="K4" s="29" t="inlineStr">
        <is>
          <t>(ver CRONOGRAMA)</t>
        </is>
      </c>
    </row>
    <row r="5">
      <c r="A5" s="27">
        <f>PARÂMETROS!A18</f>
        <v/>
      </c>
      <c r="B5" s="27">
        <f>PARÂMETROS!B18</f>
        <v/>
      </c>
      <c r="C5" s="27">
        <f>PARÂMETROS!C18</f>
        <v/>
      </c>
      <c r="D5" s="16">
        <f>PARÂMETROS!D18</f>
        <v/>
      </c>
      <c r="E5" s="28">
        <f>PARÂMETROS!F18</f>
        <v/>
      </c>
      <c r="F5" s="28">
        <f>PARÂMETROS!G18</f>
        <v/>
      </c>
      <c r="G5" s="28">
        <f>E5+F5</f>
        <v/>
      </c>
      <c r="H5" s="28">
        <f>E5*(1+PARÂMETROS!$B$9)+F5*(1+PARÂMETROS!$B$10)</f>
        <v/>
      </c>
      <c r="I5" s="22">
        <f>D5*G5</f>
        <v/>
      </c>
      <c r="J5" s="22">
        <f>D5*H5</f>
        <v/>
      </c>
      <c r="K5" s="29" t="inlineStr">
        <is>
          <t>(ver CRONOGRAMA)</t>
        </is>
      </c>
    </row>
    <row r="6">
      <c r="A6" s="27">
        <f>PARÂMETROS!A19</f>
        <v/>
      </c>
      <c r="B6" s="27">
        <f>PARÂMETROS!B19</f>
        <v/>
      </c>
      <c r="C6" s="27">
        <f>PARÂMETROS!C19</f>
        <v/>
      </c>
      <c r="D6" s="16">
        <f>PARÂMETROS!D19</f>
        <v/>
      </c>
      <c r="E6" s="28">
        <f>PARÂMETROS!F19</f>
        <v/>
      </c>
      <c r="F6" s="28">
        <f>PARÂMETROS!G19</f>
        <v/>
      </c>
      <c r="G6" s="28">
        <f>E6+F6</f>
        <v/>
      </c>
      <c r="H6" s="28">
        <f>E6*(1+PARÂMETROS!$B$9)+F6*(1+PARÂMETROS!$B$10)</f>
        <v/>
      </c>
      <c r="I6" s="22">
        <f>D6*G6</f>
        <v/>
      </c>
      <c r="J6" s="22">
        <f>D6*H6</f>
        <v/>
      </c>
      <c r="K6" s="29" t="inlineStr">
        <is>
          <t>(ver CRONOGRAMA)</t>
        </is>
      </c>
    </row>
    <row r="7">
      <c r="A7" s="27">
        <f>PARÂMETROS!A20</f>
        <v/>
      </c>
      <c r="B7" s="27">
        <f>PARÂMETROS!B20</f>
        <v/>
      </c>
      <c r="C7" s="27">
        <f>PARÂMETROS!C20</f>
        <v/>
      </c>
      <c r="D7" s="16">
        <f>PARÂMETROS!D20</f>
        <v/>
      </c>
      <c r="E7" s="28">
        <f>PARÂMETROS!F20</f>
        <v/>
      </c>
      <c r="F7" s="28">
        <f>PARÂMETROS!G20</f>
        <v/>
      </c>
      <c r="G7" s="28">
        <f>E7+F7</f>
        <v/>
      </c>
      <c r="H7" s="28">
        <f>E7*(1+PARÂMETROS!$B$9)+F7*(1+PARÂMETROS!$B$10)</f>
        <v/>
      </c>
      <c r="I7" s="22">
        <f>D7*G7</f>
        <v/>
      </c>
      <c r="J7" s="22">
        <f>D7*H7</f>
        <v/>
      </c>
      <c r="K7" s="29" t="inlineStr">
        <is>
          <t>(ver CRONOGRAMA)</t>
        </is>
      </c>
    </row>
    <row r="8">
      <c r="A8" s="27">
        <f>PARÂMETROS!A21</f>
        <v/>
      </c>
      <c r="B8" s="27">
        <f>PARÂMETROS!B21</f>
        <v/>
      </c>
      <c r="C8" s="27">
        <f>PARÂMETROS!C21</f>
        <v/>
      </c>
      <c r="D8" s="16">
        <f>PARÂMETROS!D21</f>
        <v/>
      </c>
      <c r="E8" s="28">
        <f>PARÂMETROS!F21</f>
        <v/>
      </c>
      <c r="F8" s="28">
        <f>PARÂMETROS!G21</f>
        <v/>
      </c>
      <c r="G8" s="28">
        <f>E8+F8</f>
        <v/>
      </c>
      <c r="H8" s="28">
        <f>E8*(1+PARÂMETROS!$B$9)+F8*(1+PARÂMETROS!$B$10)</f>
        <v/>
      </c>
      <c r="I8" s="22">
        <f>D8*G8</f>
        <v/>
      </c>
      <c r="J8" s="22">
        <f>D8*H8</f>
        <v/>
      </c>
      <c r="K8" s="29" t="inlineStr">
        <is>
          <t>(ver CRONOGRAMA)</t>
        </is>
      </c>
    </row>
    <row r="9">
      <c r="A9" s="27">
        <f>PARÂMETROS!A22</f>
        <v/>
      </c>
      <c r="B9" s="27">
        <f>PARÂMETROS!B22</f>
        <v/>
      </c>
      <c r="C9" s="27">
        <f>PARÂMETROS!C22</f>
        <v/>
      </c>
      <c r="D9" s="16">
        <f>PARÂMETROS!D22</f>
        <v/>
      </c>
      <c r="E9" s="28">
        <f>PARÂMETROS!F22</f>
        <v/>
      </c>
      <c r="F9" s="28">
        <f>PARÂMETROS!G22</f>
        <v/>
      </c>
      <c r="G9" s="28">
        <f>E9+F9</f>
        <v/>
      </c>
      <c r="H9" s="28">
        <f>E9*(1+PARÂMETROS!$B$9)+F9*(1+PARÂMETROS!$B$10)</f>
        <v/>
      </c>
      <c r="I9" s="22">
        <f>D9*G9</f>
        <v/>
      </c>
      <c r="J9" s="22">
        <f>D9*H9</f>
        <v/>
      </c>
      <c r="K9" s="29" t="inlineStr">
        <is>
          <t>(ver CRONOGRAMA)</t>
        </is>
      </c>
    </row>
    <row r="10">
      <c r="A10" s="27">
        <f>PARÂMETROS!A23</f>
        <v/>
      </c>
      <c r="B10" s="27">
        <f>PARÂMETROS!B23</f>
        <v/>
      </c>
      <c r="C10" s="27">
        <f>PARÂMETROS!C23</f>
        <v/>
      </c>
      <c r="D10" s="16">
        <f>PARÂMETROS!D23</f>
        <v/>
      </c>
      <c r="E10" s="28">
        <f>PARÂMETROS!F23</f>
        <v/>
      </c>
      <c r="F10" s="28">
        <f>PARÂMETROS!G23</f>
        <v/>
      </c>
      <c r="G10" s="28">
        <f>E10+F10</f>
        <v/>
      </c>
      <c r="H10" s="28">
        <f>E10*(1+PARÂMETROS!$B$9)+F10*(1+PARÂMETROS!$B$10)</f>
        <v/>
      </c>
      <c r="I10" s="22">
        <f>D10*G10</f>
        <v/>
      </c>
      <c r="J10" s="22">
        <f>D10*H10</f>
        <v/>
      </c>
      <c r="K10" s="29" t="inlineStr">
        <is>
          <t>(ver CRONOGRAMA)</t>
        </is>
      </c>
    </row>
    <row r="11">
      <c r="A11" s="27">
        <f>PARÂMETROS!A24</f>
        <v/>
      </c>
      <c r="B11" s="27">
        <f>PARÂMETROS!B24</f>
        <v/>
      </c>
      <c r="C11" s="27">
        <f>PARÂMETROS!C24</f>
        <v/>
      </c>
      <c r="D11" s="16">
        <f>PARÂMETROS!D24</f>
        <v/>
      </c>
      <c r="E11" s="28">
        <f>PARÂMETROS!F24</f>
        <v/>
      </c>
      <c r="F11" s="28">
        <f>PARÂMETROS!G24</f>
        <v/>
      </c>
      <c r="G11" s="28">
        <f>E11+F11</f>
        <v/>
      </c>
      <c r="H11" s="28">
        <f>E11*(1+PARÂMETROS!$B$9)+F11*(1+PARÂMETROS!$B$10)</f>
        <v/>
      </c>
      <c r="I11" s="22">
        <f>D11*G11</f>
        <v/>
      </c>
      <c r="J11" s="22">
        <f>D11*H11</f>
        <v/>
      </c>
      <c r="K11" s="29" t="inlineStr">
        <is>
          <t>(ver CRONOGRAMA)</t>
        </is>
      </c>
    </row>
    <row r="12">
      <c r="A12" s="27">
        <f>PARÂMETROS!A25</f>
        <v/>
      </c>
      <c r="B12" s="27">
        <f>PARÂMETROS!B25</f>
        <v/>
      </c>
      <c r="C12" s="27">
        <f>PARÂMETROS!C25</f>
        <v/>
      </c>
      <c r="D12" s="16">
        <f>PARÂMETROS!D25</f>
        <v/>
      </c>
      <c r="E12" s="28">
        <f>PARÂMETROS!F25</f>
        <v/>
      </c>
      <c r="F12" s="28">
        <f>PARÂMETROS!G25</f>
        <v/>
      </c>
      <c r="G12" s="28">
        <f>E12+F12</f>
        <v/>
      </c>
      <c r="H12" s="28">
        <f>E12*(1+PARÂMETROS!$B$9)+F12*(1+PARÂMETROS!$B$10)</f>
        <v/>
      </c>
      <c r="I12" s="22">
        <f>D12*G12</f>
        <v/>
      </c>
      <c r="J12" s="22">
        <f>D12*H12</f>
        <v/>
      </c>
      <c r="K12" s="29" t="inlineStr">
        <is>
          <t>(ver CRONOGRAMA)</t>
        </is>
      </c>
    </row>
    <row r="13">
      <c r="A13" s="27">
        <f>PARÂMETROS!A26</f>
        <v/>
      </c>
      <c r="B13" s="27">
        <f>PARÂMETROS!B26</f>
        <v/>
      </c>
      <c r="C13" s="27">
        <f>PARÂMETROS!C26</f>
        <v/>
      </c>
      <c r="D13" s="16">
        <f>PARÂMETROS!D26</f>
        <v/>
      </c>
      <c r="E13" s="28">
        <f>PARÂMETROS!F26</f>
        <v/>
      </c>
      <c r="F13" s="28">
        <f>PARÂMETROS!G26</f>
        <v/>
      </c>
      <c r="G13" s="28">
        <f>E13+F13</f>
        <v/>
      </c>
      <c r="H13" s="28">
        <f>E13*(1+PARÂMETROS!$B$9)+F13*(1+PARÂMETROS!$B$10)</f>
        <v/>
      </c>
      <c r="I13" s="22">
        <f>D13*G13</f>
        <v/>
      </c>
      <c r="J13" s="22">
        <f>D13*H13</f>
        <v/>
      </c>
      <c r="K13" s="29" t="inlineStr">
        <is>
          <t>(ver CRONOGRAMA)</t>
        </is>
      </c>
    </row>
    <row r="14">
      <c r="A14" s="24" t="inlineStr">
        <is>
          <t>TOTAL</t>
        </is>
      </c>
      <c r="B14" s="25" t="n"/>
      <c r="C14" s="25" t="n"/>
      <c r="D14" s="25" t="n"/>
      <c r="E14" s="25" t="n"/>
      <c r="F14" s="25" t="n"/>
      <c r="G14" s="25" t="n"/>
      <c r="H14" s="25" t="n"/>
      <c r="I14" s="26">
        <f>SUM(I3:I13)</f>
        <v/>
      </c>
      <c r="J14" s="26">
        <f>SUM(J3:J13)</f>
        <v/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92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4" customWidth="1" min="3" max="3"/>
    <col width="14" customWidth="1" min="4" max="4"/>
    <col width="12" customWidth="1" min="5" max="5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</cols>
  <sheetData>
    <row r="1">
      <c r="A1" s="1" t="inlineStr">
        <is>
          <t>CRONOGRAMA — PRODUÇÃO E COMPLETUDE (E×P×H×D×p_j)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Qtd. planif.</t>
        </is>
      </c>
      <c r="D2" s="2" t="inlineStr">
        <is>
          <t>Qtd. prog. total</t>
        </is>
      </c>
      <c r="E2" s="2" t="inlineStr">
        <is>
          <t>Δ fech. (%)</t>
        </is>
      </c>
      <c r="F2" s="2" t="inlineStr">
        <is>
          <t>Métrica</t>
        </is>
      </c>
      <c r="G2" s="30" t="inlineStr">
        <is>
          <t>2026-W2</t>
        </is>
      </c>
      <c r="H2" s="30" t="inlineStr">
        <is>
          <t>2026-W2</t>
        </is>
      </c>
      <c r="I2" s="30" t="inlineStr">
        <is>
          <t>2026-W2</t>
        </is>
      </c>
      <c r="J2" s="30" t="inlineStr">
        <is>
          <t>2026-W2</t>
        </is>
      </c>
      <c r="K2" s="30" t="inlineStr">
        <is>
          <t>2026-W2</t>
        </is>
      </c>
      <c r="L2" s="30" t="inlineStr">
        <is>
          <t>2026-W2</t>
        </is>
      </c>
      <c r="M2" s="30" t="inlineStr">
        <is>
          <t>2026-W3</t>
        </is>
      </c>
      <c r="N2" s="30" t="inlineStr">
        <is>
          <t>2026-W3</t>
        </is>
      </c>
      <c r="O2" s="30" t="inlineStr">
        <is>
          <t>2026-W3</t>
        </is>
      </c>
      <c r="P2" s="30" t="inlineStr">
        <is>
          <t>2026-W3</t>
        </is>
      </c>
      <c r="Q2" s="30" t="inlineStr">
        <is>
          <t>2026-W3</t>
        </is>
      </c>
      <c r="R2" s="30" t="inlineStr">
        <is>
          <t>2026-W3</t>
        </is>
      </c>
      <c r="S2" s="30" t="inlineStr">
        <is>
          <t>2026-W3</t>
        </is>
      </c>
      <c r="T2" s="30" t="inlineStr">
        <is>
          <t>2026-W3</t>
        </is>
      </c>
      <c r="U2" s="30" t="inlineStr">
        <is>
          <t>2026-W3</t>
        </is>
      </c>
      <c r="V2" s="30" t="inlineStr">
        <is>
          <t>2026-W3</t>
        </is>
      </c>
      <c r="W2" s="30" t="inlineStr">
        <is>
          <t>2026-W4</t>
        </is>
      </c>
      <c r="X2" s="30" t="inlineStr">
        <is>
          <t>2026-W4</t>
        </is>
      </c>
      <c r="Y2" s="30" t="inlineStr">
        <is>
          <t>2026-W4</t>
        </is>
      </c>
      <c r="Z2" s="30" t="inlineStr">
        <is>
          <t>2026-W4</t>
        </is>
      </c>
      <c r="AA2" s="30" t="inlineStr">
        <is>
          <t>2026-W4</t>
        </is>
      </c>
      <c r="AB2" s="30" t="inlineStr">
        <is>
          <t>2026-W4</t>
        </is>
      </c>
      <c r="AC2" s="30" t="inlineStr">
        <is>
          <t>2026-W4</t>
        </is>
      </c>
      <c r="AD2" s="30" t="inlineStr">
        <is>
          <t>2026-W4</t>
        </is>
      </c>
      <c r="AE2" s="30" t="inlineStr">
        <is>
          <t>2026-W4</t>
        </is>
      </c>
      <c r="AF2" s="30" t="inlineStr">
        <is>
          <t>2026-W4</t>
        </is>
      </c>
      <c r="AG2" s="30" t="inlineStr">
        <is>
          <t>2026-W5</t>
        </is>
      </c>
      <c r="AH2" s="30" t="inlineStr">
        <is>
          <t>2026-W5</t>
        </is>
      </c>
      <c r="AI2" s="30" t="inlineStr">
        <is>
          <t>2026-W5</t>
        </is>
      </c>
      <c r="AJ2" s="30" t="inlineStr">
        <is>
          <t>2026-W5</t>
        </is>
      </c>
      <c r="AK2" s="30" t="inlineStr">
        <is>
          <t>2027-W0</t>
        </is>
      </c>
      <c r="AL2" s="30" t="inlineStr">
        <is>
          <t>2027-W0</t>
        </is>
      </c>
      <c r="AM2" s="30" t="inlineStr">
        <is>
          <t>2027-W0</t>
        </is>
      </c>
      <c r="AN2" s="30" t="inlineStr">
        <is>
          <t>2027-W0</t>
        </is>
      </c>
      <c r="AO2" s="30" t="inlineStr">
        <is>
          <t>2027-W0</t>
        </is>
      </c>
      <c r="AP2" s="30" t="inlineStr">
        <is>
          <t>2027-W0</t>
        </is>
      </c>
      <c r="AQ2" s="30" t="inlineStr">
        <is>
          <t>2027-W0</t>
        </is>
      </c>
      <c r="AR2" s="30" t="inlineStr">
        <is>
          <t>2027-W0</t>
        </is>
      </c>
      <c r="AS2" s="30" t="inlineStr">
        <is>
          <t>2027-W0</t>
        </is>
      </c>
      <c r="AT2" s="30" t="inlineStr">
        <is>
          <t>2027-W1</t>
        </is>
      </c>
      <c r="AU2" s="30" t="inlineStr">
        <is>
          <t>2027-W1</t>
        </is>
      </c>
      <c r="AV2" s="30" t="inlineStr">
        <is>
          <t>2027-W1</t>
        </is>
      </c>
      <c r="AW2" s="30" t="inlineStr">
        <is>
          <t>2027-W1</t>
        </is>
      </c>
      <c r="AX2" s="30" t="inlineStr">
        <is>
          <t>2027-W1</t>
        </is>
      </c>
      <c r="AY2" s="30" t="inlineStr">
        <is>
          <t>2027-W1</t>
        </is>
      </c>
      <c r="AZ2" s="30" t="inlineStr">
        <is>
          <t>2027-W1</t>
        </is>
      </c>
      <c r="BA2" s="30" t="inlineStr">
        <is>
          <t>2027-W1</t>
        </is>
      </c>
      <c r="BB2" s="30" t="inlineStr">
        <is>
          <t>2027-W1</t>
        </is>
      </c>
      <c r="BC2" s="30" t="inlineStr">
        <is>
          <t>2027-W1</t>
        </is>
      </c>
      <c r="BD2" s="30" t="inlineStr">
        <is>
          <t>2027-W2</t>
        </is>
      </c>
      <c r="BE2" s="30" t="inlineStr">
        <is>
          <t>2027-W2</t>
        </is>
      </c>
      <c r="BF2" s="30" t="inlineStr">
        <is>
          <t>2027-W2</t>
        </is>
      </c>
    </row>
    <row r="3">
      <c r="A3" s="31" t="inlineStr">
        <is>
          <t>Praticabilidade (p_j)</t>
        </is>
      </c>
      <c r="B3" s="8" t="n"/>
      <c r="C3" s="8" t="n"/>
      <c r="D3" s="8" t="n"/>
      <c r="E3" s="8" t="n"/>
      <c r="F3" s="3" t="n"/>
      <c r="G3" s="32">
        <f>PARÂMETROS!$B$40</f>
        <v/>
      </c>
      <c r="H3" s="32">
        <f>PARÂMETROS!$B$41</f>
        <v/>
      </c>
      <c r="I3" s="32">
        <f>PARÂMETROS!$B$42</f>
        <v/>
      </c>
      <c r="J3" s="32">
        <f>PARÂMETROS!$B$43</f>
        <v/>
      </c>
      <c r="K3" s="32">
        <f>PARÂMETROS!$B$44</f>
        <v/>
      </c>
      <c r="L3" s="32">
        <f>PARÂMETROS!$B$45</f>
        <v/>
      </c>
      <c r="M3" s="32">
        <f>PARÂMETROS!$B$46</f>
        <v/>
      </c>
      <c r="N3" s="32">
        <f>PARÂMETROS!$B$47</f>
        <v/>
      </c>
      <c r="O3" s="32">
        <f>PARÂMETROS!$B$48</f>
        <v/>
      </c>
      <c r="P3" s="32">
        <f>PARÂMETROS!$B$49</f>
        <v/>
      </c>
      <c r="Q3" s="32">
        <f>PARÂMETROS!$B$50</f>
        <v/>
      </c>
      <c r="R3" s="32">
        <f>PARÂMETROS!$B$51</f>
        <v/>
      </c>
      <c r="S3" s="32">
        <f>PARÂMETROS!$B$52</f>
        <v/>
      </c>
      <c r="T3" s="32">
        <f>PARÂMETROS!$B$53</f>
        <v/>
      </c>
      <c r="U3" s="32">
        <f>PARÂMETROS!$B$54</f>
        <v/>
      </c>
      <c r="V3" s="32">
        <f>PARÂMETROS!$B$55</f>
        <v/>
      </c>
      <c r="W3" s="32">
        <f>PARÂMETROS!$B$56</f>
        <v/>
      </c>
      <c r="X3" s="32">
        <f>PARÂMETROS!$B$57</f>
        <v/>
      </c>
      <c r="Y3" s="32">
        <f>PARÂMETROS!$B$58</f>
        <v/>
      </c>
      <c r="Z3" s="32">
        <f>PARÂMETROS!$B$59</f>
        <v/>
      </c>
      <c r="AA3" s="32">
        <f>PARÂMETROS!$B$60</f>
        <v/>
      </c>
      <c r="AB3" s="32">
        <f>PARÂMETROS!$B$61</f>
        <v/>
      </c>
      <c r="AC3" s="32">
        <f>PARÂMETROS!$B$62</f>
        <v/>
      </c>
      <c r="AD3" s="32">
        <f>PARÂMETROS!$B$63</f>
        <v/>
      </c>
      <c r="AE3" s="32">
        <f>PARÂMETROS!$B$64</f>
        <v/>
      </c>
      <c r="AF3" s="32">
        <f>PARÂMETROS!$B$65</f>
        <v/>
      </c>
      <c r="AG3" s="32">
        <f>PARÂMETROS!$B$66</f>
        <v/>
      </c>
      <c r="AH3" s="32">
        <f>PARÂMETROS!$B$67</f>
        <v/>
      </c>
      <c r="AI3" s="32">
        <f>PARÂMETROS!$B$68</f>
        <v/>
      </c>
      <c r="AJ3" s="32">
        <f>PARÂMETROS!$B$69</f>
        <v/>
      </c>
      <c r="AK3" s="32">
        <f>PARÂMETROS!$B$70</f>
        <v/>
      </c>
      <c r="AL3" s="32">
        <f>PARÂMETROS!$B$71</f>
        <v/>
      </c>
      <c r="AM3" s="32">
        <f>PARÂMETROS!$B$72</f>
        <v/>
      </c>
      <c r="AN3" s="32">
        <f>PARÂMETROS!$B$73</f>
        <v/>
      </c>
      <c r="AO3" s="32">
        <f>PARÂMETROS!$B$74</f>
        <v/>
      </c>
      <c r="AP3" s="32">
        <f>PARÂMETROS!$B$75</f>
        <v/>
      </c>
      <c r="AQ3" s="32">
        <f>PARÂMETROS!$B$76</f>
        <v/>
      </c>
      <c r="AR3" s="32">
        <f>PARÂMETROS!$B$77</f>
        <v/>
      </c>
      <c r="AS3" s="32">
        <f>PARÂMETROS!$B$78</f>
        <v/>
      </c>
      <c r="AT3" s="32">
        <f>PARÂMETROS!$B$79</f>
        <v/>
      </c>
      <c r="AU3" s="32">
        <f>PARÂMETROS!$B$80</f>
        <v/>
      </c>
      <c r="AV3" s="32">
        <f>PARÂMETROS!$B$81</f>
        <v/>
      </c>
      <c r="AW3" s="32">
        <f>PARÂMETROS!$B$82</f>
        <v/>
      </c>
      <c r="AX3" s="32">
        <f>PARÂMETROS!$B$83</f>
        <v/>
      </c>
      <c r="AY3" s="32">
        <f>PARÂMETROS!$B$84</f>
        <v/>
      </c>
      <c r="AZ3" s="32">
        <f>PARÂMETROS!$B$85</f>
        <v/>
      </c>
      <c r="BA3" s="32">
        <f>PARÂMETROS!$B$86</f>
        <v/>
      </c>
      <c r="BB3" s="32">
        <f>PARÂMETROS!$B$87</f>
        <v/>
      </c>
      <c r="BC3" s="32">
        <f>PARÂMETROS!$B$88</f>
        <v/>
      </c>
      <c r="BD3" s="32">
        <f>PARÂMETROS!$B$89</f>
        <v/>
      </c>
      <c r="BE3" s="32">
        <f>PARÂMETROS!$B$90</f>
        <v/>
      </c>
      <c r="BF3" s="32">
        <f>PARÂMETROS!$B$91</f>
        <v/>
      </c>
    </row>
    <row r="4">
      <c r="A4" s="14" t="inlineStr">
        <is>
          <t>eap-1_0</t>
        </is>
      </c>
      <c r="B4" s="14" t="inlineStr">
        <is>
          <t>Desmatamento e limpeza de</t>
        </is>
      </c>
      <c r="C4" s="16">
        <f>PARÂMETROS!D16</f>
        <v/>
      </c>
      <c r="D4" s="33">
        <f>SUM(G4:BF4)</f>
        <v/>
      </c>
      <c r="E4" s="34">
        <f>IF(C4&gt;0,(D4-C4)/C4,0)</f>
        <v/>
      </c>
      <c r="F4" s="14" t="inlineStr">
        <is>
          <t>Produção semanal</t>
        </is>
      </c>
      <c r="G4" s="33">
        <f>IFERROR(PARÂMETROS!D95*PARÂMETROS!E16*PARÂMETROS!$B$4*PARÂMETROS!$B$5*PARÂMETROS!$B$40,0)</f>
        <v/>
      </c>
      <c r="H4" s="33">
        <f>IFERROR(PARÂMETROS!E95*PARÂMETROS!E16*PARÂMETROS!$B$4*PARÂMETROS!$B$5*PARÂMETROS!$B$41,0)</f>
        <v/>
      </c>
      <c r="I4" s="33">
        <f>IFERROR(PARÂMETROS!F95*PARÂMETROS!E16*PARÂMETROS!$B$4*PARÂMETROS!$B$5*PARÂMETROS!$B$42,0)</f>
        <v/>
      </c>
      <c r="J4" s="33">
        <f>IFERROR(PARÂMETROS!G95*PARÂMETROS!E16*PARÂMETROS!$B$4*PARÂMETROS!$B$5*PARÂMETROS!$B$43,0)</f>
        <v/>
      </c>
      <c r="K4" s="33">
        <f>IFERROR(PARÂMETROS!H95*PARÂMETROS!E16*PARÂMETROS!$B$4*PARÂMETROS!$B$5*PARÂMETROS!$B$44,0)</f>
        <v/>
      </c>
      <c r="L4" s="33">
        <f>IFERROR(PARÂMETROS!I95*PARÂMETROS!E16*PARÂMETROS!$B$4*PARÂMETROS!$B$5*PARÂMETROS!$B$45,0)</f>
        <v/>
      </c>
      <c r="M4" s="33">
        <f>IFERROR(PARÂMETROS!J95*PARÂMETROS!E16*PARÂMETROS!$B$4*PARÂMETROS!$B$5*PARÂMETROS!$B$46,0)</f>
        <v/>
      </c>
      <c r="N4" s="33">
        <f>IFERROR(PARÂMETROS!K95*PARÂMETROS!E16*PARÂMETROS!$B$4*PARÂMETROS!$B$5*PARÂMETROS!$B$47,0)</f>
        <v/>
      </c>
      <c r="O4" s="33">
        <f>IFERROR(PARÂMETROS!L95*PARÂMETROS!E16*PARÂMETROS!$B$4*PARÂMETROS!$B$5*PARÂMETROS!$B$48,0)</f>
        <v/>
      </c>
      <c r="P4" s="33">
        <f>IFERROR(PARÂMETROS!M95*PARÂMETROS!E16*PARÂMETROS!$B$4*PARÂMETROS!$B$5*PARÂMETROS!$B$49,0)</f>
        <v/>
      </c>
      <c r="Q4" s="33">
        <f>IFERROR(PARÂMETROS!N95*PARÂMETROS!E16*PARÂMETROS!$B$4*PARÂMETROS!$B$5*PARÂMETROS!$B$50,0)</f>
        <v/>
      </c>
      <c r="R4" s="33">
        <f>IFERROR(PARÂMETROS!O95*PARÂMETROS!E16*PARÂMETROS!$B$4*PARÂMETROS!$B$5*PARÂMETROS!$B$51,0)</f>
        <v/>
      </c>
      <c r="S4" s="33">
        <f>IFERROR(PARÂMETROS!P95*PARÂMETROS!E16*PARÂMETROS!$B$4*PARÂMETROS!$B$5*PARÂMETROS!$B$52,0)</f>
        <v/>
      </c>
      <c r="T4" s="33">
        <f>IFERROR(PARÂMETROS!Q95*PARÂMETROS!E16*PARÂMETROS!$B$4*PARÂMETROS!$B$5*PARÂMETROS!$B$53,0)</f>
        <v/>
      </c>
      <c r="U4" s="33">
        <f>IFERROR(PARÂMETROS!R95*PARÂMETROS!E16*PARÂMETROS!$B$4*PARÂMETROS!$B$5*PARÂMETROS!$B$54,0)</f>
        <v/>
      </c>
      <c r="V4" s="33">
        <f>IFERROR(PARÂMETROS!S95*PARÂMETROS!E16*PARÂMETROS!$B$4*PARÂMETROS!$B$5*PARÂMETROS!$B$55,0)</f>
        <v/>
      </c>
      <c r="W4" s="33">
        <f>IFERROR(PARÂMETROS!T95*PARÂMETROS!E16*PARÂMETROS!$B$4*PARÂMETROS!$B$5*PARÂMETROS!$B$56,0)</f>
        <v/>
      </c>
      <c r="X4" s="33">
        <f>IFERROR(PARÂMETROS!U95*PARÂMETROS!E16*PARÂMETROS!$B$4*PARÂMETROS!$B$5*PARÂMETROS!$B$57,0)</f>
        <v/>
      </c>
      <c r="Y4" s="33">
        <f>IFERROR(PARÂMETROS!V95*PARÂMETROS!E16*PARÂMETROS!$B$4*PARÂMETROS!$B$5*PARÂMETROS!$B$58,0)</f>
        <v/>
      </c>
      <c r="Z4" s="33">
        <f>IFERROR(PARÂMETROS!W95*PARÂMETROS!E16*PARÂMETROS!$B$4*PARÂMETROS!$B$5*PARÂMETROS!$B$59,0)</f>
        <v/>
      </c>
      <c r="AA4" s="33">
        <f>IFERROR(PARÂMETROS!X95*PARÂMETROS!E16*PARÂMETROS!$B$4*PARÂMETROS!$B$5*PARÂMETROS!$B$60,0)</f>
        <v/>
      </c>
      <c r="AB4" s="33">
        <f>IFERROR(PARÂMETROS!Y95*PARÂMETROS!E16*PARÂMETROS!$B$4*PARÂMETROS!$B$5*PARÂMETROS!$B$61,0)</f>
        <v/>
      </c>
      <c r="AC4" s="33">
        <f>IFERROR(PARÂMETROS!Z95*PARÂMETROS!E16*PARÂMETROS!$B$4*PARÂMETROS!$B$5*PARÂMETROS!$B$62,0)</f>
        <v/>
      </c>
      <c r="AD4" s="33">
        <f>IFERROR(PARÂMETROS!AA95*PARÂMETROS!E16*PARÂMETROS!$B$4*PARÂMETROS!$B$5*PARÂMETROS!$B$63,0)</f>
        <v/>
      </c>
      <c r="AE4" s="33">
        <f>IFERROR(PARÂMETROS!AB95*PARÂMETROS!E16*PARÂMETROS!$B$4*PARÂMETROS!$B$5*PARÂMETROS!$B$64,0)</f>
        <v/>
      </c>
      <c r="AF4" s="33">
        <f>IFERROR(PARÂMETROS!AC95*PARÂMETROS!E16*PARÂMETROS!$B$4*PARÂMETROS!$B$5*PARÂMETROS!$B$65,0)</f>
        <v/>
      </c>
      <c r="AG4" s="33">
        <f>IFERROR(PARÂMETROS!AD95*PARÂMETROS!E16*PARÂMETROS!$B$4*PARÂMETROS!$B$5*PARÂMETROS!$B$66,0)</f>
        <v/>
      </c>
      <c r="AH4" s="33">
        <f>IFERROR(PARÂMETROS!AE95*PARÂMETROS!E16*PARÂMETROS!$B$4*PARÂMETROS!$B$5*PARÂMETROS!$B$67,0)</f>
        <v/>
      </c>
      <c r="AI4" s="33">
        <f>IFERROR(PARÂMETROS!AF95*PARÂMETROS!E16*PARÂMETROS!$B$4*PARÂMETROS!$B$5*PARÂMETROS!$B$68,0)</f>
        <v/>
      </c>
      <c r="AJ4" s="33">
        <f>IFERROR(PARÂMETROS!AG95*PARÂMETROS!E16*PARÂMETROS!$B$4*PARÂMETROS!$B$5*PARÂMETROS!$B$69,0)</f>
        <v/>
      </c>
      <c r="AK4" s="33">
        <f>IFERROR(PARÂMETROS!AH95*PARÂMETROS!E16*PARÂMETROS!$B$4*PARÂMETROS!$B$5*PARÂMETROS!$B$70,0)</f>
        <v/>
      </c>
      <c r="AL4" s="33">
        <f>IFERROR(PARÂMETROS!AI95*PARÂMETROS!E16*PARÂMETROS!$B$4*PARÂMETROS!$B$5*PARÂMETROS!$B$71,0)</f>
        <v/>
      </c>
      <c r="AM4" s="33">
        <f>IFERROR(PARÂMETROS!AJ95*PARÂMETROS!E16*PARÂMETROS!$B$4*PARÂMETROS!$B$5*PARÂMETROS!$B$72,0)</f>
        <v/>
      </c>
      <c r="AN4" s="33">
        <f>IFERROR(PARÂMETROS!AK95*PARÂMETROS!E16*PARÂMETROS!$B$4*PARÂMETROS!$B$5*PARÂMETROS!$B$73,0)</f>
        <v/>
      </c>
      <c r="AO4" s="33">
        <f>IFERROR(PARÂMETROS!AL95*PARÂMETROS!E16*PARÂMETROS!$B$4*PARÂMETROS!$B$5*PARÂMETROS!$B$74,0)</f>
        <v/>
      </c>
      <c r="AP4" s="33">
        <f>IFERROR(PARÂMETROS!AM95*PARÂMETROS!E16*PARÂMETROS!$B$4*PARÂMETROS!$B$5*PARÂMETROS!$B$75,0)</f>
        <v/>
      </c>
      <c r="AQ4" s="33">
        <f>IFERROR(PARÂMETROS!AN95*PARÂMETROS!E16*PARÂMETROS!$B$4*PARÂMETROS!$B$5*PARÂMETROS!$B$76,0)</f>
        <v/>
      </c>
      <c r="AR4" s="33">
        <f>IFERROR(PARÂMETROS!AO95*PARÂMETROS!E16*PARÂMETROS!$B$4*PARÂMETROS!$B$5*PARÂMETROS!$B$77,0)</f>
        <v/>
      </c>
      <c r="AS4" s="33">
        <f>IFERROR(PARÂMETROS!AP95*PARÂMETROS!E16*PARÂMETROS!$B$4*PARÂMETROS!$B$5*PARÂMETROS!$B$78,0)</f>
        <v/>
      </c>
      <c r="AT4" s="33">
        <f>IFERROR(PARÂMETROS!AQ95*PARÂMETROS!E16*PARÂMETROS!$B$4*PARÂMETROS!$B$5*PARÂMETROS!$B$79,0)</f>
        <v/>
      </c>
      <c r="AU4" s="33">
        <f>IFERROR(PARÂMETROS!AR95*PARÂMETROS!E16*PARÂMETROS!$B$4*PARÂMETROS!$B$5*PARÂMETROS!$B$80,0)</f>
        <v/>
      </c>
      <c r="AV4" s="33">
        <f>IFERROR(PARÂMETROS!AS95*PARÂMETROS!E16*PARÂMETROS!$B$4*PARÂMETROS!$B$5*PARÂMETROS!$B$81,0)</f>
        <v/>
      </c>
      <c r="AW4" s="33">
        <f>IFERROR(PARÂMETROS!AT95*PARÂMETROS!E16*PARÂMETROS!$B$4*PARÂMETROS!$B$5*PARÂMETROS!$B$82,0)</f>
        <v/>
      </c>
      <c r="AX4" s="33">
        <f>IFERROR(PARÂMETROS!AU95*PARÂMETROS!E16*PARÂMETROS!$B$4*PARÂMETROS!$B$5*PARÂMETROS!$B$83,0)</f>
        <v/>
      </c>
      <c r="AY4" s="33">
        <f>IFERROR(PARÂMETROS!AV95*PARÂMETROS!E16*PARÂMETROS!$B$4*PARÂMETROS!$B$5*PARÂMETROS!$B$84,0)</f>
        <v/>
      </c>
      <c r="AZ4" s="33">
        <f>IFERROR(PARÂMETROS!AW95*PARÂMETROS!E16*PARÂMETROS!$B$4*PARÂMETROS!$B$5*PARÂMETROS!$B$85,0)</f>
        <v/>
      </c>
      <c r="BA4" s="33">
        <f>IFERROR(PARÂMETROS!AX95*PARÂMETROS!E16*PARÂMETROS!$B$4*PARÂMETROS!$B$5*PARÂMETROS!$B$86,0)</f>
        <v/>
      </c>
      <c r="BB4" s="33">
        <f>IFERROR(PARÂMETROS!AY95*PARÂMETROS!E16*PARÂMETROS!$B$4*PARÂMETROS!$B$5*PARÂMETROS!$B$87,0)</f>
        <v/>
      </c>
      <c r="BC4" s="33">
        <f>IFERROR(PARÂMETROS!AZ95*PARÂMETROS!E16*PARÂMETROS!$B$4*PARÂMETROS!$B$5*PARÂMETROS!$B$88,0)</f>
        <v/>
      </c>
      <c r="BD4" s="33">
        <f>IFERROR(PARÂMETROS!BA95*PARÂMETROS!E16*PARÂMETROS!$B$4*PARÂMETROS!$B$5*PARÂMETROS!$B$89,0)</f>
        <v/>
      </c>
      <c r="BE4" s="33">
        <f>IFERROR(PARÂMETROS!BB95*PARÂMETROS!E16*PARÂMETROS!$B$4*PARÂMETROS!$B$5*PARÂMETROS!$B$90,0)</f>
        <v/>
      </c>
      <c r="BF4" s="33">
        <f>IFERROR(PARÂMETROS!BC95*PARÂMETROS!E16*PARÂMETROS!$B$4*PARÂMETROS!$B$5*PARÂMETROS!$B$91,0)</f>
        <v/>
      </c>
    </row>
    <row r="5">
      <c r="A5" s="14" t="inlineStr"/>
      <c r="B5" s="14" t="inlineStr"/>
      <c r="C5" s="35" t="n"/>
      <c r="D5" s="35" t="n"/>
      <c r="E5" s="35" t="n"/>
      <c r="F5" s="14" t="inlineStr">
        <is>
          <t>Acumulado</t>
        </is>
      </c>
      <c r="G5" s="33">
        <f>G4</f>
        <v/>
      </c>
      <c r="H5" s="33">
        <f>G5+H4</f>
        <v/>
      </c>
      <c r="I5" s="33">
        <f>H5+I4</f>
        <v/>
      </c>
      <c r="J5" s="33">
        <f>I5+J4</f>
        <v/>
      </c>
      <c r="K5" s="33">
        <f>J5+K4</f>
        <v/>
      </c>
      <c r="L5" s="33">
        <f>K5+L4</f>
        <v/>
      </c>
      <c r="M5" s="33">
        <f>L5+M4</f>
        <v/>
      </c>
      <c r="N5" s="33">
        <f>M5+N4</f>
        <v/>
      </c>
      <c r="O5" s="33">
        <f>N5+O4</f>
        <v/>
      </c>
      <c r="P5" s="33">
        <f>O5+P4</f>
        <v/>
      </c>
      <c r="Q5" s="33">
        <f>P5+Q4</f>
        <v/>
      </c>
      <c r="R5" s="33">
        <f>Q5+R4</f>
        <v/>
      </c>
      <c r="S5" s="33">
        <f>R5+S4</f>
        <v/>
      </c>
      <c r="T5" s="33">
        <f>S5+T4</f>
        <v/>
      </c>
      <c r="U5" s="33">
        <f>T5+U4</f>
        <v/>
      </c>
      <c r="V5" s="33">
        <f>U5+V4</f>
        <v/>
      </c>
      <c r="W5" s="33">
        <f>V5+W4</f>
        <v/>
      </c>
      <c r="X5" s="33">
        <f>W5+X4</f>
        <v/>
      </c>
      <c r="Y5" s="33">
        <f>X5+Y4</f>
        <v/>
      </c>
      <c r="Z5" s="33">
        <f>Y5+Z4</f>
        <v/>
      </c>
      <c r="AA5" s="33">
        <f>Z5+AA4</f>
        <v/>
      </c>
      <c r="AB5" s="33">
        <f>AA5+AB4</f>
        <v/>
      </c>
      <c r="AC5" s="33">
        <f>AB5+AC4</f>
        <v/>
      </c>
      <c r="AD5" s="33">
        <f>AC5+AD4</f>
        <v/>
      </c>
      <c r="AE5" s="33">
        <f>AD5+AE4</f>
        <v/>
      </c>
      <c r="AF5" s="33">
        <f>AE5+AF4</f>
        <v/>
      </c>
      <c r="AG5" s="33">
        <f>AF5+AG4</f>
        <v/>
      </c>
      <c r="AH5" s="33">
        <f>AG5+AH4</f>
        <v/>
      </c>
      <c r="AI5" s="33">
        <f>AH5+AI4</f>
        <v/>
      </c>
      <c r="AJ5" s="33">
        <f>AI5+AJ4</f>
        <v/>
      </c>
      <c r="AK5" s="33">
        <f>AJ5+AK4</f>
        <v/>
      </c>
      <c r="AL5" s="33">
        <f>AK5+AL4</f>
        <v/>
      </c>
      <c r="AM5" s="33">
        <f>AL5+AM4</f>
        <v/>
      </c>
      <c r="AN5" s="33">
        <f>AM5+AN4</f>
        <v/>
      </c>
      <c r="AO5" s="33">
        <f>AN5+AO4</f>
        <v/>
      </c>
      <c r="AP5" s="33">
        <f>AO5+AP4</f>
        <v/>
      </c>
      <c r="AQ5" s="33">
        <f>AP5+AQ4</f>
        <v/>
      </c>
      <c r="AR5" s="33">
        <f>AQ5+AR4</f>
        <v/>
      </c>
      <c r="AS5" s="33">
        <f>AR5+AS4</f>
        <v/>
      </c>
      <c r="AT5" s="33">
        <f>AS5+AT4</f>
        <v/>
      </c>
      <c r="AU5" s="33">
        <f>AT5+AU4</f>
        <v/>
      </c>
      <c r="AV5" s="33">
        <f>AU5+AV4</f>
        <v/>
      </c>
      <c r="AW5" s="33">
        <f>AV5+AW4</f>
        <v/>
      </c>
      <c r="AX5" s="33">
        <f>AW5+AX4</f>
        <v/>
      </c>
      <c r="AY5" s="33">
        <f>AX5+AY4</f>
        <v/>
      </c>
      <c r="AZ5" s="33">
        <f>AY5+AZ4</f>
        <v/>
      </c>
      <c r="BA5" s="33">
        <f>AZ5+BA4</f>
        <v/>
      </c>
      <c r="BB5" s="33">
        <f>BA5+BB4</f>
        <v/>
      </c>
      <c r="BC5" s="33">
        <f>BB5+BC4</f>
        <v/>
      </c>
      <c r="BD5" s="33">
        <f>BC5+BD4</f>
        <v/>
      </c>
      <c r="BE5" s="33">
        <f>BD5+BE4</f>
        <v/>
      </c>
      <c r="BF5" s="33">
        <f>BE5+BF4</f>
        <v/>
      </c>
    </row>
    <row r="6">
      <c r="A6" s="14" t="inlineStr"/>
      <c r="B6" s="14" t="inlineStr"/>
      <c r="C6" s="35" t="n"/>
      <c r="D6" s="35" t="n"/>
      <c r="E6" s="35" t="n"/>
      <c r="F6" s="14" t="inlineStr">
        <is>
          <t>% Completude</t>
        </is>
      </c>
      <c r="G6" s="34">
        <f>IF(PARÂMETROS!D16&gt;0,G5/PARÂMETROS!D16,0)</f>
        <v/>
      </c>
      <c r="H6" s="34">
        <f>IF(PARÂMETROS!D16&gt;0,H5/PARÂMETROS!D16,0)</f>
        <v/>
      </c>
      <c r="I6" s="34">
        <f>IF(PARÂMETROS!D16&gt;0,I5/PARÂMETROS!D16,0)</f>
        <v/>
      </c>
      <c r="J6" s="34">
        <f>IF(PARÂMETROS!D16&gt;0,J5/PARÂMETROS!D16,0)</f>
        <v/>
      </c>
      <c r="K6" s="34">
        <f>IF(PARÂMETROS!D16&gt;0,K5/PARÂMETROS!D16,0)</f>
        <v/>
      </c>
      <c r="L6" s="34">
        <f>IF(PARÂMETROS!D16&gt;0,L5/PARÂMETROS!D16,0)</f>
        <v/>
      </c>
      <c r="M6" s="34">
        <f>IF(PARÂMETROS!D16&gt;0,M5/PARÂMETROS!D16,0)</f>
        <v/>
      </c>
      <c r="N6" s="34">
        <f>IF(PARÂMETROS!D16&gt;0,N5/PARÂMETROS!D16,0)</f>
        <v/>
      </c>
      <c r="O6" s="34">
        <f>IF(PARÂMETROS!D16&gt;0,O5/PARÂMETROS!D16,0)</f>
        <v/>
      </c>
      <c r="P6" s="34">
        <f>IF(PARÂMETROS!D16&gt;0,P5/PARÂMETROS!D16,0)</f>
        <v/>
      </c>
      <c r="Q6" s="34">
        <f>IF(PARÂMETROS!D16&gt;0,Q5/PARÂMETROS!D16,0)</f>
        <v/>
      </c>
      <c r="R6" s="34">
        <f>IF(PARÂMETROS!D16&gt;0,R5/PARÂMETROS!D16,0)</f>
        <v/>
      </c>
      <c r="S6" s="34">
        <f>IF(PARÂMETROS!D16&gt;0,S5/PARÂMETROS!D16,0)</f>
        <v/>
      </c>
      <c r="T6" s="34">
        <f>IF(PARÂMETROS!D16&gt;0,T5/PARÂMETROS!D16,0)</f>
        <v/>
      </c>
      <c r="U6" s="34">
        <f>IF(PARÂMETROS!D16&gt;0,U5/PARÂMETROS!D16,0)</f>
        <v/>
      </c>
      <c r="V6" s="34">
        <f>IF(PARÂMETROS!D16&gt;0,V5/PARÂMETROS!D16,0)</f>
        <v/>
      </c>
      <c r="W6" s="34">
        <f>IF(PARÂMETROS!D16&gt;0,W5/PARÂMETROS!D16,0)</f>
        <v/>
      </c>
      <c r="X6" s="34">
        <f>IF(PARÂMETROS!D16&gt;0,X5/PARÂMETROS!D16,0)</f>
        <v/>
      </c>
      <c r="Y6" s="34">
        <f>IF(PARÂMETROS!D16&gt;0,Y5/PARÂMETROS!D16,0)</f>
        <v/>
      </c>
      <c r="Z6" s="34">
        <f>IF(PARÂMETROS!D16&gt;0,Z5/PARÂMETROS!D16,0)</f>
        <v/>
      </c>
      <c r="AA6" s="34">
        <f>IF(PARÂMETROS!D16&gt;0,AA5/PARÂMETROS!D16,0)</f>
        <v/>
      </c>
      <c r="AB6" s="34">
        <f>IF(PARÂMETROS!D16&gt;0,AB5/PARÂMETROS!D16,0)</f>
        <v/>
      </c>
      <c r="AC6" s="34">
        <f>IF(PARÂMETROS!D16&gt;0,AC5/PARÂMETROS!D16,0)</f>
        <v/>
      </c>
      <c r="AD6" s="34">
        <f>IF(PARÂMETROS!D16&gt;0,AD5/PARÂMETROS!D16,0)</f>
        <v/>
      </c>
      <c r="AE6" s="34">
        <f>IF(PARÂMETROS!D16&gt;0,AE5/PARÂMETROS!D16,0)</f>
        <v/>
      </c>
      <c r="AF6" s="34">
        <f>IF(PARÂMETROS!D16&gt;0,AF5/PARÂMETROS!D16,0)</f>
        <v/>
      </c>
      <c r="AG6" s="34">
        <f>IF(PARÂMETROS!D16&gt;0,AG5/PARÂMETROS!D16,0)</f>
        <v/>
      </c>
      <c r="AH6" s="34">
        <f>IF(PARÂMETROS!D16&gt;0,AH5/PARÂMETROS!D16,0)</f>
        <v/>
      </c>
      <c r="AI6" s="34">
        <f>IF(PARÂMETROS!D16&gt;0,AI5/PARÂMETROS!D16,0)</f>
        <v/>
      </c>
      <c r="AJ6" s="34">
        <f>IF(PARÂMETROS!D16&gt;0,AJ5/PARÂMETROS!D16,0)</f>
        <v/>
      </c>
      <c r="AK6" s="34">
        <f>IF(PARÂMETROS!D16&gt;0,AK5/PARÂMETROS!D16,0)</f>
        <v/>
      </c>
      <c r="AL6" s="34">
        <f>IF(PARÂMETROS!D16&gt;0,AL5/PARÂMETROS!D16,0)</f>
        <v/>
      </c>
      <c r="AM6" s="34">
        <f>IF(PARÂMETROS!D16&gt;0,AM5/PARÂMETROS!D16,0)</f>
        <v/>
      </c>
      <c r="AN6" s="34">
        <f>IF(PARÂMETROS!D16&gt;0,AN5/PARÂMETROS!D16,0)</f>
        <v/>
      </c>
      <c r="AO6" s="34">
        <f>IF(PARÂMETROS!D16&gt;0,AO5/PARÂMETROS!D16,0)</f>
        <v/>
      </c>
      <c r="AP6" s="34">
        <f>IF(PARÂMETROS!D16&gt;0,AP5/PARÂMETROS!D16,0)</f>
        <v/>
      </c>
      <c r="AQ6" s="34">
        <f>IF(PARÂMETROS!D16&gt;0,AQ5/PARÂMETROS!D16,0)</f>
        <v/>
      </c>
      <c r="AR6" s="34">
        <f>IF(PARÂMETROS!D16&gt;0,AR5/PARÂMETROS!D16,0)</f>
        <v/>
      </c>
      <c r="AS6" s="34">
        <f>IF(PARÂMETROS!D16&gt;0,AS5/PARÂMETROS!D16,0)</f>
        <v/>
      </c>
      <c r="AT6" s="34">
        <f>IF(PARÂMETROS!D16&gt;0,AT5/PARÂMETROS!D16,0)</f>
        <v/>
      </c>
      <c r="AU6" s="34">
        <f>IF(PARÂMETROS!D16&gt;0,AU5/PARÂMETROS!D16,0)</f>
        <v/>
      </c>
      <c r="AV6" s="34">
        <f>IF(PARÂMETROS!D16&gt;0,AV5/PARÂMETROS!D16,0)</f>
        <v/>
      </c>
      <c r="AW6" s="34">
        <f>IF(PARÂMETROS!D16&gt;0,AW5/PARÂMETROS!D16,0)</f>
        <v/>
      </c>
      <c r="AX6" s="34">
        <f>IF(PARÂMETROS!D16&gt;0,AX5/PARÂMETROS!D16,0)</f>
        <v/>
      </c>
      <c r="AY6" s="34">
        <f>IF(PARÂMETROS!D16&gt;0,AY5/PARÂMETROS!D16,0)</f>
        <v/>
      </c>
      <c r="AZ6" s="34">
        <f>IF(PARÂMETROS!D16&gt;0,AZ5/PARÂMETROS!D16,0)</f>
        <v/>
      </c>
      <c r="BA6" s="34">
        <f>IF(PARÂMETROS!D16&gt;0,BA5/PARÂMETROS!D16,0)</f>
        <v/>
      </c>
      <c r="BB6" s="34">
        <f>IF(PARÂMETROS!D16&gt;0,BB5/PARÂMETROS!D16,0)</f>
        <v/>
      </c>
      <c r="BC6" s="34">
        <f>IF(PARÂMETROS!D16&gt;0,BC5/PARÂMETROS!D16,0)</f>
        <v/>
      </c>
      <c r="BD6" s="34">
        <f>IF(PARÂMETROS!D16&gt;0,BD5/PARÂMETROS!D16,0)</f>
        <v/>
      </c>
      <c r="BE6" s="34">
        <f>IF(PARÂMETROS!D16&gt;0,BE5/PARÂMETROS!D16,0)</f>
        <v/>
      </c>
      <c r="BF6" s="34">
        <f>IF(PARÂMETROS!D16&gt;0,BF5/PARÂMETROS!D16,0)</f>
        <v/>
      </c>
    </row>
    <row r="7">
      <c r="A7" s="14" t="inlineStr">
        <is>
          <t>eap-1_1</t>
        </is>
      </c>
      <c r="B7" s="14" t="inlineStr">
        <is>
          <t>Esc/carg/transp 1aCat DMT</t>
        </is>
      </c>
      <c r="C7" s="16">
        <f>PARÂMETROS!D17</f>
        <v/>
      </c>
      <c r="D7" s="33">
        <f>SUM(G7:BF7)</f>
        <v/>
      </c>
      <c r="E7" s="34">
        <f>IF(C7&gt;0,(D7-C7)/C7,0)</f>
        <v/>
      </c>
      <c r="F7" s="14" t="inlineStr">
        <is>
          <t>Produção semanal</t>
        </is>
      </c>
      <c r="G7" s="33">
        <f>IFERROR(PARÂMETROS!D96*PARÂMETROS!E17*PARÂMETROS!$B$4*PARÂMETROS!$B$5*PARÂMETROS!$B$40,0)</f>
        <v/>
      </c>
      <c r="H7" s="33">
        <f>IFERROR(PARÂMETROS!E96*PARÂMETROS!E17*PARÂMETROS!$B$4*PARÂMETROS!$B$5*PARÂMETROS!$B$41,0)</f>
        <v/>
      </c>
      <c r="I7" s="33">
        <f>IFERROR(PARÂMETROS!F96*PARÂMETROS!E17*PARÂMETROS!$B$4*PARÂMETROS!$B$5*PARÂMETROS!$B$42,0)</f>
        <v/>
      </c>
      <c r="J7" s="33">
        <f>IFERROR(PARÂMETROS!G96*PARÂMETROS!E17*PARÂMETROS!$B$4*PARÂMETROS!$B$5*PARÂMETROS!$B$43,0)</f>
        <v/>
      </c>
      <c r="K7" s="33">
        <f>IFERROR(PARÂMETROS!H96*PARÂMETROS!E17*PARÂMETROS!$B$4*PARÂMETROS!$B$5*PARÂMETROS!$B$44,0)</f>
        <v/>
      </c>
      <c r="L7" s="33">
        <f>IFERROR(PARÂMETROS!I96*PARÂMETROS!E17*PARÂMETROS!$B$4*PARÂMETROS!$B$5*PARÂMETROS!$B$45,0)</f>
        <v/>
      </c>
      <c r="M7" s="33">
        <f>IFERROR(PARÂMETROS!J96*PARÂMETROS!E17*PARÂMETROS!$B$4*PARÂMETROS!$B$5*PARÂMETROS!$B$46,0)</f>
        <v/>
      </c>
      <c r="N7" s="33">
        <f>IFERROR(PARÂMETROS!K96*PARÂMETROS!E17*PARÂMETROS!$B$4*PARÂMETROS!$B$5*PARÂMETROS!$B$47,0)</f>
        <v/>
      </c>
      <c r="O7" s="33">
        <f>IFERROR(PARÂMETROS!L96*PARÂMETROS!E17*PARÂMETROS!$B$4*PARÂMETROS!$B$5*PARÂMETROS!$B$48,0)</f>
        <v/>
      </c>
      <c r="P7" s="33">
        <f>IFERROR(PARÂMETROS!M96*PARÂMETROS!E17*PARÂMETROS!$B$4*PARÂMETROS!$B$5*PARÂMETROS!$B$49,0)</f>
        <v/>
      </c>
      <c r="Q7" s="33">
        <f>IFERROR(PARÂMETROS!N96*PARÂMETROS!E17*PARÂMETROS!$B$4*PARÂMETROS!$B$5*PARÂMETROS!$B$50,0)</f>
        <v/>
      </c>
      <c r="R7" s="33">
        <f>IFERROR(PARÂMETROS!O96*PARÂMETROS!E17*PARÂMETROS!$B$4*PARÂMETROS!$B$5*PARÂMETROS!$B$51,0)</f>
        <v/>
      </c>
      <c r="S7" s="33">
        <f>IFERROR(PARÂMETROS!P96*PARÂMETROS!E17*PARÂMETROS!$B$4*PARÂMETROS!$B$5*PARÂMETROS!$B$52,0)</f>
        <v/>
      </c>
      <c r="T7" s="33">
        <f>IFERROR(PARÂMETROS!Q96*PARÂMETROS!E17*PARÂMETROS!$B$4*PARÂMETROS!$B$5*PARÂMETROS!$B$53,0)</f>
        <v/>
      </c>
      <c r="U7" s="33">
        <f>IFERROR(PARÂMETROS!R96*PARÂMETROS!E17*PARÂMETROS!$B$4*PARÂMETROS!$B$5*PARÂMETROS!$B$54,0)</f>
        <v/>
      </c>
      <c r="V7" s="33">
        <f>IFERROR(PARÂMETROS!S96*PARÂMETROS!E17*PARÂMETROS!$B$4*PARÂMETROS!$B$5*PARÂMETROS!$B$55,0)</f>
        <v/>
      </c>
      <c r="W7" s="33">
        <f>IFERROR(PARÂMETROS!T96*PARÂMETROS!E17*PARÂMETROS!$B$4*PARÂMETROS!$B$5*PARÂMETROS!$B$56,0)</f>
        <v/>
      </c>
      <c r="X7" s="33">
        <f>IFERROR(PARÂMETROS!U96*PARÂMETROS!E17*PARÂMETROS!$B$4*PARÂMETROS!$B$5*PARÂMETROS!$B$57,0)</f>
        <v/>
      </c>
      <c r="Y7" s="33">
        <f>IFERROR(PARÂMETROS!V96*PARÂMETROS!E17*PARÂMETROS!$B$4*PARÂMETROS!$B$5*PARÂMETROS!$B$58,0)</f>
        <v/>
      </c>
      <c r="Z7" s="33">
        <f>IFERROR(PARÂMETROS!W96*PARÂMETROS!E17*PARÂMETROS!$B$4*PARÂMETROS!$B$5*PARÂMETROS!$B$59,0)</f>
        <v/>
      </c>
      <c r="AA7" s="33">
        <f>IFERROR(PARÂMETROS!X96*PARÂMETROS!E17*PARÂMETROS!$B$4*PARÂMETROS!$B$5*PARÂMETROS!$B$60,0)</f>
        <v/>
      </c>
      <c r="AB7" s="33">
        <f>IFERROR(PARÂMETROS!Y96*PARÂMETROS!E17*PARÂMETROS!$B$4*PARÂMETROS!$B$5*PARÂMETROS!$B$61,0)</f>
        <v/>
      </c>
      <c r="AC7" s="33">
        <f>IFERROR(PARÂMETROS!Z96*PARÂMETROS!E17*PARÂMETROS!$B$4*PARÂMETROS!$B$5*PARÂMETROS!$B$62,0)</f>
        <v/>
      </c>
      <c r="AD7" s="33">
        <f>IFERROR(PARÂMETROS!AA96*PARÂMETROS!E17*PARÂMETROS!$B$4*PARÂMETROS!$B$5*PARÂMETROS!$B$63,0)</f>
        <v/>
      </c>
      <c r="AE7" s="33">
        <f>IFERROR(PARÂMETROS!AB96*PARÂMETROS!E17*PARÂMETROS!$B$4*PARÂMETROS!$B$5*PARÂMETROS!$B$64,0)</f>
        <v/>
      </c>
      <c r="AF7" s="33">
        <f>IFERROR(PARÂMETROS!AC96*PARÂMETROS!E17*PARÂMETROS!$B$4*PARÂMETROS!$B$5*PARÂMETROS!$B$65,0)</f>
        <v/>
      </c>
      <c r="AG7" s="33">
        <f>IFERROR(PARÂMETROS!AD96*PARÂMETROS!E17*PARÂMETROS!$B$4*PARÂMETROS!$B$5*PARÂMETROS!$B$66,0)</f>
        <v/>
      </c>
      <c r="AH7" s="33">
        <f>IFERROR(PARÂMETROS!AE96*PARÂMETROS!E17*PARÂMETROS!$B$4*PARÂMETROS!$B$5*PARÂMETROS!$B$67,0)</f>
        <v/>
      </c>
      <c r="AI7" s="33">
        <f>IFERROR(PARÂMETROS!AF96*PARÂMETROS!E17*PARÂMETROS!$B$4*PARÂMETROS!$B$5*PARÂMETROS!$B$68,0)</f>
        <v/>
      </c>
      <c r="AJ7" s="33">
        <f>IFERROR(PARÂMETROS!AG96*PARÂMETROS!E17*PARÂMETROS!$B$4*PARÂMETROS!$B$5*PARÂMETROS!$B$69,0)</f>
        <v/>
      </c>
      <c r="AK7" s="33">
        <f>IFERROR(PARÂMETROS!AH96*PARÂMETROS!E17*PARÂMETROS!$B$4*PARÂMETROS!$B$5*PARÂMETROS!$B$70,0)</f>
        <v/>
      </c>
      <c r="AL7" s="33">
        <f>IFERROR(PARÂMETROS!AI96*PARÂMETROS!E17*PARÂMETROS!$B$4*PARÂMETROS!$B$5*PARÂMETROS!$B$71,0)</f>
        <v/>
      </c>
      <c r="AM7" s="33">
        <f>IFERROR(PARÂMETROS!AJ96*PARÂMETROS!E17*PARÂMETROS!$B$4*PARÂMETROS!$B$5*PARÂMETROS!$B$72,0)</f>
        <v/>
      </c>
      <c r="AN7" s="33">
        <f>IFERROR(PARÂMETROS!AK96*PARÂMETROS!E17*PARÂMETROS!$B$4*PARÂMETROS!$B$5*PARÂMETROS!$B$73,0)</f>
        <v/>
      </c>
      <c r="AO7" s="33">
        <f>IFERROR(PARÂMETROS!AL96*PARÂMETROS!E17*PARÂMETROS!$B$4*PARÂMETROS!$B$5*PARÂMETROS!$B$74,0)</f>
        <v/>
      </c>
      <c r="AP7" s="33">
        <f>IFERROR(PARÂMETROS!AM96*PARÂMETROS!E17*PARÂMETROS!$B$4*PARÂMETROS!$B$5*PARÂMETROS!$B$75,0)</f>
        <v/>
      </c>
      <c r="AQ7" s="33">
        <f>IFERROR(PARÂMETROS!AN96*PARÂMETROS!E17*PARÂMETROS!$B$4*PARÂMETROS!$B$5*PARÂMETROS!$B$76,0)</f>
        <v/>
      </c>
      <c r="AR7" s="33">
        <f>IFERROR(PARÂMETROS!AO96*PARÂMETROS!E17*PARÂMETROS!$B$4*PARÂMETROS!$B$5*PARÂMETROS!$B$77,0)</f>
        <v/>
      </c>
      <c r="AS7" s="33">
        <f>IFERROR(PARÂMETROS!AP96*PARÂMETROS!E17*PARÂMETROS!$B$4*PARÂMETROS!$B$5*PARÂMETROS!$B$78,0)</f>
        <v/>
      </c>
      <c r="AT7" s="33">
        <f>IFERROR(PARÂMETROS!AQ96*PARÂMETROS!E17*PARÂMETROS!$B$4*PARÂMETROS!$B$5*PARÂMETROS!$B$79,0)</f>
        <v/>
      </c>
      <c r="AU7" s="33">
        <f>IFERROR(PARÂMETROS!AR96*PARÂMETROS!E17*PARÂMETROS!$B$4*PARÂMETROS!$B$5*PARÂMETROS!$B$80,0)</f>
        <v/>
      </c>
      <c r="AV7" s="33">
        <f>IFERROR(PARÂMETROS!AS96*PARÂMETROS!E17*PARÂMETROS!$B$4*PARÂMETROS!$B$5*PARÂMETROS!$B$81,0)</f>
        <v/>
      </c>
      <c r="AW7" s="33">
        <f>IFERROR(PARÂMETROS!AT96*PARÂMETROS!E17*PARÂMETROS!$B$4*PARÂMETROS!$B$5*PARÂMETROS!$B$82,0)</f>
        <v/>
      </c>
      <c r="AX7" s="33">
        <f>IFERROR(PARÂMETROS!AU96*PARÂMETROS!E17*PARÂMETROS!$B$4*PARÂMETROS!$B$5*PARÂMETROS!$B$83,0)</f>
        <v/>
      </c>
      <c r="AY7" s="33">
        <f>IFERROR(PARÂMETROS!AV96*PARÂMETROS!E17*PARÂMETROS!$B$4*PARÂMETROS!$B$5*PARÂMETROS!$B$84,0)</f>
        <v/>
      </c>
      <c r="AZ7" s="33">
        <f>IFERROR(PARÂMETROS!AW96*PARÂMETROS!E17*PARÂMETROS!$B$4*PARÂMETROS!$B$5*PARÂMETROS!$B$85,0)</f>
        <v/>
      </c>
      <c r="BA7" s="33">
        <f>IFERROR(PARÂMETROS!AX96*PARÂMETROS!E17*PARÂMETROS!$B$4*PARÂMETROS!$B$5*PARÂMETROS!$B$86,0)</f>
        <v/>
      </c>
      <c r="BB7" s="33">
        <f>IFERROR(PARÂMETROS!AY96*PARÂMETROS!E17*PARÂMETROS!$B$4*PARÂMETROS!$B$5*PARÂMETROS!$B$87,0)</f>
        <v/>
      </c>
      <c r="BC7" s="33">
        <f>IFERROR(PARÂMETROS!AZ96*PARÂMETROS!E17*PARÂMETROS!$B$4*PARÂMETROS!$B$5*PARÂMETROS!$B$88,0)</f>
        <v/>
      </c>
      <c r="BD7" s="33">
        <f>IFERROR(PARÂMETROS!BA96*PARÂMETROS!E17*PARÂMETROS!$B$4*PARÂMETROS!$B$5*PARÂMETROS!$B$89,0)</f>
        <v/>
      </c>
      <c r="BE7" s="33">
        <f>IFERROR(PARÂMETROS!BB96*PARÂMETROS!E17*PARÂMETROS!$B$4*PARÂMETROS!$B$5*PARÂMETROS!$B$90,0)</f>
        <v/>
      </c>
      <c r="BF7" s="33">
        <f>IFERROR(PARÂMETROS!BC96*PARÂMETROS!E17*PARÂMETROS!$B$4*PARÂMETROS!$B$5*PARÂMETROS!$B$91,0)</f>
        <v/>
      </c>
    </row>
    <row r="8">
      <c r="A8" s="14" t="inlineStr"/>
      <c r="B8" s="14" t="inlineStr"/>
      <c r="C8" s="35" t="n"/>
      <c r="D8" s="35" t="n"/>
      <c r="E8" s="35" t="n"/>
      <c r="F8" s="14" t="inlineStr">
        <is>
          <t>Acumulado</t>
        </is>
      </c>
      <c r="G8" s="33">
        <f>G7</f>
        <v/>
      </c>
      <c r="H8" s="33">
        <f>G8+H7</f>
        <v/>
      </c>
      <c r="I8" s="33">
        <f>H8+I7</f>
        <v/>
      </c>
      <c r="J8" s="33">
        <f>I8+J7</f>
        <v/>
      </c>
      <c r="K8" s="33">
        <f>J8+K7</f>
        <v/>
      </c>
      <c r="L8" s="33">
        <f>K8+L7</f>
        <v/>
      </c>
      <c r="M8" s="33">
        <f>L8+M7</f>
        <v/>
      </c>
      <c r="N8" s="33">
        <f>M8+N7</f>
        <v/>
      </c>
      <c r="O8" s="33">
        <f>N8+O7</f>
        <v/>
      </c>
      <c r="P8" s="33">
        <f>O8+P7</f>
        <v/>
      </c>
      <c r="Q8" s="33">
        <f>P8+Q7</f>
        <v/>
      </c>
      <c r="R8" s="33">
        <f>Q8+R7</f>
        <v/>
      </c>
      <c r="S8" s="33">
        <f>R8+S7</f>
        <v/>
      </c>
      <c r="T8" s="33">
        <f>S8+T7</f>
        <v/>
      </c>
      <c r="U8" s="33">
        <f>T8+U7</f>
        <v/>
      </c>
      <c r="V8" s="33">
        <f>U8+V7</f>
        <v/>
      </c>
      <c r="W8" s="33">
        <f>V8+W7</f>
        <v/>
      </c>
      <c r="X8" s="33">
        <f>W8+X7</f>
        <v/>
      </c>
      <c r="Y8" s="33">
        <f>X8+Y7</f>
        <v/>
      </c>
      <c r="Z8" s="33">
        <f>Y8+Z7</f>
        <v/>
      </c>
      <c r="AA8" s="33">
        <f>Z8+AA7</f>
        <v/>
      </c>
      <c r="AB8" s="33">
        <f>AA8+AB7</f>
        <v/>
      </c>
      <c r="AC8" s="33">
        <f>AB8+AC7</f>
        <v/>
      </c>
      <c r="AD8" s="33">
        <f>AC8+AD7</f>
        <v/>
      </c>
      <c r="AE8" s="33">
        <f>AD8+AE7</f>
        <v/>
      </c>
      <c r="AF8" s="33">
        <f>AE8+AF7</f>
        <v/>
      </c>
      <c r="AG8" s="33">
        <f>AF8+AG7</f>
        <v/>
      </c>
      <c r="AH8" s="33">
        <f>AG8+AH7</f>
        <v/>
      </c>
      <c r="AI8" s="33">
        <f>AH8+AI7</f>
        <v/>
      </c>
      <c r="AJ8" s="33">
        <f>AI8+AJ7</f>
        <v/>
      </c>
      <c r="AK8" s="33">
        <f>AJ8+AK7</f>
        <v/>
      </c>
      <c r="AL8" s="33">
        <f>AK8+AL7</f>
        <v/>
      </c>
      <c r="AM8" s="33">
        <f>AL8+AM7</f>
        <v/>
      </c>
      <c r="AN8" s="33">
        <f>AM8+AN7</f>
        <v/>
      </c>
      <c r="AO8" s="33">
        <f>AN8+AO7</f>
        <v/>
      </c>
      <c r="AP8" s="33">
        <f>AO8+AP7</f>
        <v/>
      </c>
      <c r="AQ8" s="33">
        <f>AP8+AQ7</f>
        <v/>
      </c>
      <c r="AR8" s="33">
        <f>AQ8+AR7</f>
        <v/>
      </c>
      <c r="AS8" s="33">
        <f>AR8+AS7</f>
        <v/>
      </c>
      <c r="AT8" s="33">
        <f>AS8+AT7</f>
        <v/>
      </c>
      <c r="AU8" s="33">
        <f>AT8+AU7</f>
        <v/>
      </c>
      <c r="AV8" s="33">
        <f>AU8+AV7</f>
        <v/>
      </c>
      <c r="AW8" s="33">
        <f>AV8+AW7</f>
        <v/>
      </c>
      <c r="AX8" s="33">
        <f>AW8+AX7</f>
        <v/>
      </c>
      <c r="AY8" s="33">
        <f>AX8+AY7</f>
        <v/>
      </c>
      <c r="AZ8" s="33">
        <f>AY8+AZ7</f>
        <v/>
      </c>
      <c r="BA8" s="33">
        <f>AZ8+BA7</f>
        <v/>
      </c>
      <c r="BB8" s="33">
        <f>BA8+BB7</f>
        <v/>
      </c>
      <c r="BC8" s="33">
        <f>BB8+BC7</f>
        <v/>
      </c>
      <c r="BD8" s="33">
        <f>BC8+BD7</f>
        <v/>
      </c>
      <c r="BE8" s="33">
        <f>BD8+BE7</f>
        <v/>
      </c>
      <c r="BF8" s="33">
        <f>BE8+BF7</f>
        <v/>
      </c>
    </row>
    <row r="9">
      <c r="A9" s="14" t="inlineStr"/>
      <c r="B9" s="14" t="inlineStr"/>
      <c r="C9" s="35" t="n"/>
      <c r="D9" s="35" t="n"/>
      <c r="E9" s="35" t="n"/>
      <c r="F9" s="14" t="inlineStr">
        <is>
          <t>% Completude</t>
        </is>
      </c>
      <c r="G9" s="34">
        <f>IF(PARÂMETROS!D17&gt;0,G8/PARÂMETROS!D17,0)</f>
        <v/>
      </c>
      <c r="H9" s="34">
        <f>IF(PARÂMETROS!D17&gt;0,H8/PARÂMETROS!D17,0)</f>
        <v/>
      </c>
      <c r="I9" s="34">
        <f>IF(PARÂMETROS!D17&gt;0,I8/PARÂMETROS!D17,0)</f>
        <v/>
      </c>
      <c r="J9" s="34">
        <f>IF(PARÂMETROS!D17&gt;0,J8/PARÂMETROS!D17,0)</f>
        <v/>
      </c>
      <c r="K9" s="34">
        <f>IF(PARÂMETROS!D17&gt;0,K8/PARÂMETROS!D17,0)</f>
        <v/>
      </c>
      <c r="L9" s="34">
        <f>IF(PARÂMETROS!D17&gt;0,L8/PARÂMETROS!D17,0)</f>
        <v/>
      </c>
      <c r="M9" s="34">
        <f>IF(PARÂMETROS!D17&gt;0,M8/PARÂMETROS!D17,0)</f>
        <v/>
      </c>
      <c r="N9" s="34">
        <f>IF(PARÂMETROS!D17&gt;0,N8/PARÂMETROS!D17,0)</f>
        <v/>
      </c>
      <c r="O9" s="34">
        <f>IF(PARÂMETROS!D17&gt;0,O8/PARÂMETROS!D17,0)</f>
        <v/>
      </c>
      <c r="P9" s="34">
        <f>IF(PARÂMETROS!D17&gt;0,P8/PARÂMETROS!D17,0)</f>
        <v/>
      </c>
      <c r="Q9" s="34">
        <f>IF(PARÂMETROS!D17&gt;0,Q8/PARÂMETROS!D17,0)</f>
        <v/>
      </c>
      <c r="R9" s="34">
        <f>IF(PARÂMETROS!D17&gt;0,R8/PARÂMETROS!D17,0)</f>
        <v/>
      </c>
      <c r="S9" s="34">
        <f>IF(PARÂMETROS!D17&gt;0,S8/PARÂMETROS!D17,0)</f>
        <v/>
      </c>
      <c r="T9" s="34">
        <f>IF(PARÂMETROS!D17&gt;0,T8/PARÂMETROS!D17,0)</f>
        <v/>
      </c>
      <c r="U9" s="34">
        <f>IF(PARÂMETROS!D17&gt;0,U8/PARÂMETROS!D17,0)</f>
        <v/>
      </c>
      <c r="V9" s="34">
        <f>IF(PARÂMETROS!D17&gt;0,V8/PARÂMETROS!D17,0)</f>
        <v/>
      </c>
      <c r="W9" s="34">
        <f>IF(PARÂMETROS!D17&gt;0,W8/PARÂMETROS!D17,0)</f>
        <v/>
      </c>
      <c r="X9" s="34">
        <f>IF(PARÂMETROS!D17&gt;0,X8/PARÂMETROS!D17,0)</f>
        <v/>
      </c>
      <c r="Y9" s="34">
        <f>IF(PARÂMETROS!D17&gt;0,Y8/PARÂMETROS!D17,0)</f>
        <v/>
      </c>
      <c r="Z9" s="34">
        <f>IF(PARÂMETROS!D17&gt;0,Z8/PARÂMETROS!D17,0)</f>
        <v/>
      </c>
      <c r="AA9" s="34">
        <f>IF(PARÂMETROS!D17&gt;0,AA8/PARÂMETROS!D17,0)</f>
        <v/>
      </c>
      <c r="AB9" s="34">
        <f>IF(PARÂMETROS!D17&gt;0,AB8/PARÂMETROS!D17,0)</f>
        <v/>
      </c>
      <c r="AC9" s="34">
        <f>IF(PARÂMETROS!D17&gt;0,AC8/PARÂMETROS!D17,0)</f>
        <v/>
      </c>
      <c r="AD9" s="34">
        <f>IF(PARÂMETROS!D17&gt;0,AD8/PARÂMETROS!D17,0)</f>
        <v/>
      </c>
      <c r="AE9" s="34">
        <f>IF(PARÂMETROS!D17&gt;0,AE8/PARÂMETROS!D17,0)</f>
        <v/>
      </c>
      <c r="AF9" s="34">
        <f>IF(PARÂMETROS!D17&gt;0,AF8/PARÂMETROS!D17,0)</f>
        <v/>
      </c>
      <c r="AG9" s="34">
        <f>IF(PARÂMETROS!D17&gt;0,AG8/PARÂMETROS!D17,0)</f>
        <v/>
      </c>
      <c r="AH9" s="34">
        <f>IF(PARÂMETROS!D17&gt;0,AH8/PARÂMETROS!D17,0)</f>
        <v/>
      </c>
      <c r="AI9" s="34">
        <f>IF(PARÂMETROS!D17&gt;0,AI8/PARÂMETROS!D17,0)</f>
        <v/>
      </c>
      <c r="AJ9" s="34">
        <f>IF(PARÂMETROS!D17&gt;0,AJ8/PARÂMETROS!D17,0)</f>
        <v/>
      </c>
      <c r="AK9" s="34">
        <f>IF(PARÂMETROS!D17&gt;0,AK8/PARÂMETROS!D17,0)</f>
        <v/>
      </c>
      <c r="AL9" s="34">
        <f>IF(PARÂMETROS!D17&gt;0,AL8/PARÂMETROS!D17,0)</f>
        <v/>
      </c>
      <c r="AM9" s="34">
        <f>IF(PARÂMETROS!D17&gt;0,AM8/PARÂMETROS!D17,0)</f>
        <v/>
      </c>
      <c r="AN9" s="34">
        <f>IF(PARÂMETROS!D17&gt;0,AN8/PARÂMETROS!D17,0)</f>
        <v/>
      </c>
      <c r="AO9" s="34">
        <f>IF(PARÂMETROS!D17&gt;0,AO8/PARÂMETROS!D17,0)</f>
        <v/>
      </c>
      <c r="AP9" s="34">
        <f>IF(PARÂMETROS!D17&gt;0,AP8/PARÂMETROS!D17,0)</f>
        <v/>
      </c>
      <c r="AQ9" s="34">
        <f>IF(PARÂMETROS!D17&gt;0,AQ8/PARÂMETROS!D17,0)</f>
        <v/>
      </c>
      <c r="AR9" s="34">
        <f>IF(PARÂMETROS!D17&gt;0,AR8/PARÂMETROS!D17,0)</f>
        <v/>
      </c>
      <c r="AS9" s="34">
        <f>IF(PARÂMETROS!D17&gt;0,AS8/PARÂMETROS!D17,0)</f>
        <v/>
      </c>
      <c r="AT9" s="34">
        <f>IF(PARÂMETROS!D17&gt;0,AT8/PARÂMETROS!D17,0)</f>
        <v/>
      </c>
      <c r="AU9" s="34">
        <f>IF(PARÂMETROS!D17&gt;0,AU8/PARÂMETROS!D17,0)</f>
        <v/>
      </c>
      <c r="AV9" s="34">
        <f>IF(PARÂMETROS!D17&gt;0,AV8/PARÂMETROS!D17,0)</f>
        <v/>
      </c>
      <c r="AW9" s="34">
        <f>IF(PARÂMETROS!D17&gt;0,AW8/PARÂMETROS!D17,0)</f>
        <v/>
      </c>
      <c r="AX9" s="34">
        <f>IF(PARÂMETROS!D17&gt;0,AX8/PARÂMETROS!D17,0)</f>
        <v/>
      </c>
      <c r="AY9" s="34">
        <f>IF(PARÂMETROS!D17&gt;0,AY8/PARÂMETROS!D17,0)</f>
        <v/>
      </c>
      <c r="AZ9" s="34">
        <f>IF(PARÂMETROS!D17&gt;0,AZ8/PARÂMETROS!D17,0)</f>
        <v/>
      </c>
      <c r="BA9" s="34">
        <f>IF(PARÂMETROS!D17&gt;0,BA8/PARÂMETROS!D17,0)</f>
        <v/>
      </c>
      <c r="BB9" s="34">
        <f>IF(PARÂMETROS!D17&gt;0,BB8/PARÂMETROS!D17,0)</f>
        <v/>
      </c>
      <c r="BC9" s="34">
        <f>IF(PARÂMETROS!D17&gt;0,BC8/PARÂMETROS!D17,0)</f>
        <v/>
      </c>
      <c r="BD9" s="34">
        <f>IF(PARÂMETROS!D17&gt;0,BD8/PARÂMETROS!D17,0)</f>
        <v/>
      </c>
      <c r="BE9" s="34">
        <f>IF(PARÂMETROS!D17&gt;0,BE8/PARÂMETROS!D17,0)</f>
        <v/>
      </c>
      <c r="BF9" s="34">
        <f>IF(PARÂMETROS!D17&gt;0,BF8/PARÂMETROS!D17,0)</f>
        <v/>
      </c>
    </row>
    <row r="10">
      <c r="A10" s="14" t="inlineStr">
        <is>
          <t>eap-1_2</t>
        </is>
      </c>
      <c r="B10" s="14" t="inlineStr">
        <is>
          <t>Esc/carg/transp 1aCat DMT</t>
        </is>
      </c>
      <c r="C10" s="16">
        <f>PARÂMETROS!D18</f>
        <v/>
      </c>
      <c r="D10" s="33">
        <f>SUM(G10:BF10)</f>
        <v/>
      </c>
      <c r="E10" s="34">
        <f>IF(C10&gt;0,(D10-C10)/C10,0)</f>
        <v/>
      </c>
      <c r="F10" s="14" t="inlineStr">
        <is>
          <t>Produção semanal</t>
        </is>
      </c>
      <c r="G10" s="33">
        <f>IFERROR(PARÂMETROS!D97*PARÂMETROS!E18*PARÂMETROS!$B$4*PARÂMETROS!$B$5*PARÂMETROS!$B$40,0)</f>
        <v/>
      </c>
      <c r="H10" s="33">
        <f>IFERROR(PARÂMETROS!E97*PARÂMETROS!E18*PARÂMETROS!$B$4*PARÂMETROS!$B$5*PARÂMETROS!$B$41,0)</f>
        <v/>
      </c>
      <c r="I10" s="33">
        <f>IFERROR(PARÂMETROS!F97*PARÂMETROS!E18*PARÂMETROS!$B$4*PARÂMETROS!$B$5*PARÂMETROS!$B$42,0)</f>
        <v/>
      </c>
      <c r="J10" s="33">
        <f>IFERROR(PARÂMETROS!G97*PARÂMETROS!E18*PARÂMETROS!$B$4*PARÂMETROS!$B$5*PARÂMETROS!$B$43,0)</f>
        <v/>
      </c>
      <c r="K10" s="33">
        <f>IFERROR(PARÂMETROS!H97*PARÂMETROS!E18*PARÂMETROS!$B$4*PARÂMETROS!$B$5*PARÂMETROS!$B$44,0)</f>
        <v/>
      </c>
      <c r="L10" s="33">
        <f>IFERROR(PARÂMETROS!I97*PARÂMETROS!E18*PARÂMETROS!$B$4*PARÂMETROS!$B$5*PARÂMETROS!$B$45,0)</f>
        <v/>
      </c>
      <c r="M10" s="33">
        <f>IFERROR(PARÂMETROS!J97*PARÂMETROS!E18*PARÂMETROS!$B$4*PARÂMETROS!$B$5*PARÂMETROS!$B$46,0)</f>
        <v/>
      </c>
      <c r="N10" s="33">
        <f>IFERROR(PARÂMETROS!K97*PARÂMETROS!E18*PARÂMETROS!$B$4*PARÂMETROS!$B$5*PARÂMETROS!$B$47,0)</f>
        <v/>
      </c>
      <c r="O10" s="33">
        <f>IFERROR(PARÂMETROS!L97*PARÂMETROS!E18*PARÂMETROS!$B$4*PARÂMETROS!$B$5*PARÂMETROS!$B$48,0)</f>
        <v/>
      </c>
      <c r="P10" s="33">
        <f>IFERROR(PARÂMETROS!M97*PARÂMETROS!E18*PARÂMETROS!$B$4*PARÂMETROS!$B$5*PARÂMETROS!$B$49,0)</f>
        <v/>
      </c>
      <c r="Q10" s="33">
        <f>IFERROR(PARÂMETROS!N97*PARÂMETROS!E18*PARÂMETROS!$B$4*PARÂMETROS!$B$5*PARÂMETROS!$B$50,0)</f>
        <v/>
      </c>
      <c r="R10" s="33">
        <f>IFERROR(PARÂMETROS!O97*PARÂMETROS!E18*PARÂMETROS!$B$4*PARÂMETROS!$B$5*PARÂMETROS!$B$51,0)</f>
        <v/>
      </c>
      <c r="S10" s="33">
        <f>IFERROR(PARÂMETROS!P97*PARÂMETROS!E18*PARÂMETROS!$B$4*PARÂMETROS!$B$5*PARÂMETROS!$B$52,0)</f>
        <v/>
      </c>
      <c r="T10" s="33">
        <f>IFERROR(PARÂMETROS!Q97*PARÂMETROS!E18*PARÂMETROS!$B$4*PARÂMETROS!$B$5*PARÂMETROS!$B$53,0)</f>
        <v/>
      </c>
      <c r="U10" s="33">
        <f>IFERROR(PARÂMETROS!R97*PARÂMETROS!E18*PARÂMETROS!$B$4*PARÂMETROS!$B$5*PARÂMETROS!$B$54,0)</f>
        <v/>
      </c>
      <c r="V10" s="33">
        <f>IFERROR(PARÂMETROS!S97*PARÂMETROS!E18*PARÂMETROS!$B$4*PARÂMETROS!$B$5*PARÂMETROS!$B$55,0)</f>
        <v/>
      </c>
      <c r="W10" s="33">
        <f>IFERROR(PARÂMETROS!T97*PARÂMETROS!E18*PARÂMETROS!$B$4*PARÂMETROS!$B$5*PARÂMETROS!$B$56,0)</f>
        <v/>
      </c>
      <c r="X10" s="33">
        <f>IFERROR(PARÂMETROS!U97*PARÂMETROS!E18*PARÂMETROS!$B$4*PARÂMETROS!$B$5*PARÂMETROS!$B$57,0)</f>
        <v/>
      </c>
      <c r="Y10" s="33">
        <f>IFERROR(PARÂMETROS!V97*PARÂMETROS!E18*PARÂMETROS!$B$4*PARÂMETROS!$B$5*PARÂMETROS!$B$58,0)</f>
        <v/>
      </c>
      <c r="Z10" s="33">
        <f>IFERROR(PARÂMETROS!W97*PARÂMETROS!E18*PARÂMETROS!$B$4*PARÂMETROS!$B$5*PARÂMETROS!$B$59,0)</f>
        <v/>
      </c>
      <c r="AA10" s="33">
        <f>IFERROR(PARÂMETROS!X97*PARÂMETROS!E18*PARÂMETROS!$B$4*PARÂMETROS!$B$5*PARÂMETROS!$B$60,0)</f>
        <v/>
      </c>
      <c r="AB10" s="33">
        <f>IFERROR(PARÂMETROS!Y97*PARÂMETROS!E18*PARÂMETROS!$B$4*PARÂMETROS!$B$5*PARÂMETROS!$B$61,0)</f>
        <v/>
      </c>
      <c r="AC10" s="33">
        <f>IFERROR(PARÂMETROS!Z97*PARÂMETROS!E18*PARÂMETROS!$B$4*PARÂMETROS!$B$5*PARÂMETROS!$B$62,0)</f>
        <v/>
      </c>
      <c r="AD10" s="33">
        <f>IFERROR(PARÂMETROS!AA97*PARÂMETROS!E18*PARÂMETROS!$B$4*PARÂMETROS!$B$5*PARÂMETROS!$B$63,0)</f>
        <v/>
      </c>
      <c r="AE10" s="33">
        <f>IFERROR(PARÂMETROS!AB97*PARÂMETROS!E18*PARÂMETROS!$B$4*PARÂMETROS!$B$5*PARÂMETROS!$B$64,0)</f>
        <v/>
      </c>
      <c r="AF10" s="33">
        <f>IFERROR(PARÂMETROS!AC97*PARÂMETROS!E18*PARÂMETROS!$B$4*PARÂMETROS!$B$5*PARÂMETROS!$B$65,0)</f>
        <v/>
      </c>
      <c r="AG10" s="33">
        <f>IFERROR(PARÂMETROS!AD97*PARÂMETROS!E18*PARÂMETROS!$B$4*PARÂMETROS!$B$5*PARÂMETROS!$B$66,0)</f>
        <v/>
      </c>
      <c r="AH10" s="33">
        <f>IFERROR(PARÂMETROS!AE97*PARÂMETROS!E18*PARÂMETROS!$B$4*PARÂMETROS!$B$5*PARÂMETROS!$B$67,0)</f>
        <v/>
      </c>
      <c r="AI10" s="33">
        <f>IFERROR(PARÂMETROS!AF97*PARÂMETROS!E18*PARÂMETROS!$B$4*PARÂMETROS!$B$5*PARÂMETROS!$B$68,0)</f>
        <v/>
      </c>
      <c r="AJ10" s="33">
        <f>IFERROR(PARÂMETROS!AG97*PARÂMETROS!E18*PARÂMETROS!$B$4*PARÂMETROS!$B$5*PARÂMETROS!$B$69,0)</f>
        <v/>
      </c>
      <c r="AK10" s="33">
        <f>IFERROR(PARÂMETROS!AH97*PARÂMETROS!E18*PARÂMETROS!$B$4*PARÂMETROS!$B$5*PARÂMETROS!$B$70,0)</f>
        <v/>
      </c>
      <c r="AL10" s="33">
        <f>IFERROR(PARÂMETROS!AI97*PARÂMETROS!E18*PARÂMETROS!$B$4*PARÂMETROS!$B$5*PARÂMETROS!$B$71,0)</f>
        <v/>
      </c>
      <c r="AM10" s="33">
        <f>IFERROR(PARÂMETROS!AJ97*PARÂMETROS!E18*PARÂMETROS!$B$4*PARÂMETROS!$B$5*PARÂMETROS!$B$72,0)</f>
        <v/>
      </c>
      <c r="AN10" s="33">
        <f>IFERROR(PARÂMETROS!AK97*PARÂMETROS!E18*PARÂMETROS!$B$4*PARÂMETROS!$B$5*PARÂMETROS!$B$73,0)</f>
        <v/>
      </c>
      <c r="AO10" s="33">
        <f>IFERROR(PARÂMETROS!AL97*PARÂMETROS!E18*PARÂMETROS!$B$4*PARÂMETROS!$B$5*PARÂMETROS!$B$74,0)</f>
        <v/>
      </c>
      <c r="AP10" s="33">
        <f>IFERROR(PARÂMETROS!AM97*PARÂMETROS!E18*PARÂMETROS!$B$4*PARÂMETROS!$B$5*PARÂMETROS!$B$75,0)</f>
        <v/>
      </c>
      <c r="AQ10" s="33">
        <f>IFERROR(PARÂMETROS!AN97*PARÂMETROS!E18*PARÂMETROS!$B$4*PARÂMETROS!$B$5*PARÂMETROS!$B$76,0)</f>
        <v/>
      </c>
      <c r="AR10" s="33">
        <f>IFERROR(PARÂMETROS!AO97*PARÂMETROS!E18*PARÂMETROS!$B$4*PARÂMETROS!$B$5*PARÂMETROS!$B$77,0)</f>
        <v/>
      </c>
      <c r="AS10" s="33">
        <f>IFERROR(PARÂMETROS!AP97*PARÂMETROS!E18*PARÂMETROS!$B$4*PARÂMETROS!$B$5*PARÂMETROS!$B$78,0)</f>
        <v/>
      </c>
      <c r="AT10" s="33">
        <f>IFERROR(PARÂMETROS!AQ97*PARÂMETROS!E18*PARÂMETROS!$B$4*PARÂMETROS!$B$5*PARÂMETROS!$B$79,0)</f>
        <v/>
      </c>
      <c r="AU10" s="33">
        <f>IFERROR(PARÂMETROS!AR97*PARÂMETROS!E18*PARÂMETROS!$B$4*PARÂMETROS!$B$5*PARÂMETROS!$B$80,0)</f>
        <v/>
      </c>
      <c r="AV10" s="33">
        <f>IFERROR(PARÂMETROS!AS97*PARÂMETROS!E18*PARÂMETROS!$B$4*PARÂMETROS!$B$5*PARÂMETROS!$B$81,0)</f>
        <v/>
      </c>
      <c r="AW10" s="33">
        <f>IFERROR(PARÂMETROS!AT97*PARÂMETROS!E18*PARÂMETROS!$B$4*PARÂMETROS!$B$5*PARÂMETROS!$B$82,0)</f>
        <v/>
      </c>
      <c r="AX10" s="33">
        <f>IFERROR(PARÂMETROS!AU97*PARÂMETROS!E18*PARÂMETROS!$B$4*PARÂMETROS!$B$5*PARÂMETROS!$B$83,0)</f>
        <v/>
      </c>
      <c r="AY10" s="33">
        <f>IFERROR(PARÂMETROS!AV97*PARÂMETROS!E18*PARÂMETROS!$B$4*PARÂMETROS!$B$5*PARÂMETROS!$B$84,0)</f>
        <v/>
      </c>
      <c r="AZ10" s="33">
        <f>IFERROR(PARÂMETROS!AW97*PARÂMETROS!E18*PARÂMETROS!$B$4*PARÂMETROS!$B$5*PARÂMETROS!$B$85,0)</f>
        <v/>
      </c>
      <c r="BA10" s="33">
        <f>IFERROR(PARÂMETROS!AX97*PARÂMETROS!E18*PARÂMETROS!$B$4*PARÂMETROS!$B$5*PARÂMETROS!$B$86,0)</f>
        <v/>
      </c>
      <c r="BB10" s="33">
        <f>IFERROR(PARÂMETROS!AY97*PARÂMETROS!E18*PARÂMETROS!$B$4*PARÂMETROS!$B$5*PARÂMETROS!$B$87,0)</f>
        <v/>
      </c>
      <c r="BC10" s="33">
        <f>IFERROR(PARÂMETROS!AZ97*PARÂMETROS!E18*PARÂMETROS!$B$4*PARÂMETROS!$B$5*PARÂMETROS!$B$88,0)</f>
        <v/>
      </c>
      <c r="BD10" s="33">
        <f>IFERROR(PARÂMETROS!BA97*PARÂMETROS!E18*PARÂMETROS!$B$4*PARÂMETROS!$B$5*PARÂMETROS!$B$89,0)</f>
        <v/>
      </c>
      <c r="BE10" s="33">
        <f>IFERROR(PARÂMETROS!BB97*PARÂMETROS!E18*PARÂMETROS!$B$4*PARÂMETROS!$B$5*PARÂMETROS!$B$90,0)</f>
        <v/>
      </c>
      <c r="BF10" s="33">
        <f>IFERROR(PARÂMETROS!BC97*PARÂMETROS!E18*PARÂMETROS!$B$4*PARÂMETROS!$B$5*PARÂMETROS!$B$91,0)</f>
        <v/>
      </c>
    </row>
    <row r="11">
      <c r="A11" s="14" t="inlineStr"/>
      <c r="B11" s="14" t="inlineStr"/>
      <c r="C11" s="35" t="n"/>
      <c r="D11" s="35" t="n"/>
      <c r="E11" s="35" t="n"/>
      <c r="F11" s="14" t="inlineStr">
        <is>
          <t>Acumulado</t>
        </is>
      </c>
      <c r="G11" s="33">
        <f>G10</f>
        <v/>
      </c>
      <c r="H11" s="33">
        <f>G11+H10</f>
        <v/>
      </c>
      <c r="I11" s="33">
        <f>H11+I10</f>
        <v/>
      </c>
      <c r="J11" s="33">
        <f>I11+J10</f>
        <v/>
      </c>
      <c r="K11" s="33">
        <f>J11+K10</f>
        <v/>
      </c>
      <c r="L11" s="33">
        <f>K11+L10</f>
        <v/>
      </c>
      <c r="M11" s="33">
        <f>L11+M10</f>
        <v/>
      </c>
      <c r="N11" s="33">
        <f>M11+N10</f>
        <v/>
      </c>
      <c r="O11" s="33">
        <f>N11+O10</f>
        <v/>
      </c>
      <c r="P11" s="33">
        <f>O11+P10</f>
        <v/>
      </c>
      <c r="Q11" s="33">
        <f>P11+Q10</f>
        <v/>
      </c>
      <c r="R11" s="33">
        <f>Q11+R10</f>
        <v/>
      </c>
      <c r="S11" s="33">
        <f>R11+S10</f>
        <v/>
      </c>
      <c r="T11" s="33">
        <f>S11+T10</f>
        <v/>
      </c>
      <c r="U11" s="33">
        <f>T11+U10</f>
        <v/>
      </c>
      <c r="V11" s="33">
        <f>U11+V10</f>
        <v/>
      </c>
      <c r="W11" s="33">
        <f>V11+W10</f>
        <v/>
      </c>
      <c r="X11" s="33">
        <f>W11+X10</f>
        <v/>
      </c>
      <c r="Y11" s="33">
        <f>X11+Y10</f>
        <v/>
      </c>
      <c r="Z11" s="33">
        <f>Y11+Z10</f>
        <v/>
      </c>
      <c r="AA11" s="33">
        <f>Z11+AA10</f>
        <v/>
      </c>
      <c r="AB11" s="33">
        <f>AA11+AB10</f>
        <v/>
      </c>
      <c r="AC11" s="33">
        <f>AB11+AC10</f>
        <v/>
      </c>
      <c r="AD11" s="33">
        <f>AC11+AD10</f>
        <v/>
      </c>
      <c r="AE11" s="33">
        <f>AD11+AE10</f>
        <v/>
      </c>
      <c r="AF11" s="33">
        <f>AE11+AF10</f>
        <v/>
      </c>
      <c r="AG11" s="33">
        <f>AF11+AG10</f>
        <v/>
      </c>
      <c r="AH11" s="33">
        <f>AG11+AH10</f>
        <v/>
      </c>
      <c r="AI11" s="33">
        <f>AH11+AI10</f>
        <v/>
      </c>
      <c r="AJ11" s="33">
        <f>AI11+AJ10</f>
        <v/>
      </c>
      <c r="AK11" s="33">
        <f>AJ11+AK10</f>
        <v/>
      </c>
      <c r="AL11" s="33">
        <f>AK11+AL10</f>
        <v/>
      </c>
      <c r="AM11" s="33">
        <f>AL11+AM10</f>
        <v/>
      </c>
      <c r="AN11" s="33">
        <f>AM11+AN10</f>
        <v/>
      </c>
      <c r="AO11" s="33">
        <f>AN11+AO10</f>
        <v/>
      </c>
      <c r="AP11" s="33">
        <f>AO11+AP10</f>
        <v/>
      </c>
      <c r="AQ11" s="33">
        <f>AP11+AQ10</f>
        <v/>
      </c>
      <c r="AR11" s="33">
        <f>AQ11+AR10</f>
        <v/>
      </c>
      <c r="AS11" s="33">
        <f>AR11+AS10</f>
        <v/>
      </c>
      <c r="AT11" s="33">
        <f>AS11+AT10</f>
        <v/>
      </c>
      <c r="AU11" s="33">
        <f>AT11+AU10</f>
        <v/>
      </c>
      <c r="AV11" s="33">
        <f>AU11+AV10</f>
        <v/>
      </c>
      <c r="AW11" s="33">
        <f>AV11+AW10</f>
        <v/>
      </c>
      <c r="AX11" s="33">
        <f>AW11+AX10</f>
        <v/>
      </c>
      <c r="AY11" s="33">
        <f>AX11+AY10</f>
        <v/>
      </c>
      <c r="AZ11" s="33">
        <f>AY11+AZ10</f>
        <v/>
      </c>
      <c r="BA11" s="33">
        <f>AZ11+BA10</f>
        <v/>
      </c>
      <c r="BB11" s="33">
        <f>BA11+BB10</f>
        <v/>
      </c>
      <c r="BC11" s="33">
        <f>BB11+BC10</f>
        <v/>
      </c>
      <c r="BD11" s="33">
        <f>BC11+BD10</f>
        <v/>
      </c>
      <c r="BE11" s="33">
        <f>BD11+BE10</f>
        <v/>
      </c>
      <c r="BF11" s="33">
        <f>BE11+BF10</f>
        <v/>
      </c>
    </row>
    <row r="12">
      <c r="A12" s="14" t="inlineStr"/>
      <c r="B12" s="14" t="inlineStr"/>
      <c r="C12" s="35" t="n"/>
      <c r="D12" s="35" t="n"/>
      <c r="E12" s="35" t="n"/>
      <c r="F12" s="14" t="inlineStr">
        <is>
          <t>% Completude</t>
        </is>
      </c>
      <c r="G12" s="34">
        <f>IF(PARÂMETROS!D18&gt;0,G11/PARÂMETROS!D18,0)</f>
        <v/>
      </c>
      <c r="H12" s="34">
        <f>IF(PARÂMETROS!D18&gt;0,H11/PARÂMETROS!D18,0)</f>
        <v/>
      </c>
      <c r="I12" s="34">
        <f>IF(PARÂMETROS!D18&gt;0,I11/PARÂMETROS!D18,0)</f>
        <v/>
      </c>
      <c r="J12" s="34">
        <f>IF(PARÂMETROS!D18&gt;0,J11/PARÂMETROS!D18,0)</f>
        <v/>
      </c>
      <c r="K12" s="34">
        <f>IF(PARÂMETROS!D18&gt;0,K11/PARÂMETROS!D18,0)</f>
        <v/>
      </c>
      <c r="L12" s="34">
        <f>IF(PARÂMETROS!D18&gt;0,L11/PARÂMETROS!D18,0)</f>
        <v/>
      </c>
      <c r="M12" s="34">
        <f>IF(PARÂMETROS!D18&gt;0,M11/PARÂMETROS!D18,0)</f>
        <v/>
      </c>
      <c r="N12" s="34">
        <f>IF(PARÂMETROS!D18&gt;0,N11/PARÂMETROS!D18,0)</f>
        <v/>
      </c>
      <c r="O12" s="34">
        <f>IF(PARÂMETROS!D18&gt;0,O11/PARÂMETROS!D18,0)</f>
        <v/>
      </c>
      <c r="P12" s="34">
        <f>IF(PARÂMETROS!D18&gt;0,P11/PARÂMETROS!D18,0)</f>
        <v/>
      </c>
      <c r="Q12" s="34">
        <f>IF(PARÂMETROS!D18&gt;0,Q11/PARÂMETROS!D18,0)</f>
        <v/>
      </c>
      <c r="R12" s="34">
        <f>IF(PARÂMETROS!D18&gt;0,R11/PARÂMETROS!D18,0)</f>
        <v/>
      </c>
      <c r="S12" s="34">
        <f>IF(PARÂMETROS!D18&gt;0,S11/PARÂMETROS!D18,0)</f>
        <v/>
      </c>
      <c r="T12" s="34">
        <f>IF(PARÂMETROS!D18&gt;0,T11/PARÂMETROS!D18,0)</f>
        <v/>
      </c>
      <c r="U12" s="34">
        <f>IF(PARÂMETROS!D18&gt;0,U11/PARÂMETROS!D18,0)</f>
        <v/>
      </c>
      <c r="V12" s="34">
        <f>IF(PARÂMETROS!D18&gt;0,V11/PARÂMETROS!D18,0)</f>
        <v/>
      </c>
      <c r="W12" s="34">
        <f>IF(PARÂMETROS!D18&gt;0,W11/PARÂMETROS!D18,0)</f>
        <v/>
      </c>
      <c r="X12" s="34">
        <f>IF(PARÂMETROS!D18&gt;0,X11/PARÂMETROS!D18,0)</f>
        <v/>
      </c>
      <c r="Y12" s="34">
        <f>IF(PARÂMETROS!D18&gt;0,Y11/PARÂMETROS!D18,0)</f>
        <v/>
      </c>
      <c r="Z12" s="34">
        <f>IF(PARÂMETROS!D18&gt;0,Z11/PARÂMETROS!D18,0)</f>
        <v/>
      </c>
      <c r="AA12" s="34">
        <f>IF(PARÂMETROS!D18&gt;0,AA11/PARÂMETROS!D18,0)</f>
        <v/>
      </c>
      <c r="AB12" s="34">
        <f>IF(PARÂMETROS!D18&gt;0,AB11/PARÂMETROS!D18,0)</f>
        <v/>
      </c>
      <c r="AC12" s="34">
        <f>IF(PARÂMETROS!D18&gt;0,AC11/PARÂMETROS!D18,0)</f>
        <v/>
      </c>
      <c r="AD12" s="34">
        <f>IF(PARÂMETROS!D18&gt;0,AD11/PARÂMETROS!D18,0)</f>
        <v/>
      </c>
      <c r="AE12" s="34">
        <f>IF(PARÂMETROS!D18&gt;0,AE11/PARÂMETROS!D18,0)</f>
        <v/>
      </c>
      <c r="AF12" s="34">
        <f>IF(PARÂMETROS!D18&gt;0,AF11/PARÂMETROS!D18,0)</f>
        <v/>
      </c>
      <c r="AG12" s="34">
        <f>IF(PARÂMETROS!D18&gt;0,AG11/PARÂMETROS!D18,0)</f>
        <v/>
      </c>
      <c r="AH12" s="34">
        <f>IF(PARÂMETROS!D18&gt;0,AH11/PARÂMETROS!D18,0)</f>
        <v/>
      </c>
      <c r="AI12" s="34">
        <f>IF(PARÂMETROS!D18&gt;0,AI11/PARÂMETROS!D18,0)</f>
        <v/>
      </c>
      <c r="AJ12" s="34">
        <f>IF(PARÂMETROS!D18&gt;0,AJ11/PARÂMETROS!D18,0)</f>
        <v/>
      </c>
      <c r="AK12" s="34">
        <f>IF(PARÂMETROS!D18&gt;0,AK11/PARÂMETROS!D18,0)</f>
        <v/>
      </c>
      <c r="AL12" s="34">
        <f>IF(PARÂMETROS!D18&gt;0,AL11/PARÂMETROS!D18,0)</f>
        <v/>
      </c>
      <c r="AM12" s="34">
        <f>IF(PARÂMETROS!D18&gt;0,AM11/PARÂMETROS!D18,0)</f>
        <v/>
      </c>
      <c r="AN12" s="34">
        <f>IF(PARÂMETROS!D18&gt;0,AN11/PARÂMETROS!D18,0)</f>
        <v/>
      </c>
      <c r="AO12" s="34">
        <f>IF(PARÂMETROS!D18&gt;0,AO11/PARÂMETROS!D18,0)</f>
        <v/>
      </c>
      <c r="AP12" s="34">
        <f>IF(PARÂMETROS!D18&gt;0,AP11/PARÂMETROS!D18,0)</f>
        <v/>
      </c>
      <c r="AQ12" s="34">
        <f>IF(PARÂMETROS!D18&gt;0,AQ11/PARÂMETROS!D18,0)</f>
        <v/>
      </c>
      <c r="AR12" s="34">
        <f>IF(PARÂMETROS!D18&gt;0,AR11/PARÂMETROS!D18,0)</f>
        <v/>
      </c>
      <c r="AS12" s="34">
        <f>IF(PARÂMETROS!D18&gt;0,AS11/PARÂMETROS!D18,0)</f>
        <v/>
      </c>
      <c r="AT12" s="34">
        <f>IF(PARÂMETROS!D18&gt;0,AT11/PARÂMETROS!D18,0)</f>
        <v/>
      </c>
      <c r="AU12" s="34">
        <f>IF(PARÂMETROS!D18&gt;0,AU11/PARÂMETROS!D18,0)</f>
        <v/>
      </c>
      <c r="AV12" s="34">
        <f>IF(PARÂMETROS!D18&gt;0,AV11/PARÂMETROS!D18,0)</f>
        <v/>
      </c>
      <c r="AW12" s="34">
        <f>IF(PARÂMETROS!D18&gt;0,AW11/PARÂMETROS!D18,0)</f>
        <v/>
      </c>
      <c r="AX12" s="34">
        <f>IF(PARÂMETROS!D18&gt;0,AX11/PARÂMETROS!D18,0)</f>
        <v/>
      </c>
      <c r="AY12" s="34">
        <f>IF(PARÂMETROS!D18&gt;0,AY11/PARÂMETROS!D18,0)</f>
        <v/>
      </c>
      <c r="AZ12" s="34">
        <f>IF(PARÂMETROS!D18&gt;0,AZ11/PARÂMETROS!D18,0)</f>
        <v/>
      </c>
      <c r="BA12" s="34">
        <f>IF(PARÂMETROS!D18&gt;0,BA11/PARÂMETROS!D18,0)</f>
        <v/>
      </c>
      <c r="BB12" s="34">
        <f>IF(PARÂMETROS!D18&gt;0,BB11/PARÂMETROS!D18,0)</f>
        <v/>
      </c>
      <c r="BC12" s="34">
        <f>IF(PARÂMETROS!D18&gt;0,BC11/PARÂMETROS!D18,0)</f>
        <v/>
      </c>
      <c r="BD12" s="34">
        <f>IF(PARÂMETROS!D18&gt;0,BD11/PARÂMETROS!D18,0)</f>
        <v/>
      </c>
      <c r="BE12" s="34">
        <f>IF(PARÂMETROS!D18&gt;0,BE11/PARÂMETROS!D18,0)</f>
        <v/>
      </c>
      <c r="BF12" s="34">
        <f>IF(PARÂMETROS!D18&gt;0,BF11/PARÂMETROS!D18,0)</f>
        <v/>
      </c>
    </row>
    <row r="13">
      <c r="A13" s="14" t="inlineStr">
        <is>
          <t>eap-1_3</t>
        </is>
      </c>
      <c r="B13" s="14" t="inlineStr">
        <is>
          <t>Esc/carg/transp 2aCat DMT</t>
        </is>
      </c>
      <c r="C13" s="16">
        <f>PARÂMETROS!D19</f>
        <v/>
      </c>
      <c r="D13" s="33">
        <f>SUM(G13:BF13)</f>
        <v/>
      </c>
      <c r="E13" s="34">
        <f>IF(C13&gt;0,(D13-C13)/C13,0)</f>
        <v/>
      </c>
      <c r="F13" s="14" t="inlineStr">
        <is>
          <t>Produção semanal</t>
        </is>
      </c>
      <c r="G13" s="33">
        <f>IFERROR(PARÂMETROS!D98*PARÂMETROS!E19*PARÂMETROS!$B$4*PARÂMETROS!$B$5*PARÂMETROS!$B$40,0)</f>
        <v/>
      </c>
      <c r="H13" s="33">
        <f>IFERROR(PARÂMETROS!E98*PARÂMETROS!E19*PARÂMETROS!$B$4*PARÂMETROS!$B$5*PARÂMETROS!$B$41,0)</f>
        <v/>
      </c>
      <c r="I13" s="33">
        <f>IFERROR(PARÂMETROS!F98*PARÂMETROS!E19*PARÂMETROS!$B$4*PARÂMETROS!$B$5*PARÂMETROS!$B$42,0)</f>
        <v/>
      </c>
      <c r="J13" s="33">
        <f>IFERROR(PARÂMETROS!G98*PARÂMETROS!E19*PARÂMETROS!$B$4*PARÂMETROS!$B$5*PARÂMETROS!$B$43,0)</f>
        <v/>
      </c>
      <c r="K13" s="33">
        <f>IFERROR(PARÂMETROS!H98*PARÂMETROS!E19*PARÂMETROS!$B$4*PARÂMETROS!$B$5*PARÂMETROS!$B$44,0)</f>
        <v/>
      </c>
      <c r="L13" s="33">
        <f>IFERROR(PARÂMETROS!I98*PARÂMETROS!E19*PARÂMETROS!$B$4*PARÂMETROS!$B$5*PARÂMETROS!$B$45,0)</f>
        <v/>
      </c>
      <c r="M13" s="33">
        <f>IFERROR(PARÂMETROS!J98*PARÂMETROS!E19*PARÂMETROS!$B$4*PARÂMETROS!$B$5*PARÂMETROS!$B$46,0)</f>
        <v/>
      </c>
      <c r="N13" s="33">
        <f>IFERROR(PARÂMETROS!K98*PARÂMETROS!E19*PARÂMETROS!$B$4*PARÂMETROS!$B$5*PARÂMETROS!$B$47,0)</f>
        <v/>
      </c>
      <c r="O13" s="33">
        <f>IFERROR(PARÂMETROS!L98*PARÂMETROS!E19*PARÂMETROS!$B$4*PARÂMETROS!$B$5*PARÂMETROS!$B$48,0)</f>
        <v/>
      </c>
      <c r="P13" s="33">
        <f>IFERROR(PARÂMETROS!M98*PARÂMETROS!E19*PARÂMETROS!$B$4*PARÂMETROS!$B$5*PARÂMETROS!$B$49,0)</f>
        <v/>
      </c>
      <c r="Q13" s="33">
        <f>IFERROR(PARÂMETROS!N98*PARÂMETROS!E19*PARÂMETROS!$B$4*PARÂMETROS!$B$5*PARÂMETROS!$B$50,0)</f>
        <v/>
      </c>
      <c r="R13" s="33">
        <f>IFERROR(PARÂMETROS!O98*PARÂMETROS!E19*PARÂMETROS!$B$4*PARÂMETROS!$B$5*PARÂMETROS!$B$51,0)</f>
        <v/>
      </c>
      <c r="S13" s="33">
        <f>IFERROR(PARÂMETROS!P98*PARÂMETROS!E19*PARÂMETROS!$B$4*PARÂMETROS!$B$5*PARÂMETROS!$B$52,0)</f>
        <v/>
      </c>
      <c r="T13" s="33">
        <f>IFERROR(PARÂMETROS!Q98*PARÂMETROS!E19*PARÂMETROS!$B$4*PARÂMETROS!$B$5*PARÂMETROS!$B$53,0)</f>
        <v/>
      </c>
      <c r="U13" s="33">
        <f>IFERROR(PARÂMETROS!R98*PARÂMETROS!E19*PARÂMETROS!$B$4*PARÂMETROS!$B$5*PARÂMETROS!$B$54,0)</f>
        <v/>
      </c>
      <c r="V13" s="33">
        <f>IFERROR(PARÂMETROS!S98*PARÂMETROS!E19*PARÂMETROS!$B$4*PARÂMETROS!$B$5*PARÂMETROS!$B$55,0)</f>
        <v/>
      </c>
      <c r="W13" s="33">
        <f>IFERROR(PARÂMETROS!T98*PARÂMETROS!E19*PARÂMETROS!$B$4*PARÂMETROS!$B$5*PARÂMETROS!$B$56,0)</f>
        <v/>
      </c>
      <c r="X13" s="33">
        <f>IFERROR(PARÂMETROS!U98*PARÂMETROS!E19*PARÂMETROS!$B$4*PARÂMETROS!$B$5*PARÂMETROS!$B$57,0)</f>
        <v/>
      </c>
      <c r="Y13" s="33">
        <f>IFERROR(PARÂMETROS!V98*PARÂMETROS!E19*PARÂMETROS!$B$4*PARÂMETROS!$B$5*PARÂMETROS!$B$58,0)</f>
        <v/>
      </c>
      <c r="Z13" s="33">
        <f>IFERROR(PARÂMETROS!W98*PARÂMETROS!E19*PARÂMETROS!$B$4*PARÂMETROS!$B$5*PARÂMETROS!$B$59,0)</f>
        <v/>
      </c>
      <c r="AA13" s="33">
        <f>IFERROR(PARÂMETROS!X98*PARÂMETROS!E19*PARÂMETROS!$B$4*PARÂMETROS!$B$5*PARÂMETROS!$B$60,0)</f>
        <v/>
      </c>
      <c r="AB13" s="33">
        <f>IFERROR(PARÂMETROS!Y98*PARÂMETROS!E19*PARÂMETROS!$B$4*PARÂMETROS!$B$5*PARÂMETROS!$B$61,0)</f>
        <v/>
      </c>
      <c r="AC13" s="33">
        <f>IFERROR(PARÂMETROS!Z98*PARÂMETROS!E19*PARÂMETROS!$B$4*PARÂMETROS!$B$5*PARÂMETROS!$B$62,0)</f>
        <v/>
      </c>
      <c r="AD13" s="33">
        <f>IFERROR(PARÂMETROS!AA98*PARÂMETROS!E19*PARÂMETROS!$B$4*PARÂMETROS!$B$5*PARÂMETROS!$B$63,0)</f>
        <v/>
      </c>
      <c r="AE13" s="33">
        <f>IFERROR(PARÂMETROS!AB98*PARÂMETROS!E19*PARÂMETROS!$B$4*PARÂMETROS!$B$5*PARÂMETROS!$B$64,0)</f>
        <v/>
      </c>
      <c r="AF13" s="33">
        <f>IFERROR(PARÂMETROS!AC98*PARÂMETROS!E19*PARÂMETROS!$B$4*PARÂMETROS!$B$5*PARÂMETROS!$B$65,0)</f>
        <v/>
      </c>
      <c r="AG13" s="33">
        <f>IFERROR(PARÂMETROS!AD98*PARÂMETROS!E19*PARÂMETROS!$B$4*PARÂMETROS!$B$5*PARÂMETROS!$B$66,0)</f>
        <v/>
      </c>
      <c r="AH13" s="33">
        <f>IFERROR(PARÂMETROS!AE98*PARÂMETROS!E19*PARÂMETROS!$B$4*PARÂMETROS!$B$5*PARÂMETROS!$B$67,0)</f>
        <v/>
      </c>
      <c r="AI13" s="33">
        <f>IFERROR(PARÂMETROS!AF98*PARÂMETROS!E19*PARÂMETROS!$B$4*PARÂMETROS!$B$5*PARÂMETROS!$B$68,0)</f>
        <v/>
      </c>
      <c r="AJ13" s="33">
        <f>IFERROR(PARÂMETROS!AG98*PARÂMETROS!E19*PARÂMETROS!$B$4*PARÂMETROS!$B$5*PARÂMETROS!$B$69,0)</f>
        <v/>
      </c>
      <c r="AK13" s="33">
        <f>IFERROR(PARÂMETROS!AH98*PARÂMETROS!E19*PARÂMETROS!$B$4*PARÂMETROS!$B$5*PARÂMETROS!$B$70,0)</f>
        <v/>
      </c>
      <c r="AL13" s="33">
        <f>IFERROR(PARÂMETROS!AI98*PARÂMETROS!E19*PARÂMETROS!$B$4*PARÂMETROS!$B$5*PARÂMETROS!$B$71,0)</f>
        <v/>
      </c>
      <c r="AM13" s="33">
        <f>IFERROR(PARÂMETROS!AJ98*PARÂMETROS!E19*PARÂMETROS!$B$4*PARÂMETROS!$B$5*PARÂMETROS!$B$72,0)</f>
        <v/>
      </c>
      <c r="AN13" s="33">
        <f>IFERROR(PARÂMETROS!AK98*PARÂMETROS!E19*PARÂMETROS!$B$4*PARÂMETROS!$B$5*PARÂMETROS!$B$73,0)</f>
        <v/>
      </c>
      <c r="AO13" s="33">
        <f>IFERROR(PARÂMETROS!AL98*PARÂMETROS!E19*PARÂMETROS!$B$4*PARÂMETROS!$B$5*PARÂMETROS!$B$74,0)</f>
        <v/>
      </c>
      <c r="AP13" s="33">
        <f>IFERROR(PARÂMETROS!AM98*PARÂMETROS!E19*PARÂMETROS!$B$4*PARÂMETROS!$B$5*PARÂMETROS!$B$75,0)</f>
        <v/>
      </c>
      <c r="AQ13" s="33">
        <f>IFERROR(PARÂMETROS!AN98*PARÂMETROS!E19*PARÂMETROS!$B$4*PARÂMETROS!$B$5*PARÂMETROS!$B$76,0)</f>
        <v/>
      </c>
      <c r="AR13" s="33">
        <f>IFERROR(PARÂMETROS!AO98*PARÂMETROS!E19*PARÂMETROS!$B$4*PARÂMETROS!$B$5*PARÂMETROS!$B$77,0)</f>
        <v/>
      </c>
      <c r="AS13" s="33">
        <f>IFERROR(PARÂMETROS!AP98*PARÂMETROS!E19*PARÂMETROS!$B$4*PARÂMETROS!$B$5*PARÂMETROS!$B$78,0)</f>
        <v/>
      </c>
      <c r="AT13" s="33">
        <f>IFERROR(PARÂMETROS!AQ98*PARÂMETROS!E19*PARÂMETROS!$B$4*PARÂMETROS!$B$5*PARÂMETROS!$B$79,0)</f>
        <v/>
      </c>
      <c r="AU13" s="33">
        <f>IFERROR(PARÂMETROS!AR98*PARÂMETROS!E19*PARÂMETROS!$B$4*PARÂMETROS!$B$5*PARÂMETROS!$B$80,0)</f>
        <v/>
      </c>
      <c r="AV13" s="33">
        <f>IFERROR(PARÂMETROS!AS98*PARÂMETROS!E19*PARÂMETROS!$B$4*PARÂMETROS!$B$5*PARÂMETROS!$B$81,0)</f>
        <v/>
      </c>
      <c r="AW13" s="33">
        <f>IFERROR(PARÂMETROS!AT98*PARÂMETROS!E19*PARÂMETROS!$B$4*PARÂMETROS!$B$5*PARÂMETROS!$B$82,0)</f>
        <v/>
      </c>
      <c r="AX13" s="33">
        <f>IFERROR(PARÂMETROS!AU98*PARÂMETROS!E19*PARÂMETROS!$B$4*PARÂMETROS!$B$5*PARÂMETROS!$B$83,0)</f>
        <v/>
      </c>
      <c r="AY13" s="33">
        <f>IFERROR(PARÂMETROS!AV98*PARÂMETROS!E19*PARÂMETROS!$B$4*PARÂMETROS!$B$5*PARÂMETROS!$B$84,0)</f>
        <v/>
      </c>
      <c r="AZ13" s="33">
        <f>IFERROR(PARÂMETROS!AW98*PARÂMETROS!E19*PARÂMETROS!$B$4*PARÂMETROS!$B$5*PARÂMETROS!$B$85,0)</f>
        <v/>
      </c>
      <c r="BA13" s="33">
        <f>IFERROR(PARÂMETROS!AX98*PARÂMETROS!E19*PARÂMETROS!$B$4*PARÂMETROS!$B$5*PARÂMETROS!$B$86,0)</f>
        <v/>
      </c>
      <c r="BB13" s="33">
        <f>IFERROR(PARÂMETROS!AY98*PARÂMETROS!E19*PARÂMETROS!$B$4*PARÂMETROS!$B$5*PARÂMETROS!$B$87,0)</f>
        <v/>
      </c>
      <c r="BC13" s="33">
        <f>IFERROR(PARÂMETROS!AZ98*PARÂMETROS!E19*PARÂMETROS!$B$4*PARÂMETROS!$B$5*PARÂMETROS!$B$88,0)</f>
        <v/>
      </c>
      <c r="BD13" s="33">
        <f>IFERROR(PARÂMETROS!BA98*PARÂMETROS!E19*PARÂMETROS!$B$4*PARÂMETROS!$B$5*PARÂMETROS!$B$89,0)</f>
        <v/>
      </c>
      <c r="BE13" s="33">
        <f>IFERROR(PARÂMETROS!BB98*PARÂMETROS!E19*PARÂMETROS!$B$4*PARÂMETROS!$B$5*PARÂMETROS!$B$90,0)</f>
        <v/>
      </c>
      <c r="BF13" s="33">
        <f>IFERROR(PARÂMETROS!BC98*PARÂMETROS!E19*PARÂMETROS!$B$4*PARÂMETROS!$B$5*PARÂMETROS!$B$91,0)</f>
        <v/>
      </c>
    </row>
    <row r="14">
      <c r="A14" s="14" t="inlineStr"/>
      <c r="B14" s="14" t="inlineStr"/>
      <c r="C14" s="35" t="n"/>
      <c r="D14" s="35" t="n"/>
      <c r="E14" s="35" t="n"/>
      <c r="F14" s="14" t="inlineStr">
        <is>
          <t>Acumulado</t>
        </is>
      </c>
      <c r="G14" s="33">
        <f>G13</f>
        <v/>
      </c>
      <c r="H14" s="33">
        <f>G14+H13</f>
        <v/>
      </c>
      <c r="I14" s="33">
        <f>H14+I13</f>
        <v/>
      </c>
      <c r="J14" s="33">
        <f>I14+J13</f>
        <v/>
      </c>
      <c r="K14" s="33">
        <f>J14+K13</f>
        <v/>
      </c>
      <c r="L14" s="33">
        <f>K14+L13</f>
        <v/>
      </c>
      <c r="M14" s="33">
        <f>L14+M13</f>
        <v/>
      </c>
      <c r="N14" s="33">
        <f>M14+N13</f>
        <v/>
      </c>
      <c r="O14" s="33">
        <f>N14+O13</f>
        <v/>
      </c>
      <c r="P14" s="33">
        <f>O14+P13</f>
        <v/>
      </c>
      <c r="Q14" s="33">
        <f>P14+Q13</f>
        <v/>
      </c>
      <c r="R14" s="33">
        <f>Q14+R13</f>
        <v/>
      </c>
      <c r="S14" s="33">
        <f>R14+S13</f>
        <v/>
      </c>
      <c r="T14" s="33">
        <f>S14+T13</f>
        <v/>
      </c>
      <c r="U14" s="33">
        <f>T14+U13</f>
        <v/>
      </c>
      <c r="V14" s="33">
        <f>U14+V13</f>
        <v/>
      </c>
      <c r="W14" s="33">
        <f>V14+W13</f>
        <v/>
      </c>
      <c r="X14" s="33">
        <f>W14+X13</f>
        <v/>
      </c>
      <c r="Y14" s="33">
        <f>X14+Y13</f>
        <v/>
      </c>
      <c r="Z14" s="33">
        <f>Y14+Z13</f>
        <v/>
      </c>
      <c r="AA14" s="33">
        <f>Z14+AA13</f>
        <v/>
      </c>
      <c r="AB14" s="33">
        <f>AA14+AB13</f>
        <v/>
      </c>
      <c r="AC14" s="33">
        <f>AB14+AC13</f>
        <v/>
      </c>
      <c r="AD14" s="33">
        <f>AC14+AD13</f>
        <v/>
      </c>
      <c r="AE14" s="33">
        <f>AD14+AE13</f>
        <v/>
      </c>
      <c r="AF14" s="33">
        <f>AE14+AF13</f>
        <v/>
      </c>
      <c r="AG14" s="33">
        <f>AF14+AG13</f>
        <v/>
      </c>
      <c r="AH14" s="33">
        <f>AG14+AH13</f>
        <v/>
      </c>
      <c r="AI14" s="33">
        <f>AH14+AI13</f>
        <v/>
      </c>
      <c r="AJ14" s="33">
        <f>AI14+AJ13</f>
        <v/>
      </c>
      <c r="AK14" s="33">
        <f>AJ14+AK13</f>
        <v/>
      </c>
      <c r="AL14" s="33">
        <f>AK14+AL13</f>
        <v/>
      </c>
      <c r="AM14" s="33">
        <f>AL14+AM13</f>
        <v/>
      </c>
      <c r="AN14" s="33">
        <f>AM14+AN13</f>
        <v/>
      </c>
      <c r="AO14" s="33">
        <f>AN14+AO13</f>
        <v/>
      </c>
      <c r="AP14" s="33">
        <f>AO14+AP13</f>
        <v/>
      </c>
      <c r="AQ14" s="33">
        <f>AP14+AQ13</f>
        <v/>
      </c>
      <c r="AR14" s="33">
        <f>AQ14+AR13</f>
        <v/>
      </c>
      <c r="AS14" s="33">
        <f>AR14+AS13</f>
        <v/>
      </c>
      <c r="AT14" s="33">
        <f>AS14+AT13</f>
        <v/>
      </c>
      <c r="AU14" s="33">
        <f>AT14+AU13</f>
        <v/>
      </c>
      <c r="AV14" s="33">
        <f>AU14+AV13</f>
        <v/>
      </c>
      <c r="AW14" s="33">
        <f>AV14+AW13</f>
        <v/>
      </c>
      <c r="AX14" s="33">
        <f>AW14+AX13</f>
        <v/>
      </c>
      <c r="AY14" s="33">
        <f>AX14+AY13</f>
        <v/>
      </c>
      <c r="AZ14" s="33">
        <f>AY14+AZ13</f>
        <v/>
      </c>
      <c r="BA14" s="33">
        <f>AZ14+BA13</f>
        <v/>
      </c>
      <c r="BB14" s="33">
        <f>BA14+BB13</f>
        <v/>
      </c>
      <c r="BC14" s="33">
        <f>BB14+BC13</f>
        <v/>
      </c>
      <c r="BD14" s="33">
        <f>BC14+BD13</f>
        <v/>
      </c>
      <c r="BE14" s="33">
        <f>BD14+BE13</f>
        <v/>
      </c>
      <c r="BF14" s="33">
        <f>BE14+BF13</f>
        <v/>
      </c>
    </row>
    <row r="15">
      <c r="A15" s="14" t="inlineStr"/>
      <c r="B15" s="14" t="inlineStr"/>
      <c r="C15" s="35" t="n"/>
      <c r="D15" s="35" t="n"/>
      <c r="E15" s="35" t="n"/>
      <c r="F15" s="14" t="inlineStr">
        <is>
          <t>% Completude</t>
        </is>
      </c>
      <c r="G15" s="34">
        <f>IF(PARÂMETROS!D19&gt;0,G14/PARÂMETROS!D19,0)</f>
        <v/>
      </c>
      <c r="H15" s="34">
        <f>IF(PARÂMETROS!D19&gt;0,H14/PARÂMETROS!D19,0)</f>
        <v/>
      </c>
      <c r="I15" s="34">
        <f>IF(PARÂMETROS!D19&gt;0,I14/PARÂMETROS!D19,0)</f>
        <v/>
      </c>
      <c r="J15" s="34">
        <f>IF(PARÂMETROS!D19&gt;0,J14/PARÂMETROS!D19,0)</f>
        <v/>
      </c>
      <c r="K15" s="34">
        <f>IF(PARÂMETROS!D19&gt;0,K14/PARÂMETROS!D19,0)</f>
        <v/>
      </c>
      <c r="L15" s="34">
        <f>IF(PARÂMETROS!D19&gt;0,L14/PARÂMETROS!D19,0)</f>
        <v/>
      </c>
      <c r="M15" s="34">
        <f>IF(PARÂMETROS!D19&gt;0,M14/PARÂMETROS!D19,0)</f>
        <v/>
      </c>
      <c r="N15" s="34">
        <f>IF(PARÂMETROS!D19&gt;0,N14/PARÂMETROS!D19,0)</f>
        <v/>
      </c>
      <c r="O15" s="34">
        <f>IF(PARÂMETROS!D19&gt;0,O14/PARÂMETROS!D19,0)</f>
        <v/>
      </c>
      <c r="P15" s="34">
        <f>IF(PARÂMETROS!D19&gt;0,P14/PARÂMETROS!D19,0)</f>
        <v/>
      </c>
      <c r="Q15" s="34">
        <f>IF(PARÂMETROS!D19&gt;0,Q14/PARÂMETROS!D19,0)</f>
        <v/>
      </c>
      <c r="R15" s="34">
        <f>IF(PARÂMETROS!D19&gt;0,R14/PARÂMETROS!D19,0)</f>
        <v/>
      </c>
      <c r="S15" s="34">
        <f>IF(PARÂMETROS!D19&gt;0,S14/PARÂMETROS!D19,0)</f>
        <v/>
      </c>
      <c r="T15" s="34">
        <f>IF(PARÂMETROS!D19&gt;0,T14/PARÂMETROS!D19,0)</f>
        <v/>
      </c>
      <c r="U15" s="34">
        <f>IF(PARÂMETROS!D19&gt;0,U14/PARÂMETROS!D19,0)</f>
        <v/>
      </c>
      <c r="V15" s="34">
        <f>IF(PARÂMETROS!D19&gt;0,V14/PARÂMETROS!D19,0)</f>
        <v/>
      </c>
      <c r="W15" s="34">
        <f>IF(PARÂMETROS!D19&gt;0,W14/PARÂMETROS!D19,0)</f>
        <v/>
      </c>
      <c r="X15" s="34">
        <f>IF(PARÂMETROS!D19&gt;0,X14/PARÂMETROS!D19,0)</f>
        <v/>
      </c>
      <c r="Y15" s="34">
        <f>IF(PARÂMETROS!D19&gt;0,Y14/PARÂMETROS!D19,0)</f>
        <v/>
      </c>
      <c r="Z15" s="34">
        <f>IF(PARÂMETROS!D19&gt;0,Z14/PARÂMETROS!D19,0)</f>
        <v/>
      </c>
      <c r="AA15" s="34">
        <f>IF(PARÂMETROS!D19&gt;0,AA14/PARÂMETROS!D19,0)</f>
        <v/>
      </c>
      <c r="AB15" s="34">
        <f>IF(PARÂMETROS!D19&gt;0,AB14/PARÂMETROS!D19,0)</f>
        <v/>
      </c>
      <c r="AC15" s="34">
        <f>IF(PARÂMETROS!D19&gt;0,AC14/PARÂMETROS!D19,0)</f>
        <v/>
      </c>
      <c r="AD15" s="34">
        <f>IF(PARÂMETROS!D19&gt;0,AD14/PARÂMETROS!D19,0)</f>
        <v/>
      </c>
      <c r="AE15" s="34">
        <f>IF(PARÂMETROS!D19&gt;0,AE14/PARÂMETROS!D19,0)</f>
        <v/>
      </c>
      <c r="AF15" s="34">
        <f>IF(PARÂMETROS!D19&gt;0,AF14/PARÂMETROS!D19,0)</f>
        <v/>
      </c>
      <c r="AG15" s="34">
        <f>IF(PARÂMETROS!D19&gt;0,AG14/PARÂMETROS!D19,0)</f>
        <v/>
      </c>
      <c r="AH15" s="34">
        <f>IF(PARÂMETROS!D19&gt;0,AH14/PARÂMETROS!D19,0)</f>
        <v/>
      </c>
      <c r="AI15" s="34">
        <f>IF(PARÂMETROS!D19&gt;0,AI14/PARÂMETROS!D19,0)</f>
        <v/>
      </c>
      <c r="AJ15" s="34">
        <f>IF(PARÂMETROS!D19&gt;0,AJ14/PARÂMETROS!D19,0)</f>
        <v/>
      </c>
      <c r="AK15" s="34">
        <f>IF(PARÂMETROS!D19&gt;0,AK14/PARÂMETROS!D19,0)</f>
        <v/>
      </c>
      <c r="AL15" s="34">
        <f>IF(PARÂMETROS!D19&gt;0,AL14/PARÂMETROS!D19,0)</f>
        <v/>
      </c>
      <c r="AM15" s="34">
        <f>IF(PARÂMETROS!D19&gt;0,AM14/PARÂMETROS!D19,0)</f>
        <v/>
      </c>
      <c r="AN15" s="34">
        <f>IF(PARÂMETROS!D19&gt;0,AN14/PARÂMETROS!D19,0)</f>
        <v/>
      </c>
      <c r="AO15" s="34">
        <f>IF(PARÂMETROS!D19&gt;0,AO14/PARÂMETROS!D19,0)</f>
        <v/>
      </c>
      <c r="AP15" s="34">
        <f>IF(PARÂMETROS!D19&gt;0,AP14/PARÂMETROS!D19,0)</f>
        <v/>
      </c>
      <c r="AQ15" s="34">
        <f>IF(PARÂMETROS!D19&gt;0,AQ14/PARÂMETROS!D19,0)</f>
        <v/>
      </c>
      <c r="AR15" s="34">
        <f>IF(PARÂMETROS!D19&gt;0,AR14/PARÂMETROS!D19,0)</f>
        <v/>
      </c>
      <c r="AS15" s="34">
        <f>IF(PARÂMETROS!D19&gt;0,AS14/PARÂMETROS!D19,0)</f>
        <v/>
      </c>
      <c r="AT15" s="34">
        <f>IF(PARÂMETROS!D19&gt;0,AT14/PARÂMETROS!D19,0)</f>
        <v/>
      </c>
      <c r="AU15" s="34">
        <f>IF(PARÂMETROS!D19&gt;0,AU14/PARÂMETROS!D19,0)</f>
        <v/>
      </c>
      <c r="AV15" s="34">
        <f>IF(PARÂMETROS!D19&gt;0,AV14/PARÂMETROS!D19,0)</f>
        <v/>
      </c>
      <c r="AW15" s="34">
        <f>IF(PARÂMETROS!D19&gt;0,AW14/PARÂMETROS!D19,0)</f>
        <v/>
      </c>
      <c r="AX15" s="34">
        <f>IF(PARÂMETROS!D19&gt;0,AX14/PARÂMETROS!D19,0)</f>
        <v/>
      </c>
      <c r="AY15" s="34">
        <f>IF(PARÂMETROS!D19&gt;0,AY14/PARÂMETROS!D19,0)</f>
        <v/>
      </c>
      <c r="AZ15" s="34">
        <f>IF(PARÂMETROS!D19&gt;0,AZ14/PARÂMETROS!D19,0)</f>
        <v/>
      </c>
      <c r="BA15" s="34">
        <f>IF(PARÂMETROS!D19&gt;0,BA14/PARÂMETROS!D19,0)</f>
        <v/>
      </c>
      <c r="BB15" s="34">
        <f>IF(PARÂMETROS!D19&gt;0,BB14/PARÂMETROS!D19,0)</f>
        <v/>
      </c>
      <c r="BC15" s="34">
        <f>IF(PARÂMETROS!D19&gt;0,BC14/PARÂMETROS!D19,0)</f>
        <v/>
      </c>
      <c r="BD15" s="34">
        <f>IF(PARÂMETROS!D19&gt;0,BD14/PARÂMETROS!D19,0)</f>
        <v/>
      </c>
      <c r="BE15" s="34">
        <f>IF(PARÂMETROS!D19&gt;0,BE14/PARÂMETROS!D19,0)</f>
        <v/>
      </c>
      <c r="BF15" s="34">
        <f>IF(PARÂMETROS!D19&gt;0,BF14/PARÂMETROS!D19,0)</f>
        <v/>
      </c>
    </row>
    <row r="16">
      <c r="A16" s="14" t="inlineStr">
        <is>
          <t>eap-1_4</t>
        </is>
      </c>
      <c r="B16" s="14" t="inlineStr">
        <is>
          <t>Esc/carg/transp 2aCat DMT</t>
        </is>
      </c>
      <c r="C16" s="16">
        <f>PARÂMETROS!D20</f>
        <v/>
      </c>
      <c r="D16" s="33">
        <f>SUM(G16:BF16)</f>
        <v/>
      </c>
      <c r="E16" s="34">
        <f>IF(C16&gt;0,(D16-C16)/C16,0)</f>
        <v/>
      </c>
      <c r="F16" s="14" t="inlineStr">
        <is>
          <t>Produção semanal</t>
        </is>
      </c>
      <c r="G16" s="33">
        <f>IFERROR(PARÂMETROS!D99*PARÂMETROS!E20*PARÂMETROS!$B$4*PARÂMETROS!$B$5*PARÂMETROS!$B$40,0)</f>
        <v/>
      </c>
      <c r="H16" s="33">
        <f>IFERROR(PARÂMETROS!E99*PARÂMETROS!E20*PARÂMETROS!$B$4*PARÂMETROS!$B$5*PARÂMETROS!$B$41,0)</f>
        <v/>
      </c>
      <c r="I16" s="33">
        <f>IFERROR(PARÂMETROS!F99*PARÂMETROS!E20*PARÂMETROS!$B$4*PARÂMETROS!$B$5*PARÂMETROS!$B$42,0)</f>
        <v/>
      </c>
      <c r="J16" s="33">
        <f>IFERROR(PARÂMETROS!G99*PARÂMETROS!E20*PARÂMETROS!$B$4*PARÂMETROS!$B$5*PARÂMETROS!$B$43,0)</f>
        <v/>
      </c>
      <c r="K16" s="33">
        <f>IFERROR(PARÂMETROS!H99*PARÂMETROS!E20*PARÂMETROS!$B$4*PARÂMETROS!$B$5*PARÂMETROS!$B$44,0)</f>
        <v/>
      </c>
      <c r="L16" s="33">
        <f>IFERROR(PARÂMETROS!I99*PARÂMETROS!E20*PARÂMETROS!$B$4*PARÂMETROS!$B$5*PARÂMETROS!$B$45,0)</f>
        <v/>
      </c>
      <c r="M16" s="33">
        <f>IFERROR(PARÂMETROS!J99*PARÂMETROS!E20*PARÂMETROS!$B$4*PARÂMETROS!$B$5*PARÂMETROS!$B$46,0)</f>
        <v/>
      </c>
      <c r="N16" s="33">
        <f>IFERROR(PARÂMETROS!K99*PARÂMETROS!E20*PARÂMETROS!$B$4*PARÂMETROS!$B$5*PARÂMETROS!$B$47,0)</f>
        <v/>
      </c>
      <c r="O16" s="33">
        <f>IFERROR(PARÂMETROS!L99*PARÂMETROS!E20*PARÂMETROS!$B$4*PARÂMETROS!$B$5*PARÂMETROS!$B$48,0)</f>
        <v/>
      </c>
      <c r="P16" s="33">
        <f>IFERROR(PARÂMETROS!M99*PARÂMETROS!E20*PARÂMETROS!$B$4*PARÂMETROS!$B$5*PARÂMETROS!$B$49,0)</f>
        <v/>
      </c>
      <c r="Q16" s="33">
        <f>IFERROR(PARÂMETROS!N99*PARÂMETROS!E20*PARÂMETROS!$B$4*PARÂMETROS!$B$5*PARÂMETROS!$B$50,0)</f>
        <v/>
      </c>
      <c r="R16" s="33">
        <f>IFERROR(PARÂMETROS!O99*PARÂMETROS!E20*PARÂMETROS!$B$4*PARÂMETROS!$B$5*PARÂMETROS!$B$51,0)</f>
        <v/>
      </c>
      <c r="S16" s="33">
        <f>IFERROR(PARÂMETROS!P99*PARÂMETROS!E20*PARÂMETROS!$B$4*PARÂMETROS!$B$5*PARÂMETROS!$B$52,0)</f>
        <v/>
      </c>
      <c r="T16" s="33">
        <f>IFERROR(PARÂMETROS!Q99*PARÂMETROS!E20*PARÂMETROS!$B$4*PARÂMETROS!$B$5*PARÂMETROS!$B$53,0)</f>
        <v/>
      </c>
      <c r="U16" s="33">
        <f>IFERROR(PARÂMETROS!R99*PARÂMETROS!E20*PARÂMETROS!$B$4*PARÂMETROS!$B$5*PARÂMETROS!$B$54,0)</f>
        <v/>
      </c>
      <c r="V16" s="33">
        <f>IFERROR(PARÂMETROS!S99*PARÂMETROS!E20*PARÂMETROS!$B$4*PARÂMETROS!$B$5*PARÂMETROS!$B$55,0)</f>
        <v/>
      </c>
      <c r="W16" s="33">
        <f>IFERROR(PARÂMETROS!T99*PARÂMETROS!E20*PARÂMETROS!$B$4*PARÂMETROS!$B$5*PARÂMETROS!$B$56,0)</f>
        <v/>
      </c>
      <c r="X16" s="33">
        <f>IFERROR(PARÂMETROS!U99*PARÂMETROS!E20*PARÂMETROS!$B$4*PARÂMETROS!$B$5*PARÂMETROS!$B$57,0)</f>
        <v/>
      </c>
      <c r="Y16" s="33">
        <f>IFERROR(PARÂMETROS!V99*PARÂMETROS!E20*PARÂMETROS!$B$4*PARÂMETROS!$B$5*PARÂMETROS!$B$58,0)</f>
        <v/>
      </c>
      <c r="Z16" s="33">
        <f>IFERROR(PARÂMETROS!W99*PARÂMETROS!E20*PARÂMETROS!$B$4*PARÂMETROS!$B$5*PARÂMETROS!$B$59,0)</f>
        <v/>
      </c>
      <c r="AA16" s="33">
        <f>IFERROR(PARÂMETROS!X99*PARÂMETROS!E20*PARÂMETROS!$B$4*PARÂMETROS!$B$5*PARÂMETROS!$B$60,0)</f>
        <v/>
      </c>
      <c r="AB16" s="33">
        <f>IFERROR(PARÂMETROS!Y99*PARÂMETROS!E20*PARÂMETROS!$B$4*PARÂMETROS!$B$5*PARÂMETROS!$B$61,0)</f>
        <v/>
      </c>
      <c r="AC16" s="33">
        <f>IFERROR(PARÂMETROS!Z99*PARÂMETROS!E20*PARÂMETROS!$B$4*PARÂMETROS!$B$5*PARÂMETROS!$B$62,0)</f>
        <v/>
      </c>
      <c r="AD16" s="33">
        <f>IFERROR(PARÂMETROS!AA99*PARÂMETROS!E20*PARÂMETROS!$B$4*PARÂMETROS!$B$5*PARÂMETROS!$B$63,0)</f>
        <v/>
      </c>
      <c r="AE16" s="33">
        <f>IFERROR(PARÂMETROS!AB99*PARÂMETROS!E20*PARÂMETROS!$B$4*PARÂMETROS!$B$5*PARÂMETROS!$B$64,0)</f>
        <v/>
      </c>
      <c r="AF16" s="33">
        <f>IFERROR(PARÂMETROS!AC99*PARÂMETROS!E20*PARÂMETROS!$B$4*PARÂMETROS!$B$5*PARÂMETROS!$B$65,0)</f>
        <v/>
      </c>
      <c r="AG16" s="33">
        <f>IFERROR(PARÂMETROS!AD99*PARÂMETROS!E20*PARÂMETROS!$B$4*PARÂMETROS!$B$5*PARÂMETROS!$B$66,0)</f>
        <v/>
      </c>
      <c r="AH16" s="33">
        <f>IFERROR(PARÂMETROS!AE99*PARÂMETROS!E20*PARÂMETROS!$B$4*PARÂMETROS!$B$5*PARÂMETROS!$B$67,0)</f>
        <v/>
      </c>
      <c r="AI16" s="33">
        <f>IFERROR(PARÂMETROS!AF99*PARÂMETROS!E20*PARÂMETROS!$B$4*PARÂMETROS!$B$5*PARÂMETROS!$B$68,0)</f>
        <v/>
      </c>
      <c r="AJ16" s="33">
        <f>IFERROR(PARÂMETROS!AG99*PARÂMETROS!E20*PARÂMETROS!$B$4*PARÂMETROS!$B$5*PARÂMETROS!$B$69,0)</f>
        <v/>
      </c>
      <c r="AK16" s="33">
        <f>IFERROR(PARÂMETROS!AH99*PARÂMETROS!E20*PARÂMETROS!$B$4*PARÂMETROS!$B$5*PARÂMETROS!$B$70,0)</f>
        <v/>
      </c>
      <c r="AL16" s="33">
        <f>IFERROR(PARÂMETROS!AI99*PARÂMETROS!E20*PARÂMETROS!$B$4*PARÂMETROS!$B$5*PARÂMETROS!$B$71,0)</f>
        <v/>
      </c>
      <c r="AM16" s="33">
        <f>IFERROR(PARÂMETROS!AJ99*PARÂMETROS!E20*PARÂMETROS!$B$4*PARÂMETROS!$B$5*PARÂMETROS!$B$72,0)</f>
        <v/>
      </c>
      <c r="AN16" s="33">
        <f>IFERROR(PARÂMETROS!AK99*PARÂMETROS!E20*PARÂMETROS!$B$4*PARÂMETROS!$B$5*PARÂMETROS!$B$73,0)</f>
        <v/>
      </c>
      <c r="AO16" s="33">
        <f>IFERROR(PARÂMETROS!AL99*PARÂMETROS!E20*PARÂMETROS!$B$4*PARÂMETROS!$B$5*PARÂMETROS!$B$74,0)</f>
        <v/>
      </c>
      <c r="AP16" s="33">
        <f>IFERROR(PARÂMETROS!AM99*PARÂMETROS!E20*PARÂMETROS!$B$4*PARÂMETROS!$B$5*PARÂMETROS!$B$75,0)</f>
        <v/>
      </c>
      <c r="AQ16" s="33">
        <f>IFERROR(PARÂMETROS!AN99*PARÂMETROS!E20*PARÂMETROS!$B$4*PARÂMETROS!$B$5*PARÂMETROS!$B$76,0)</f>
        <v/>
      </c>
      <c r="AR16" s="33">
        <f>IFERROR(PARÂMETROS!AO99*PARÂMETROS!E20*PARÂMETROS!$B$4*PARÂMETROS!$B$5*PARÂMETROS!$B$77,0)</f>
        <v/>
      </c>
      <c r="AS16" s="33">
        <f>IFERROR(PARÂMETROS!AP99*PARÂMETROS!E20*PARÂMETROS!$B$4*PARÂMETROS!$B$5*PARÂMETROS!$B$78,0)</f>
        <v/>
      </c>
      <c r="AT16" s="33">
        <f>IFERROR(PARÂMETROS!AQ99*PARÂMETROS!E20*PARÂMETROS!$B$4*PARÂMETROS!$B$5*PARÂMETROS!$B$79,0)</f>
        <v/>
      </c>
      <c r="AU16" s="33">
        <f>IFERROR(PARÂMETROS!AR99*PARÂMETROS!E20*PARÂMETROS!$B$4*PARÂMETROS!$B$5*PARÂMETROS!$B$80,0)</f>
        <v/>
      </c>
      <c r="AV16" s="33">
        <f>IFERROR(PARÂMETROS!AS99*PARÂMETROS!E20*PARÂMETROS!$B$4*PARÂMETROS!$B$5*PARÂMETROS!$B$81,0)</f>
        <v/>
      </c>
      <c r="AW16" s="33">
        <f>IFERROR(PARÂMETROS!AT99*PARÂMETROS!E20*PARÂMETROS!$B$4*PARÂMETROS!$B$5*PARÂMETROS!$B$82,0)</f>
        <v/>
      </c>
      <c r="AX16" s="33">
        <f>IFERROR(PARÂMETROS!AU99*PARÂMETROS!E20*PARÂMETROS!$B$4*PARÂMETROS!$B$5*PARÂMETROS!$B$83,0)</f>
        <v/>
      </c>
      <c r="AY16" s="33">
        <f>IFERROR(PARÂMETROS!AV99*PARÂMETROS!E20*PARÂMETROS!$B$4*PARÂMETROS!$B$5*PARÂMETROS!$B$84,0)</f>
        <v/>
      </c>
      <c r="AZ16" s="33">
        <f>IFERROR(PARÂMETROS!AW99*PARÂMETROS!E20*PARÂMETROS!$B$4*PARÂMETROS!$B$5*PARÂMETROS!$B$85,0)</f>
        <v/>
      </c>
      <c r="BA16" s="33">
        <f>IFERROR(PARÂMETROS!AX99*PARÂMETROS!E20*PARÂMETROS!$B$4*PARÂMETROS!$B$5*PARÂMETROS!$B$86,0)</f>
        <v/>
      </c>
      <c r="BB16" s="33">
        <f>IFERROR(PARÂMETROS!AY99*PARÂMETROS!E20*PARÂMETROS!$B$4*PARÂMETROS!$B$5*PARÂMETROS!$B$87,0)</f>
        <v/>
      </c>
      <c r="BC16" s="33">
        <f>IFERROR(PARÂMETROS!AZ99*PARÂMETROS!E20*PARÂMETROS!$B$4*PARÂMETROS!$B$5*PARÂMETROS!$B$88,0)</f>
        <v/>
      </c>
      <c r="BD16" s="33">
        <f>IFERROR(PARÂMETROS!BA99*PARÂMETROS!E20*PARÂMETROS!$B$4*PARÂMETROS!$B$5*PARÂMETROS!$B$89,0)</f>
        <v/>
      </c>
      <c r="BE16" s="33">
        <f>IFERROR(PARÂMETROS!BB99*PARÂMETROS!E20*PARÂMETROS!$B$4*PARÂMETROS!$B$5*PARÂMETROS!$B$90,0)</f>
        <v/>
      </c>
      <c r="BF16" s="33">
        <f>IFERROR(PARÂMETROS!BC99*PARÂMETROS!E20*PARÂMETROS!$B$4*PARÂMETROS!$B$5*PARÂMETROS!$B$91,0)</f>
        <v/>
      </c>
    </row>
    <row r="17">
      <c r="A17" s="14" t="inlineStr"/>
      <c r="B17" s="14" t="inlineStr"/>
      <c r="C17" s="35" t="n"/>
      <c r="D17" s="35" t="n"/>
      <c r="E17" s="35" t="n"/>
      <c r="F17" s="14" t="inlineStr">
        <is>
          <t>Acumulado</t>
        </is>
      </c>
      <c r="G17" s="33">
        <f>G16</f>
        <v/>
      </c>
      <c r="H17" s="33">
        <f>G17+H16</f>
        <v/>
      </c>
      <c r="I17" s="33">
        <f>H17+I16</f>
        <v/>
      </c>
      <c r="J17" s="33">
        <f>I17+J16</f>
        <v/>
      </c>
      <c r="K17" s="33">
        <f>J17+K16</f>
        <v/>
      </c>
      <c r="L17" s="33">
        <f>K17+L16</f>
        <v/>
      </c>
      <c r="M17" s="33">
        <f>L17+M16</f>
        <v/>
      </c>
      <c r="N17" s="33">
        <f>M17+N16</f>
        <v/>
      </c>
      <c r="O17" s="33">
        <f>N17+O16</f>
        <v/>
      </c>
      <c r="P17" s="33">
        <f>O17+P16</f>
        <v/>
      </c>
      <c r="Q17" s="33">
        <f>P17+Q16</f>
        <v/>
      </c>
      <c r="R17" s="33">
        <f>Q17+R16</f>
        <v/>
      </c>
      <c r="S17" s="33">
        <f>R17+S16</f>
        <v/>
      </c>
      <c r="T17" s="33">
        <f>S17+T16</f>
        <v/>
      </c>
      <c r="U17" s="33">
        <f>T17+U16</f>
        <v/>
      </c>
      <c r="V17" s="33">
        <f>U17+V16</f>
        <v/>
      </c>
      <c r="W17" s="33">
        <f>V17+W16</f>
        <v/>
      </c>
      <c r="X17" s="33">
        <f>W17+X16</f>
        <v/>
      </c>
      <c r="Y17" s="33">
        <f>X17+Y16</f>
        <v/>
      </c>
      <c r="Z17" s="33">
        <f>Y17+Z16</f>
        <v/>
      </c>
      <c r="AA17" s="33">
        <f>Z17+AA16</f>
        <v/>
      </c>
      <c r="AB17" s="33">
        <f>AA17+AB16</f>
        <v/>
      </c>
      <c r="AC17" s="33">
        <f>AB17+AC16</f>
        <v/>
      </c>
      <c r="AD17" s="33">
        <f>AC17+AD16</f>
        <v/>
      </c>
      <c r="AE17" s="33">
        <f>AD17+AE16</f>
        <v/>
      </c>
      <c r="AF17" s="33">
        <f>AE17+AF16</f>
        <v/>
      </c>
      <c r="AG17" s="33">
        <f>AF17+AG16</f>
        <v/>
      </c>
      <c r="AH17" s="33">
        <f>AG17+AH16</f>
        <v/>
      </c>
      <c r="AI17" s="33">
        <f>AH17+AI16</f>
        <v/>
      </c>
      <c r="AJ17" s="33">
        <f>AI17+AJ16</f>
        <v/>
      </c>
      <c r="AK17" s="33">
        <f>AJ17+AK16</f>
        <v/>
      </c>
      <c r="AL17" s="33">
        <f>AK17+AL16</f>
        <v/>
      </c>
      <c r="AM17" s="33">
        <f>AL17+AM16</f>
        <v/>
      </c>
      <c r="AN17" s="33">
        <f>AM17+AN16</f>
        <v/>
      </c>
      <c r="AO17" s="33">
        <f>AN17+AO16</f>
        <v/>
      </c>
      <c r="AP17" s="33">
        <f>AO17+AP16</f>
        <v/>
      </c>
      <c r="AQ17" s="33">
        <f>AP17+AQ16</f>
        <v/>
      </c>
      <c r="AR17" s="33">
        <f>AQ17+AR16</f>
        <v/>
      </c>
      <c r="AS17" s="33">
        <f>AR17+AS16</f>
        <v/>
      </c>
      <c r="AT17" s="33">
        <f>AS17+AT16</f>
        <v/>
      </c>
      <c r="AU17" s="33">
        <f>AT17+AU16</f>
        <v/>
      </c>
      <c r="AV17" s="33">
        <f>AU17+AV16</f>
        <v/>
      </c>
      <c r="AW17" s="33">
        <f>AV17+AW16</f>
        <v/>
      </c>
      <c r="AX17" s="33">
        <f>AW17+AX16</f>
        <v/>
      </c>
      <c r="AY17" s="33">
        <f>AX17+AY16</f>
        <v/>
      </c>
      <c r="AZ17" s="33">
        <f>AY17+AZ16</f>
        <v/>
      </c>
      <c r="BA17" s="33">
        <f>AZ17+BA16</f>
        <v/>
      </c>
      <c r="BB17" s="33">
        <f>BA17+BB16</f>
        <v/>
      </c>
      <c r="BC17" s="33">
        <f>BB17+BC16</f>
        <v/>
      </c>
      <c r="BD17" s="33">
        <f>BC17+BD16</f>
        <v/>
      </c>
      <c r="BE17" s="33">
        <f>BD17+BE16</f>
        <v/>
      </c>
      <c r="BF17" s="33">
        <f>BE17+BF16</f>
        <v/>
      </c>
    </row>
    <row r="18">
      <c r="A18" s="14" t="inlineStr"/>
      <c r="B18" s="14" t="inlineStr"/>
      <c r="C18" s="35" t="n"/>
      <c r="D18" s="35" t="n"/>
      <c r="E18" s="35" t="n"/>
      <c r="F18" s="14" t="inlineStr">
        <is>
          <t>% Completude</t>
        </is>
      </c>
      <c r="G18" s="34">
        <f>IF(PARÂMETROS!D20&gt;0,G17/PARÂMETROS!D20,0)</f>
        <v/>
      </c>
      <c r="H18" s="34">
        <f>IF(PARÂMETROS!D20&gt;0,H17/PARÂMETROS!D20,0)</f>
        <v/>
      </c>
      <c r="I18" s="34">
        <f>IF(PARÂMETROS!D20&gt;0,I17/PARÂMETROS!D20,0)</f>
        <v/>
      </c>
      <c r="J18" s="34">
        <f>IF(PARÂMETROS!D20&gt;0,J17/PARÂMETROS!D20,0)</f>
        <v/>
      </c>
      <c r="K18" s="34">
        <f>IF(PARÂMETROS!D20&gt;0,K17/PARÂMETROS!D20,0)</f>
        <v/>
      </c>
      <c r="L18" s="34">
        <f>IF(PARÂMETROS!D20&gt;0,L17/PARÂMETROS!D20,0)</f>
        <v/>
      </c>
      <c r="M18" s="34">
        <f>IF(PARÂMETROS!D20&gt;0,M17/PARÂMETROS!D20,0)</f>
        <v/>
      </c>
      <c r="N18" s="34">
        <f>IF(PARÂMETROS!D20&gt;0,N17/PARÂMETROS!D20,0)</f>
        <v/>
      </c>
      <c r="O18" s="34">
        <f>IF(PARÂMETROS!D20&gt;0,O17/PARÂMETROS!D20,0)</f>
        <v/>
      </c>
      <c r="P18" s="34">
        <f>IF(PARÂMETROS!D20&gt;0,P17/PARÂMETROS!D20,0)</f>
        <v/>
      </c>
      <c r="Q18" s="34">
        <f>IF(PARÂMETROS!D20&gt;0,Q17/PARÂMETROS!D20,0)</f>
        <v/>
      </c>
      <c r="R18" s="34">
        <f>IF(PARÂMETROS!D20&gt;0,R17/PARÂMETROS!D20,0)</f>
        <v/>
      </c>
      <c r="S18" s="34">
        <f>IF(PARÂMETROS!D20&gt;0,S17/PARÂMETROS!D20,0)</f>
        <v/>
      </c>
      <c r="T18" s="34">
        <f>IF(PARÂMETROS!D20&gt;0,T17/PARÂMETROS!D20,0)</f>
        <v/>
      </c>
      <c r="U18" s="34">
        <f>IF(PARÂMETROS!D20&gt;0,U17/PARÂMETROS!D20,0)</f>
        <v/>
      </c>
      <c r="V18" s="34">
        <f>IF(PARÂMETROS!D20&gt;0,V17/PARÂMETROS!D20,0)</f>
        <v/>
      </c>
      <c r="W18" s="34">
        <f>IF(PARÂMETROS!D20&gt;0,W17/PARÂMETROS!D20,0)</f>
        <v/>
      </c>
      <c r="X18" s="34">
        <f>IF(PARÂMETROS!D20&gt;0,X17/PARÂMETROS!D20,0)</f>
        <v/>
      </c>
      <c r="Y18" s="34">
        <f>IF(PARÂMETROS!D20&gt;0,Y17/PARÂMETROS!D20,0)</f>
        <v/>
      </c>
      <c r="Z18" s="34">
        <f>IF(PARÂMETROS!D20&gt;0,Z17/PARÂMETROS!D20,0)</f>
        <v/>
      </c>
      <c r="AA18" s="34">
        <f>IF(PARÂMETROS!D20&gt;0,AA17/PARÂMETROS!D20,0)</f>
        <v/>
      </c>
      <c r="AB18" s="34">
        <f>IF(PARÂMETROS!D20&gt;0,AB17/PARÂMETROS!D20,0)</f>
        <v/>
      </c>
      <c r="AC18" s="34">
        <f>IF(PARÂMETROS!D20&gt;0,AC17/PARÂMETROS!D20,0)</f>
        <v/>
      </c>
      <c r="AD18" s="34">
        <f>IF(PARÂMETROS!D20&gt;0,AD17/PARÂMETROS!D20,0)</f>
        <v/>
      </c>
      <c r="AE18" s="34">
        <f>IF(PARÂMETROS!D20&gt;0,AE17/PARÂMETROS!D20,0)</f>
        <v/>
      </c>
      <c r="AF18" s="34">
        <f>IF(PARÂMETROS!D20&gt;0,AF17/PARÂMETROS!D20,0)</f>
        <v/>
      </c>
      <c r="AG18" s="34">
        <f>IF(PARÂMETROS!D20&gt;0,AG17/PARÂMETROS!D20,0)</f>
        <v/>
      </c>
      <c r="AH18" s="34">
        <f>IF(PARÂMETROS!D20&gt;0,AH17/PARÂMETROS!D20,0)</f>
        <v/>
      </c>
      <c r="AI18" s="34">
        <f>IF(PARÂMETROS!D20&gt;0,AI17/PARÂMETROS!D20,0)</f>
        <v/>
      </c>
      <c r="AJ18" s="34">
        <f>IF(PARÂMETROS!D20&gt;0,AJ17/PARÂMETROS!D20,0)</f>
        <v/>
      </c>
      <c r="AK18" s="34">
        <f>IF(PARÂMETROS!D20&gt;0,AK17/PARÂMETROS!D20,0)</f>
        <v/>
      </c>
      <c r="AL18" s="34">
        <f>IF(PARÂMETROS!D20&gt;0,AL17/PARÂMETROS!D20,0)</f>
        <v/>
      </c>
      <c r="AM18" s="34">
        <f>IF(PARÂMETROS!D20&gt;0,AM17/PARÂMETROS!D20,0)</f>
        <v/>
      </c>
      <c r="AN18" s="34">
        <f>IF(PARÂMETROS!D20&gt;0,AN17/PARÂMETROS!D20,0)</f>
        <v/>
      </c>
      <c r="AO18" s="34">
        <f>IF(PARÂMETROS!D20&gt;0,AO17/PARÂMETROS!D20,0)</f>
        <v/>
      </c>
      <c r="AP18" s="34">
        <f>IF(PARÂMETROS!D20&gt;0,AP17/PARÂMETROS!D20,0)</f>
        <v/>
      </c>
      <c r="AQ18" s="34">
        <f>IF(PARÂMETROS!D20&gt;0,AQ17/PARÂMETROS!D20,0)</f>
        <v/>
      </c>
      <c r="AR18" s="34">
        <f>IF(PARÂMETROS!D20&gt;0,AR17/PARÂMETROS!D20,0)</f>
        <v/>
      </c>
      <c r="AS18" s="34">
        <f>IF(PARÂMETROS!D20&gt;0,AS17/PARÂMETROS!D20,0)</f>
        <v/>
      </c>
      <c r="AT18" s="34">
        <f>IF(PARÂMETROS!D20&gt;0,AT17/PARÂMETROS!D20,0)</f>
        <v/>
      </c>
      <c r="AU18" s="34">
        <f>IF(PARÂMETROS!D20&gt;0,AU17/PARÂMETROS!D20,0)</f>
        <v/>
      </c>
      <c r="AV18" s="34">
        <f>IF(PARÂMETROS!D20&gt;0,AV17/PARÂMETROS!D20,0)</f>
        <v/>
      </c>
      <c r="AW18" s="34">
        <f>IF(PARÂMETROS!D20&gt;0,AW17/PARÂMETROS!D20,0)</f>
        <v/>
      </c>
      <c r="AX18" s="34">
        <f>IF(PARÂMETROS!D20&gt;0,AX17/PARÂMETROS!D20,0)</f>
        <v/>
      </c>
      <c r="AY18" s="34">
        <f>IF(PARÂMETROS!D20&gt;0,AY17/PARÂMETROS!D20,0)</f>
        <v/>
      </c>
      <c r="AZ18" s="34">
        <f>IF(PARÂMETROS!D20&gt;0,AZ17/PARÂMETROS!D20,0)</f>
        <v/>
      </c>
      <c r="BA18" s="34">
        <f>IF(PARÂMETROS!D20&gt;0,BA17/PARÂMETROS!D20,0)</f>
        <v/>
      </c>
      <c r="BB18" s="34">
        <f>IF(PARÂMETROS!D20&gt;0,BB17/PARÂMETROS!D20,0)</f>
        <v/>
      </c>
      <c r="BC18" s="34">
        <f>IF(PARÂMETROS!D20&gt;0,BC17/PARÂMETROS!D20,0)</f>
        <v/>
      </c>
      <c r="BD18" s="34">
        <f>IF(PARÂMETROS!D20&gt;0,BD17/PARÂMETROS!D20,0)</f>
        <v/>
      </c>
      <c r="BE18" s="34">
        <f>IF(PARÂMETROS!D20&gt;0,BE17/PARÂMETROS!D20,0)</f>
        <v/>
      </c>
      <c r="BF18" s="34">
        <f>IF(PARÂMETROS!D20&gt;0,BF17/PARÂMETROS!D20,0)</f>
        <v/>
      </c>
    </row>
    <row r="19">
      <c r="A19" s="14" t="inlineStr">
        <is>
          <t>eap-1_5</t>
        </is>
      </c>
      <c r="B19" s="14" t="inlineStr">
        <is>
          <t>Esc/carg/transp 3aCat DMT</t>
        </is>
      </c>
      <c r="C19" s="16">
        <f>PARÂMETROS!D21</f>
        <v/>
      </c>
      <c r="D19" s="33">
        <f>SUM(G19:BF19)</f>
        <v/>
      </c>
      <c r="E19" s="34">
        <f>IF(C19&gt;0,(D19-C19)/C19,0)</f>
        <v/>
      </c>
      <c r="F19" s="14" t="inlineStr">
        <is>
          <t>Produção semanal</t>
        </is>
      </c>
      <c r="G19" s="33">
        <f>IFERROR(PARÂMETROS!D100*PARÂMETROS!E21*PARÂMETROS!$B$4*PARÂMETROS!$B$5*PARÂMETROS!$B$40,0)</f>
        <v/>
      </c>
      <c r="H19" s="33">
        <f>IFERROR(PARÂMETROS!E100*PARÂMETROS!E21*PARÂMETROS!$B$4*PARÂMETROS!$B$5*PARÂMETROS!$B$41,0)</f>
        <v/>
      </c>
      <c r="I19" s="33">
        <f>IFERROR(PARÂMETROS!F100*PARÂMETROS!E21*PARÂMETROS!$B$4*PARÂMETROS!$B$5*PARÂMETROS!$B$42,0)</f>
        <v/>
      </c>
      <c r="J19" s="33">
        <f>IFERROR(PARÂMETROS!G100*PARÂMETROS!E21*PARÂMETROS!$B$4*PARÂMETROS!$B$5*PARÂMETROS!$B$43,0)</f>
        <v/>
      </c>
      <c r="K19" s="33">
        <f>IFERROR(PARÂMETROS!H100*PARÂMETROS!E21*PARÂMETROS!$B$4*PARÂMETROS!$B$5*PARÂMETROS!$B$44,0)</f>
        <v/>
      </c>
      <c r="L19" s="33">
        <f>IFERROR(PARÂMETROS!I100*PARÂMETROS!E21*PARÂMETROS!$B$4*PARÂMETROS!$B$5*PARÂMETROS!$B$45,0)</f>
        <v/>
      </c>
      <c r="M19" s="33">
        <f>IFERROR(PARÂMETROS!J100*PARÂMETROS!E21*PARÂMETROS!$B$4*PARÂMETROS!$B$5*PARÂMETROS!$B$46,0)</f>
        <v/>
      </c>
      <c r="N19" s="33">
        <f>IFERROR(PARÂMETROS!K100*PARÂMETROS!E21*PARÂMETROS!$B$4*PARÂMETROS!$B$5*PARÂMETROS!$B$47,0)</f>
        <v/>
      </c>
      <c r="O19" s="33">
        <f>IFERROR(PARÂMETROS!L100*PARÂMETROS!E21*PARÂMETROS!$B$4*PARÂMETROS!$B$5*PARÂMETROS!$B$48,0)</f>
        <v/>
      </c>
      <c r="P19" s="33">
        <f>IFERROR(PARÂMETROS!M100*PARÂMETROS!E21*PARÂMETROS!$B$4*PARÂMETROS!$B$5*PARÂMETROS!$B$49,0)</f>
        <v/>
      </c>
      <c r="Q19" s="33">
        <f>IFERROR(PARÂMETROS!N100*PARÂMETROS!E21*PARÂMETROS!$B$4*PARÂMETROS!$B$5*PARÂMETROS!$B$50,0)</f>
        <v/>
      </c>
      <c r="R19" s="33">
        <f>IFERROR(PARÂMETROS!O100*PARÂMETROS!E21*PARÂMETROS!$B$4*PARÂMETROS!$B$5*PARÂMETROS!$B$51,0)</f>
        <v/>
      </c>
      <c r="S19" s="33">
        <f>IFERROR(PARÂMETROS!P100*PARÂMETROS!E21*PARÂMETROS!$B$4*PARÂMETROS!$B$5*PARÂMETROS!$B$52,0)</f>
        <v/>
      </c>
      <c r="T19" s="33">
        <f>IFERROR(PARÂMETROS!Q100*PARÂMETROS!E21*PARÂMETROS!$B$4*PARÂMETROS!$B$5*PARÂMETROS!$B$53,0)</f>
        <v/>
      </c>
      <c r="U19" s="33">
        <f>IFERROR(PARÂMETROS!R100*PARÂMETROS!E21*PARÂMETROS!$B$4*PARÂMETROS!$B$5*PARÂMETROS!$B$54,0)</f>
        <v/>
      </c>
      <c r="V19" s="33">
        <f>IFERROR(PARÂMETROS!S100*PARÂMETROS!E21*PARÂMETROS!$B$4*PARÂMETROS!$B$5*PARÂMETROS!$B$55,0)</f>
        <v/>
      </c>
      <c r="W19" s="33">
        <f>IFERROR(PARÂMETROS!T100*PARÂMETROS!E21*PARÂMETROS!$B$4*PARÂMETROS!$B$5*PARÂMETROS!$B$56,0)</f>
        <v/>
      </c>
      <c r="X19" s="33">
        <f>IFERROR(PARÂMETROS!U100*PARÂMETROS!E21*PARÂMETROS!$B$4*PARÂMETROS!$B$5*PARÂMETROS!$B$57,0)</f>
        <v/>
      </c>
      <c r="Y19" s="33">
        <f>IFERROR(PARÂMETROS!V100*PARÂMETROS!E21*PARÂMETROS!$B$4*PARÂMETROS!$B$5*PARÂMETROS!$B$58,0)</f>
        <v/>
      </c>
      <c r="Z19" s="33">
        <f>IFERROR(PARÂMETROS!W100*PARÂMETROS!E21*PARÂMETROS!$B$4*PARÂMETROS!$B$5*PARÂMETROS!$B$59,0)</f>
        <v/>
      </c>
      <c r="AA19" s="33">
        <f>IFERROR(PARÂMETROS!X100*PARÂMETROS!E21*PARÂMETROS!$B$4*PARÂMETROS!$B$5*PARÂMETROS!$B$60,0)</f>
        <v/>
      </c>
      <c r="AB19" s="33">
        <f>IFERROR(PARÂMETROS!Y100*PARÂMETROS!E21*PARÂMETROS!$B$4*PARÂMETROS!$B$5*PARÂMETROS!$B$61,0)</f>
        <v/>
      </c>
      <c r="AC19" s="33">
        <f>IFERROR(PARÂMETROS!Z100*PARÂMETROS!E21*PARÂMETROS!$B$4*PARÂMETROS!$B$5*PARÂMETROS!$B$62,0)</f>
        <v/>
      </c>
      <c r="AD19" s="33">
        <f>IFERROR(PARÂMETROS!AA100*PARÂMETROS!E21*PARÂMETROS!$B$4*PARÂMETROS!$B$5*PARÂMETROS!$B$63,0)</f>
        <v/>
      </c>
      <c r="AE19" s="33">
        <f>IFERROR(PARÂMETROS!AB100*PARÂMETROS!E21*PARÂMETROS!$B$4*PARÂMETROS!$B$5*PARÂMETROS!$B$64,0)</f>
        <v/>
      </c>
      <c r="AF19" s="33">
        <f>IFERROR(PARÂMETROS!AC100*PARÂMETROS!E21*PARÂMETROS!$B$4*PARÂMETROS!$B$5*PARÂMETROS!$B$65,0)</f>
        <v/>
      </c>
      <c r="AG19" s="33">
        <f>IFERROR(PARÂMETROS!AD100*PARÂMETROS!E21*PARÂMETROS!$B$4*PARÂMETROS!$B$5*PARÂMETROS!$B$66,0)</f>
        <v/>
      </c>
      <c r="AH19" s="33">
        <f>IFERROR(PARÂMETROS!AE100*PARÂMETROS!E21*PARÂMETROS!$B$4*PARÂMETROS!$B$5*PARÂMETROS!$B$67,0)</f>
        <v/>
      </c>
      <c r="AI19" s="33">
        <f>IFERROR(PARÂMETROS!AF100*PARÂMETROS!E21*PARÂMETROS!$B$4*PARÂMETROS!$B$5*PARÂMETROS!$B$68,0)</f>
        <v/>
      </c>
      <c r="AJ19" s="33">
        <f>IFERROR(PARÂMETROS!AG100*PARÂMETROS!E21*PARÂMETROS!$B$4*PARÂMETROS!$B$5*PARÂMETROS!$B$69,0)</f>
        <v/>
      </c>
      <c r="AK19" s="33">
        <f>IFERROR(PARÂMETROS!AH100*PARÂMETROS!E21*PARÂMETROS!$B$4*PARÂMETROS!$B$5*PARÂMETROS!$B$70,0)</f>
        <v/>
      </c>
      <c r="AL19" s="33">
        <f>IFERROR(PARÂMETROS!AI100*PARÂMETROS!E21*PARÂMETROS!$B$4*PARÂMETROS!$B$5*PARÂMETROS!$B$71,0)</f>
        <v/>
      </c>
      <c r="AM19" s="33">
        <f>IFERROR(PARÂMETROS!AJ100*PARÂMETROS!E21*PARÂMETROS!$B$4*PARÂMETROS!$B$5*PARÂMETROS!$B$72,0)</f>
        <v/>
      </c>
      <c r="AN19" s="33">
        <f>IFERROR(PARÂMETROS!AK100*PARÂMETROS!E21*PARÂMETROS!$B$4*PARÂMETROS!$B$5*PARÂMETROS!$B$73,0)</f>
        <v/>
      </c>
      <c r="AO19" s="33">
        <f>IFERROR(PARÂMETROS!AL100*PARÂMETROS!E21*PARÂMETROS!$B$4*PARÂMETROS!$B$5*PARÂMETROS!$B$74,0)</f>
        <v/>
      </c>
      <c r="AP19" s="33">
        <f>IFERROR(PARÂMETROS!AM100*PARÂMETROS!E21*PARÂMETROS!$B$4*PARÂMETROS!$B$5*PARÂMETROS!$B$75,0)</f>
        <v/>
      </c>
      <c r="AQ19" s="33">
        <f>IFERROR(PARÂMETROS!AN100*PARÂMETROS!E21*PARÂMETROS!$B$4*PARÂMETROS!$B$5*PARÂMETROS!$B$76,0)</f>
        <v/>
      </c>
      <c r="AR19" s="33">
        <f>IFERROR(PARÂMETROS!AO100*PARÂMETROS!E21*PARÂMETROS!$B$4*PARÂMETROS!$B$5*PARÂMETROS!$B$77,0)</f>
        <v/>
      </c>
      <c r="AS19" s="33">
        <f>IFERROR(PARÂMETROS!AP100*PARÂMETROS!E21*PARÂMETROS!$B$4*PARÂMETROS!$B$5*PARÂMETROS!$B$78,0)</f>
        <v/>
      </c>
      <c r="AT19" s="33">
        <f>IFERROR(PARÂMETROS!AQ100*PARÂMETROS!E21*PARÂMETROS!$B$4*PARÂMETROS!$B$5*PARÂMETROS!$B$79,0)</f>
        <v/>
      </c>
      <c r="AU19" s="33">
        <f>IFERROR(PARÂMETROS!AR100*PARÂMETROS!E21*PARÂMETROS!$B$4*PARÂMETROS!$B$5*PARÂMETROS!$B$80,0)</f>
        <v/>
      </c>
      <c r="AV19" s="33">
        <f>IFERROR(PARÂMETROS!AS100*PARÂMETROS!E21*PARÂMETROS!$B$4*PARÂMETROS!$B$5*PARÂMETROS!$B$81,0)</f>
        <v/>
      </c>
      <c r="AW19" s="33">
        <f>IFERROR(PARÂMETROS!AT100*PARÂMETROS!E21*PARÂMETROS!$B$4*PARÂMETROS!$B$5*PARÂMETROS!$B$82,0)</f>
        <v/>
      </c>
      <c r="AX19" s="33">
        <f>IFERROR(PARÂMETROS!AU100*PARÂMETROS!E21*PARÂMETROS!$B$4*PARÂMETROS!$B$5*PARÂMETROS!$B$83,0)</f>
        <v/>
      </c>
      <c r="AY19" s="33">
        <f>IFERROR(PARÂMETROS!AV100*PARÂMETROS!E21*PARÂMETROS!$B$4*PARÂMETROS!$B$5*PARÂMETROS!$B$84,0)</f>
        <v/>
      </c>
      <c r="AZ19" s="33">
        <f>IFERROR(PARÂMETROS!AW100*PARÂMETROS!E21*PARÂMETROS!$B$4*PARÂMETROS!$B$5*PARÂMETROS!$B$85,0)</f>
        <v/>
      </c>
      <c r="BA19" s="33">
        <f>IFERROR(PARÂMETROS!AX100*PARÂMETROS!E21*PARÂMETROS!$B$4*PARÂMETROS!$B$5*PARÂMETROS!$B$86,0)</f>
        <v/>
      </c>
      <c r="BB19" s="33">
        <f>IFERROR(PARÂMETROS!AY100*PARÂMETROS!E21*PARÂMETROS!$B$4*PARÂMETROS!$B$5*PARÂMETROS!$B$87,0)</f>
        <v/>
      </c>
      <c r="BC19" s="33">
        <f>IFERROR(PARÂMETROS!AZ100*PARÂMETROS!E21*PARÂMETROS!$B$4*PARÂMETROS!$B$5*PARÂMETROS!$B$88,0)</f>
        <v/>
      </c>
      <c r="BD19" s="33">
        <f>IFERROR(PARÂMETROS!BA100*PARÂMETROS!E21*PARÂMETROS!$B$4*PARÂMETROS!$B$5*PARÂMETROS!$B$89,0)</f>
        <v/>
      </c>
      <c r="BE19" s="33">
        <f>IFERROR(PARÂMETROS!BB100*PARÂMETROS!E21*PARÂMETROS!$B$4*PARÂMETROS!$B$5*PARÂMETROS!$B$90,0)</f>
        <v/>
      </c>
      <c r="BF19" s="33">
        <f>IFERROR(PARÂMETROS!BC100*PARÂMETROS!E21*PARÂMETROS!$B$4*PARÂMETROS!$B$5*PARÂMETROS!$B$91,0)</f>
        <v/>
      </c>
    </row>
    <row r="20">
      <c r="A20" s="14" t="inlineStr"/>
      <c r="B20" s="14" t="inlineStr"/>
      <c r="C20" s="35" t="n"/>
      <c r="D20" s="35" t="n"/>
      <c r="E20" s="35" t="n"/>
      <c r="F20" s="14" t="inlineStr">
        <is>
          <t>Acumulado</t>
        </is>
      </c>
      <c r="G20" s="33">
        <f>G19</f>
        <v/>
      </c>
      <c r="H20" s="33">
        <f>G20+H19</f>
        <v/>
      </c>
      <c r="I20" s="33">
        <f>H20+I19</f>
        <v/>
      </c>
      <c r="J20" s="33">
        <f>I20+J19</f>
        <v/>
      </c>
      <c r="K20" s="33">
        <f>J20+K19</f>
        <v/>
      </c>
      <c r="L20" s="33">
        <f>K20+L19</f>
        <v/>
      </c>
      <c r="M20" s="33">
        <f>L20+M19</f>
        <v/>
      </c>
      <c r="N20" s="33">
        <f>M20+N19</f>
        <v/>
      </c>
      <c r="O20" s="33">
        <f>N20+O19</f>
        <v/>
      </c>
      <c r="P20" s="33">
        <f>O20+P19</f>
        <v/>
      </c>
      <c r="Q20" s="33">
        <f>P20+Q19</f>
        <v/>
      </c>
      <c r="R20" s="33">
        <f>Q20+R19</f>
        <v/>
      </c>
      <c r="S20" s="33">
        <f>R20+S19</f>
        <v/>
      </c>
      <c r="T20" s="33">
        <f>S20+T19</f>
        <v/>
      </c>
      <c r="U20" s="33">
        <f>T20+U19</f>
        <v/>
      </c>
      <c r="V20" s="33">
        <f>U20+V19</f>
        <v/>
      </c>
      <c r="W20" s="33">
        <f>V20+W19</f>
        <v/>
      </c>
      <c r="X20" s="33">
        <f>W20+X19</f>
        <v/>
      </c>
      <c r="Y20" s="33">
        <f>X20+Y19</f>
        <v/>
      </c>
      <c r="Z20" s="33">
        <f>Y20+Z19</f>
        <v/>
      </c>
      <c r="AA20" s="33">
        <f>Z20+AA19</f>
        <v/>
      </c>
      <c r="AB20" s="33">
        <f>AA20+AB19</f>
        <v/>
      </c>
      <c r="AC20" s="33">
        <f>AB20+AC19</f>
        <v/>
      </c>
      <c r="AD20" s="33">
        <f>AC20+AD19</f>
        <v/>
      </c>
      <c r="AE20" s="33">
        <f>AD20+AE19</f>
        <v/>
      </c>
      <c r="AF20" s="33">
        <f>AE20+AF19</f>
        <v/>
      </c>
      <c r="AG20" s="33">
        <f>AF20+AG19</f>
        <v/>
      </c>
      <c r="AH20" s="33">
        <f>AG20+AH19</f>
        <v/>
      </c>
      <c r="AI20" s="33">
        <f>AH20+AI19</f>
        <v/>
      </c>
      <c r="AJ20" s="33">
        <f>AI20+AJ19</f>
        <v/>
      </c>
      <c r="AK20" s="33">
        <f>AJ20+AK19</f>
        <v/>
      </c>
      <c r="AL20" s="33">
        <f>AK20+AL19</f>
        <v/>
      </c>
      <c r="AM20" s="33">
        <f>AL20+AM19</f>
        <v/>
      </c>
      <c r="AN20" s="33">
        <f>AM20+AN19</f>
        <v/>
      </c>
      <c r="AO20" s="33">
        <f>AN20+AO19</f>
        <v/>
      </c>
      <c r="AP20" s="33">
        <f>AO20+AP19</f>
        <v/>
      </c>
      <c r="AQ20" s="33">
        <f>AP20+AQ19</f>
        <v/>
      </c>
      <c r="AR20" s="33">
        <f>AQ20+AR19</f>
        <v/>
      </c>
      <c r="AS20" s="33">
        <f>AR20+AS19</f>
        <v/>
      </c>
      <c r="AT20" s="33">
        <f>AS20+AT19</f>
        <v/>
      </c>
      <c r="AU20" s="33">
        <f>AT20+AU19</f>
        <v/>
      </c>
      <c r="AV20" s="33">
        <f>AU20+AV19</f>
        <v/>
      </c>
      <c r="AW20" s="33">
        <f>AV20+AW19</f>
        <v/>
      </c>
      <c r="AX20" s="33">
        <f>AW20+AX19</f>
        <v/>
      </c>
      <c r="AY20" s="33">
        <f>AX20+AY19</f>
        <v/>
      </c>
      <c r="AZ20" s="33">
        <f>AY20+AZ19</f>
        <v/>
      </c>
      <c r="BA20" s="33">
        <f>AZ20+BA19</f>
        <v/>
      </c>
      <c r="BB20" s="33">
        <f>BA20+BB19</f>
        <v/>
      </c>
      <c r="BC20" s="33">
        <f>BB20+BC19</f>
        <v/>
      </c>
      <c r="BD20" s="33">
        <f>BC20+BD19</f>
        <v/>
      </c>
      <c r="BE20" s="33">
        <f>BD20+BE19</f>
        <v/>
      </c>
      <c r="BF20" s="33">
        <f>BE20+BF19</f>
        <v/>
      </c>
    </row>
    <row r="21">
      <c r="A21" s="14" t="inlineStr"/>
      <c r="B21" s="14" t="inlineStr"/>
      <c r="C21" s="35" t="n"/>
      <c r="D21" s="35" t="n"/>
      <c r="E21" s="35" t="n"/>
      <c r="F21" s="14" t="inlineStr">
        <is>
          <t>% Completude</t>
        </is>
      </c>
      <c r="G21" s="34">
        <f>IF(PARÂMETROS!D21&gt;0,G20/PARÂMETROS!D21,0)</f>
        <v/>
      </c>
      <c r="H21" s="34">
        <f>IF(PARÂMETROS!D21&gt;0,H20/PARÂMETROS!D21,0)</f>
        <v/>
      </c>
      <c r="I21" s="34">
        <f>IF(PARÂMETROS!D21&gt;0,I20/PARÂMETROS!D21,0)</f>
        <v/>
      </c>
      <c r="J21" s="34">
        <f>IF(PARÂMETROS!D21&gt;0,J20/PARÂMETROS!D21,0)</f>
        <v/>
      </c>
      <c r="K21" s="34">
        <f>IF(PARÂMETROS!D21&gt;0,K20/PARÂMETROS!D21,0)</f>
        <v/>
      </c>
      <c r="L21" s="34">
        <f>IF(PARÂMETROS!D21&gt;0,L20/PARÂMETROS!D21,0)</f>
        <v/>
      </c>
      <c r="M21" s="34">
        <f>IF(PARÂMETROS!D21&gt;0,M20/PARÂMETROS!D21,0)</f>
        <v/>
      </c>
      <c r="N21" s="34">
        <f>IF(PARÂMETROS!D21&gt;0,N20/PARÂMETROS!D21,0)</f>
        <v/>
      </c>
      <c r="O21" s="34">
        <f>IF(PARÂMETROS!D21&gt;0,O20/PARÂMETROS!D21,0)</f>
        <v/>
      </c>
      <c r="P21" s="34">
        <f>IF(PARÂMETROS!D21&gt;0,P20/PARÂMETROS!D21,0)</f>
        <v/>
      </c>
      <c r="Q21" s="34">
        <f>IF(PARÂMETROS!D21&gt;0,Q20/PARÂMETROS!D21,0)</f>
        <v/>
      </c>
      <c r="R21" s="34">
        <f>IF(PARÂMETROS!D21&gt;0,R20/PARÂMETROS!D21,0)</f>
        <v/>
      </c>
      <c r="S21" s="34">
        <f>IF(PARÂMETROS!D21&gt;0,S20/PARÂMETROS!D21,0)</f>
        <v/>
      </c>
      <c r="T21" s="34">
        <f>IF(PARÂMETROS!D21&gt;0,T20/PARÂMETROS!D21,0)</f>
        <v/>
      </c>
      <c r="U21" s="34">
        <f>IF(PARÂMETROS!D21&gt;0,U20/PARÂMETROS!D21,0)</f>
        <v/>
      </c>
      <c r="V21" s="34">
        <f>IF(PARÂMETROS!D21&gt;0,V20/PARÂMETROS!D21,0)</f>
        <v/>
      </c>
      <c r="W21" s="34">
        <f>IF(PARÂMETROS!D21&gt;0,W20/PARÂMETROS!D21,0)</f>
        <v/>
      </c>
      <c r="X21" s="34">
        <f>IF(PARÂMETROS!D21&gt;0,X20/PARÂMETROS!D21,0)</f>
        <v/>
      </c>
      <c r="Y21" s="34">
        <f>IF(PARÂMETROS!D21&gt;0,Y20/PARÂMETROS!D21,0)</f>
        <v/>
      </c>
      <c r="Z21" s="34">
        <f>IF(PARÂMETROS!D21&gt;0,Z20/PARÂMETROS!D21,0)</f>
        <v/>
      </c>
      <c r="AA21" s="34">
        <f>IF(PARÂMETROS!D21&gt;0,AA20/PARÂMETROS!D21,0)</f>
        <v/>
      </c>
      <c r="AB21" s="34">
        <f>IF(PARÂMETROS!D21&gt;0,AB20/PARÂMETROS!D21,0)</f>
        <v/>
      </c>
      <c r="AC21" s="34">
        <f>IF(PARÂMETROS!D21&gt;0,AC20/PARÂMETROS!D21,0)</f>
        <v/>
      </c>
      <c r="AD21" s="34">
        <f>IF(PARÂMETROS!D21&gt;0,AD20/PARÂMETROS!D21,0)</f>
        <v/>
      </c>
      <c r="AE21" s="34">
        <f>IF(PARÂMETROS!D21&gt;0,AE20/PARÂMETROS!D21,0)</f>
        <v/>
      </c>
      <c r="AF21" s="34">
        <f>IF(PARÂMETROS!D21&gt;0,AF20/PARÂMETROS!D21,0)</f>
        <v/>
      </c>
      <c r="AG21" s="34">
        <f>IF(PARÂMETROS!D21&gt;0,AG20/PARÂMETROS!D21,0)</f>
        <v/>
      </c>
      <c r="AH21" s="34">
        <f>IF(PARÂMETROS!D21&gt;0,AH20/PARÂMETROS!D21,0)</f>
        <v/>
      </c>
      <c r="AI21" s="34">
        <f>IF(PARÂMETROS!D21&gt;0,AI20/PARÂMETROS!D21,0)</f>
        <v/>
      </c>
      <c r="AJ21" s="34">
        <f>IF(PARÂMETROS!D21&gt;0,AJ20/PARÂMETROS!D21,0)</f>
        <v/>
      </c>
      <c r="AK21" s="34">
        <f>IF(PARÂMETROS!D21&gt;0,AK20/PARÂMETROS!D21,0)</f>
        <v/>
      </c>
      <c r="AL21" s="34">
        <f>IF(PARÂMETROS!D21&gt;0,AL20/PARÂMETROS!D21,0)</f>
        <v/>
      </c>
      <c r="AM21" s="34">
        <f>IF(PARÂMETROS!D21&gt;0,AM20/PARÂMETROS!D21,0)</f>
        <v/>
      </c>
      <c r="AN21" s="34">
        <f>IF(PARÂMETROS!D21&gt;0,AN20/PARÂMETROS!D21,0)</f>
        <v/>
      </c>
      <c r="AO21" s="34">
        <f>IF(PARÂMETROS!D21&gt;0,AO20/PARÂMETROS!D21,0)</f>
        <v/>
      </c>
      <c r="AP21" s="34">
        <f>IF(PARÂMETROS!D21&gt;0,AP20/PARÂMETROS!D21,0)</f>
        <v/>
      </c>
      <c r="AQ21" s="34">
        <f>IF(PARÂMETROS!D21&gt;0,AQ20/PARÂMETROS!D21,0)</f>
        <v/>
      </c>
      <c r="AR21" s="34">
        <f>IF(PARÂMETROS!D21&gt;0,AR20/PARÂMETROS!D21,0)</f>
        <v/>
      </c>
      <c r="AS21" s="34">
        <f>IF(PARÂMETROS!D21&gt;0,AS20/PARÂMETROS!D21,0)</f>
        <v/>
      </c>
      <c r="AT21" s="34">
        <f>IF(PARÂMETROS!D21&gt;0,AT20/PARÂMETROS!D21,0)</f>
        <v/>
      </c>
      <c r="AU21" s="34">
        <f>IF(PARÂMETROS!D21&gt;0,AU20/PARÂMETROS!D21,0)</f>
        <v/>
      </c>
      <c r="AV21" s="34">
        <f>IF(PARÂMETROS!D21&gt;0,AV20/PARÂMETROS!D21,0)</f>
        <v/>
      </c>
      <c r="AW21" s="34">
        <f>IF(PARÂMETROS!D21&gt;0,AW20/PARÂMETROS!D21,0)</f>
        <v/>
      </c>
      <c r="AX21" s="34">
        <f>IF(PARÂMETROS!D21&gt;0,AX20/PARÂMETROS!D21,0)</f>
        <v/>
      </c>
      <c r="AY21" s="34">
        <f>IF(PARÂMETROS!D21&gt;0,AY20/PARÂMETROS!D21,0)</f>
        <v/>
      </c>
      <c r="AZ21" s="34">
        <f>IF(PARÂMETROS!D21&gt;0,AZ20/PARÂMETROS!D21,0)</f>
        <v/>
      </c>
      <c r="BA21" s="34">
        <f>IF(PARÂMETROS!D21&gt;0,BA20/PARÂMETROS!D21,0)</f>
        <v/>
      </c>
      <c r="BB21" s="34">
        <f>IF(PARÂMETROS!D21&gt;0,BB20/PARÂMETROS!D21,0)</f>
        <v/>
      </c>
      <c r="BC21" s="34">
        <f>IF(PARÂMETROS!D21&gt;0,BC20/PARÂMETROS!D21,0)</f>
        <v/>
      </c>
      <c r="BD21" s="34">
        <f>IF(PARÂMETROS!D21&gt;0,BD20/PARÂMETROS!D21,0)</f>
        <v/>
      </c>
      <c r="BE21" s="34">
        <f>IF(PARÂMETROS!D21&gt;0,BE20/PARÂMETROS!D21,0)</f>
        <v/>
      </c>
      <c r="BF21" s="34">
        <f>IF(PARÂMETROS!D21&gt;0,BF20/PARÂMETROS!D21,0)</f>
        <v/>
      </c>
    </row>
    <row r="22">
      <c r="A22" s="14" t="inlineStr">
        <is>
          <t>eap-1_6</t>
        </is>
      </c>
      <c r="B22" s="14" t="inlineStr">
        <is>
          <t>Esc/carg/transp 3aCat DMT</t>
        </is>
      </c>
      <c r="C22" s="16">
        <f>PARÂMETROS!D22</f>
        <v/>
      </c>
      <c r="D22" s="33">
        <f>SUM(G22:BF22)</f>
        <v/>
      </c>
      <c r="E22" s="34">
        <f>IF(C22&gt;0,(D22-C22)/C22,0)</f>
        <v/>
      </c>
      <c r="F22" s="14" t="inlineStr">
        <is>
          <t>Produção semanal</t>
        </is>
      </c>
      <c r="G22" s="33">
        <f>IFERROR(PARÂMETROS!D101*PARÂMETROS!E22*PARÂMETROS!$B$4*PARÂMETROS!$B$5*PARÂMETROS!$B$40,0)</f>
        <v/>
      </c>
      <c r="H22" s="33">
        <f>IFERROR(PARÂMETROS!E101*PARÂMETROS!E22*PARÂMETROS!$B$4*PARÂMETROS!$B$5*PARÂMETROS!$B$41,0)</f>
        <v/>
      </c>
      <c r="I22" s="33">
        <f>IFERROR(PARÂMETROS!F101*PARÂMETROS!E22*PARÂMETROS!$B$4*PARÂMETROS!$B$5*PARÂMETROS!$B$42,0)</f>
        <v/>
      </c>
      <c r="J22" s="33">
        <f>IFERROR(PARÂMETROS!G101*PARÂMETROS!E22*PARÂMETROS!$B$4*PARÂMETROS!$B$5*PARÂMETROS!$B$43,0)</f>
        <v/>
      </c>
      <c r="K22" s="33">
        <f>IFERROR(PARÂMETROS!H101*PARÂMETROS!E22*PARÂMETROS!$B$4*PARÂMETROS!$B$5*PARÂMETROS!$B$44,0)</f>
        <v/>
      </c>
      <c r="L22" s="33">
        <f>IFERROR(PARÂMETROS!I101*PARÂMETROS!E22*PARÂMETROS!$B$4*PARÂMETROS!$B$5*PARÂMETROS!$B$45,0)</f>
        <v/>
      </c>
      <c r="M22" s="33">
        <f>IFERROR(PARÂMETROS!J101*PARÂMETROS!E22*PARÂMETROS!$B$4*PARÂMETROS!$B$5*PARÂMETROS!$B$46,0)</f>
        <v/>
      </c>
      <c r="N22" s="33">
        <f>IFERROR(PARÂMETROS!K101*PARÂMETROS!E22*PARÂMETROS!$B$4*PARÂMETROS!$B$5*PARÂMETROS!$B$47,0)</f>
        <v/>
      </c>
      <c r="O22" s="33">
        <f>IFERROR(PARÂMETROS!L101*PARÂMETROS!E22*PARÂMETROS!$B$4*PARÂMETROS!$B$5*PARÂMETROS!$B$48,0)</f>
        <v/>
      </c>
      <c r="P22" s="33">
        <f>IFERROR(PARÂMETROS!M101*PARÂMETROS!E22*PARÂMETROS!$B$4*PARÂMETROS!$B$5*PARÂMETROS!$B$49,0)</f>
        <v/>
      </c>
      <c r="Q22" s="33">
        <f>IFERROR(PARÂMETROS!N101*PARÂMETROS!E22*PARÂMETROS!$B$4*PARÂMETROS!$B$5*PARÂMETROS!$B$50,0)</f>
        <v/>
      </c>
      <c r="R22" s="33">
        <f>IFERROR(PARÂMETROS!O101*PARÂMETROS!E22*PARÂMETROS!$B$4*PARÂMETROS!$B$5*PARÂMETROS!$B$51,0)</f>
        <v/>
      </c>
      <c r="S22" s="33">
        <f>IFERROR(PARÂMETROS!P101*PARÂMETROS!E22*PARÂMETROS!$B$4*PARÂMETROS!$B$5*PARÂMETROS!$B$52,0)</f>
        <v/>
      </c>
      <c r="T22" s="33">
        <f>IFERROR(PARÂMETROS!Q101*PARÂMETROS!E22*PARÂMETROS!$B$4*PARÂMETROS!$B$5*PARÂMETROS!$B$53,0)</f>
        <v/>
      </c>
      <c r="U22" s="33">
        <f>IFERROR(PARÂMETROS!R101*PARÂMETROS!E22*PARÂMETROS!$B$4*PARÂMETROS!$B$5*PARÂMETROS!$B$54,0)</f>
        <v/>
      </c>
      <c r="V22" s="33">
        <f>IFERROR(PARÂMETROS!S101*PARÂMETROS!E22*PARÂMETROS!$B$4*PARÂMETROS!$B$5*PARÂMETROS!$B$55,0)</f>
        <v/>
      </c>
      <c r="W22" s="33">
        <f>IFERROR(PARÂMETROS!T101*PARÂMETROS!E22*PARÂMETROS!$B$4*PARÂMETROS!$B$5*PARÂMETROS!$B$56,0)</f>
        <v/>
      </c>
      <c r="X22" s="33">
        <f>IFERROR(PARÂMETROS!U101*PARÂMETROS!E22*PARÂMETROS!$B$4*PARÂMETROS!$B$5*PARÂMETROS!$B$57,0)</f>
        <v/>
      </c>
      <c r="Y22" s="33">
        <f>IFERROR(PARÂMETROS!V101*PARÂMETROS!E22*PARÂMETROS!$B$4*PARÂMETROS!$B$5*PARÂMETROS!$B$58,0)</f>
        <v/>
      </c>
      <c r="Z22" s="33">
        <f>IFERROR(PARÂMETROS!W101*PARÂMETROS!E22*PARÂMETROS!$B$4*PARÂMETROS!$B$5*PARÂMETROS!$B$59,0)</f>
        <v/>
      </c>
      <c r="AA22" s="33">
        <f>IFERROR(PARÂMETROS!X101*PARÂMETROS!E22*PARÂMETROS!$B$4*PARÂMETROS!$B$5*PARÂMETROS!$B$60,0)</f>
        <v/>
      </c>
      <c r="AB22" s="33">
        <f>IFERROR(PARÂMETROS!Y101*PARÂMETROS!E22*PARÂMETROS!$B$4*PARÂMETROS!$B$5*PARÂMETROS!$B$61,0)</f>
        <v/>
      </c>
      <c r="AC22" s="33">
        <f>IFERROR(PARÂMETROS!Z101*PARÂMETROS!E22*PARÂMETROS!$B$4*PARÂMETROS!$B$5*PARÂMETROS!$B$62,0)</f>
        <v/>
      </c>
      <c r="AD22" s="33">
        <f>IFERROR(PARÂMETROS!AA101*PARÂMETROS!E22*PARÂMETROS!$B$4*PARÂMETROS!$B$5*PARÂMETROS!$B$63,0)</f>
        <v/>
      </c>
      <c r="AE22" s="33">
        <f>IFERROR(PARÂMETROS!AB101*PARÂMETROS!E22*PARÂMETROS!$B$4*PARÂMETROS!$B$5*PARÂMETROS!$B$64,0)</f>
        <v/>
      </c>
      <c r="AF22" s="33">
        <f>IFERROR(PARÂMETROS!AC101*PARÂMETROS!E22*PARÂMETROS!$B$4*PARÂMETROS!$B$5*PARÂMETROS!$B$65,0)</f>
        <v/>
      </c>
      <c r="AG22" s="33">
        <f>IFERROR(PARÂMETROS!AD101*PARÂMETROS!E22*PARÂMETROS!$B$4*PARÂMETROS!$B$5*PARÂMETROS!$B$66,0)</f>
        <v/>
      </c>
      <c r="AH22" s="33">
        <f>IFERROR(PARÂMETROS!AE101*PARÂMETROS!E22*PARÂMETROS!$B$4*PARÂMETROS!$B$5*PARÂMETROS!$B$67,0)</f>
        <v/>
      </c>
      <c r="AI22" s="33">
        <f>IFERROR(PARÂMETROS!AF101*PARÂMETROS!E22*PARÂMETROS!$B$4*PARÂMETROS!$B$5*PARÂMETROS!$B$68,0)</f>
        <v/>
      </c>
      <c r="AJ22" s="33">
        <f>IFERROR(PARÂMETROS!AG101*PARÂMETROS!E22*PARÂMETROS!$B$4*PARÂMETROS!$B$5*PARÂMETROS!$B$69,0)</f>
        <v/>
      </c>
      <c r="AK22" s="33">
        <f>IFERROR(PARÂMETROS!AH101*PARÂMETROS!E22*PARÂMETROS!$B$4*PARÂMETROS!$B$5*PARÂMETROS!$B$70,0)</f>
        <v/>
      </c>
      <c r="AL22" s="33">
        <f>IFERROR(PARÂMETROS!AI101*PARÂMETROS!E22*PARÂMETROS!$B$4*PARÂMETROS!$B$5*PARÂMETROS!$B$71,0)</f>
        <v/>
      </c>
      <c r="AM22" s="33">
        <f>IFERROR(PARÂMETROS!AJ101*PARÂMETROS!E22*PARÂMETROS!$B$4*PARÂMETROS!$B$5*PARÂMETROS!$B$72,0)</f>
        <v/>
      </c>
      <c r="AN22" s="33">
        <f>IFERROR(PARÂMETROS!AK101*PARÂMETROS!E22*PARÂMETROS!$B$4*PARÂMETROS!$B$5*PARÂMETROS!$B$73,0)</f>
        <v/>
      </c>
      <c r="AO22" s="33">
        <f>IFERROR(PARÂMETROS!AL101*PARÂMETROS!E22*PARÂMETROS!$B$4*PARÂMETROS!$B$5*PARÂMETROS!$B$74,0)</f>
        <v/>
      </c>
      <c r="AP22" s="33">
        <f>IFERROR(PARÂMETROS!AM101*PARÂMETROS!E22*PARÂMETROS!$B$4*PARÂMETROS!$B$5*PARÂMETROS!$B$75,0)</f>
        <v/>
      </c>
      <c r="AQ22" s="33">
        <f>IFERROR(PARÂMETROS!AN101*PARÂMETROS!E22*PARÂMETROS!$B$4*PARÂMETROS!$B$5*PARÂMETROS!$B$76,0)</f>
        <v/>
      </c>
      <c r="AR22" s="33">
        <f>IFERROR(PARÂMETROS!AO101*PARÂMETROS!E22*PARÂMETROS!$B$4*PARÂMETROS!$B$5*PARÂMETROS!$B$77,0)</f>
        <v/>
      </c>
      <c r="AS22" s="33">
        <f>IFERROR(PARÂMETROS!AP101*PARÂMETROS!E22*PARÂMETROS!$B$4*PARÂMETROS!$B$5*PARÂMETROS!$B$78,0)</f>
        <v/>
      </c>
      <c r="AT22" s="33">
        <f>IFERROR(PARÂMETROS!AQ101*PARÂMETROS!E22*PARÂMETROS!$B$4*PARÂMETROS!$B$5*PARÂMETROS!$B$79,0)</f>
        <v/>
      </c>
      <c r="AU22" s="33">
        <f>IFERROR(PARÂMETROS!AR101*PARÂMETROS!E22*PARÂMETROS!$B$4*PARÂMETROS!$B$5*PARÂMETROS!$B$80,0)</f>
        <v/>
      </c>
      <c r="AV22" s="33">
        <f>IFERROR(PARÂMETROS!AS101*PARÂMETROS!E22*PARÂMETROS!$B$4*PARÂMETROS!$B$5*PARÂMETROS!$B$81,0)</f>
        <v/>
      </c>
      <c r="AW22" s="33">
        <f>IFERROR(PARÂMETROS!AT101*PARÂMETROS!E22*PARÂMETROS!$B$4*PARÂMETROS!$B$5*PARÂMETROS!$B$82,0)</f>
        <v/>
      </c>
      <c r="AX22" s="33">
        <f>IFERROR(PARÂMETROS!AU101*PARÂMETROS!E22*PARÂMETROS!$B$4*PARÂMETROS!$B$5*PARÂMETROS!$B$83,0)</f>
        <v/>
      </c>
      <c r="AY22" s="33">
        <f>IFERROR(PARÂMETROS!AV101*PARÂMETROS!E22*PARÂMETROS!$B$4*PARÂMETROS!$B$5*PARÂMETROS!$B$84,0)</f>
        <v/>
      </c>
      <c r="AZ22" s="33">
        <f>IFERROR(PARÂMETROS!AW101*PARÂMETROS!E22*PARÂMETROS!$B$4*PARÂMETROS!$B$5*PARÂMETROS!$B$85,0)</f>
        <v/>
      </c>
      <c r="BA22" s="33">
        <f>IFERROR(PARÂMETROS!AX101*PARÂMETROS!E22*PARÂMETROS!$B$4*PARÂMETROS!$B$5*PARÂMETROS!$B$86,0)</f>
        <v/>
      </c>
      <c r="BB22" s="33">
        <f>IFERROR(PARÂMETROS!AY101*PARÂMETROS!E22*PARÂMETROS!$B$4*PARÂMETROS!$B$5*PARÂMETROS!$B$87,0)</f>
        <v/>
      </c>
      <c r="BC22" s="33">
        <f>IFERROR(PARÂMETROS!AZ101*PARÂMETROS!E22*PARÂMETROS!$B$4*PARÂMETROS!$B$5*PARÂMETROS!$B$88,0)</f>
        <v/>
      </c>
      <c r="BD22" s="33">
        <f>IFERROR(PARÂMETROS!BA101*PARÂMETROS!E22*PARÂMETROS!$B$4*PARÂMETROS!$B$5*PARÂMETROS!$B$89,0)</f>
        <v/>
      </c>
      <c r="BE22" s="33">
        <f>IFERROR(PARÂMETROS!BB101*PARÂMETROS!E22*PARÂMETROS!$B$4*PARÂMETROS!$B$5*PARÂMETROS!$B$90,0)</f>
        <v/>
      </c>
      <c r="BF22" s="33">
        <f>IFERROR(PARÂMETROS!BC101*PARÂMETROS!E22*PARÂMETROS!$B$4*PARÂMETROS!$B$5*PARÂMETROS!$B$91,0)</f>
        <v/>
      </c>
    </row>
    <row r="23">
      <c r="A23" s="14" t="inlineStr"/>
      <c r="B23" s="14" t="inlineStr"/>
      <c r="C23" s="35" t="n"/>
      <c r="D23" s="35" t="n"/>
      <c r="E23" s="35" t="n"/>
      <c r="F23" s="14" t="inlineStr">
        <is>
          <t>Acumulado</t>
        </is>
      </c>
      <c r="G23" s="33">
        <f>G22</f>
        <v/>
      </c>
      <c r="H23" s="33">
        <f>G23+H22</f>
        <v/>
      </c>
      <c r="I23" s="33">
        <f>H23+I22</f>
        <v/>
      </c>
      <c r="J23" s="33">
        <f>I23+J22</f>
        <v/>
      </c>
      <c r="K23" s="33">
        <f>J23+K22</f>
        <v/>
      </c>
      <c r="L23" s="33">
        <f>K23+L22</f>
        <v/>
      </c>
      <c r="M23" s="33">
        <f>L23+M22</f>
        <v/>
      </c>
      <c r="N23" s="33">
        <f>M23+N22</f>
        <v/>
      </c>
      <c r="O23" s="33">
        <f>N23+O22</f>
        <v/>
      </c>
      <c r="P23" s="33">
        <f>O23+P22</f>
        <v/>
      </c>
      <c r="Q23" s="33">
        <f>P23+Q22</f>
        <v/>
      </c>
      <c r="R23" s="33">
        <f>Q23+R22</f>
        <v/>
      </c>
      <c r="S23" s="33">
        <f>R23+S22</f>
        <v/>
      </c>
      <c r="T23" s="33">
        <f>S23+T22</f>
        <v/>
      </c>
      <c r="U23" s="33">
        <f>T23+U22</f>
        <v/>
      </c>
      <c r="V23" s="33">
        <f>U23+V22</f>
        <v/>
      </c>
      <c r="W23" s="33">
        <f>V23+W22</f>
        <v/>
      </c>
      <c r="X23" s="33">
        <f>W23+X22</f>
        <v/>
      </c>
      <c r="Y23" s="33">
        <f>X23+Y22</f>
        <v/>
      </c>
      <c r="Z23" s="33">
        <f>Y23+Z22</f>
        <v/>
      </c>
      <c r="AA23" s="33">
        <f>Z23+AA22</f>
        <v/>
      </c>
      <c r="AB23" s="33">
        <f>AA23+AB22</f>
        <v/>
      </c>
      <c r="AC23" s="33">
        <f>AB23+AC22</f>
        <v/>
      </c>
      <c r="AD23" s="33">
        <f>AC23+AD22</f>
        <v/>
      </c>
      <c r="AE23" s="33">
        <f>AD23+AE22</f>
        <v/>
      </c>
      <c r="AF23" s="33">
        <f>AE23+AF22</f>
        <v/>
      </c>
      <c r="AG23" s="33">
        <f>AF23+AG22</f>
        <v/>
      </c>
      <c r="AH23" s="33">
        <f>AG23+AH22</f>
        <v/>
      </c>
      <c r="AI23" s="33">
        <f>AH23+AI22</f>
        <v/>
      </c>
      <c r="AJ23" s="33">
        <f>AI23+AJ22</f>
        <v/>
      </c>
      <c r="AK23" s="33">
        <f>AJ23+AK22</f>
        <v/>
      </c>
      <c r="AL23" s="33">
        <f>AK23+AL22</f>
        <v/>
      </c>
      <c r="AM23" s="33">
        <f>AL23+AM22</f>
        <v/>
      </c>
      <c r="AN23" s="33">
        <f>AM23+AN22</f>
        <v/>
      </c>
      <c r="AO23" s="33">
        <f>AN23+AO22</f>
        <v/>
      </c>
      <c r="AP23" s="33">
        <f>AO23+AP22</f>
        <v/>
      </c>
      <c r="AQ23" s="33">
        <f>AP23+AQ22</f>
        <v/>
      </c>
      <c r="AR23" s="33">
        <f>AQ23+AR22</f>
        <v/>
      </c>
      <c r="AS23" s="33">
        <f>AR23+AS22</f>
        <v/>
      </c>
      <c r="AT23" s="33">
        <f>AS23+AT22</f>
        <v/>
      </c>
      <c r="AU23" s="33">
        <f>AT23+AU22</f>
        <v/>
      </c>
      <c r="AV23" s="33">
        <f>AU23+AV22</f>
        <v/>
      </c>
      <c r="AW23" s="33">
        <f>AV23+AW22</f>
        <v/>
      </c>
      <c r="AX23" s="33">
        <f>AW23+AX22</f>
        <v/>
      </c>
      <c r="AY23" s="33">
        <f>AX23+AY22</f>
        <v/>
      </c>
      <c r="AZ23" s="33">
        <f>AY23+AZ22</f>
        <v/>
      </c>
      <c r="BA23" s="33">
        <f>AZ23+BA22</f>
        <v/>
      </c>
      <c r="BB23" s="33">
        <f>BA23+BB22</f>
        <v/>
      </c>
      <c r="BC23" s="33">
        <f>BB23+BC22</f>
        <v/>
      </c>
      <c r="BD23" s="33">
        <f>BC23+BD22</f>
        <v/>
      </c>
      <c r="BE23" s="33">
        <f>BD23+BE22</f>
        <v/>
      </c>
      <c r="BF23" s="33">
        <f>BE23+BF22</f>
        <v/>
      </c>
    </row>
    <row r="24">
      <c r="A24" s="14" t="inlineStr"/>
      <c r="B24" s="14" t="inlineStr"/>
      <c r="C24" s="35" t="n"/>
      <c r="D24" s="35" t="n"/>
      <c r="E24" s="35" t="n"/>
      <c r="F24" s="14" t="inlineStr">
        <is>
          <t>% Completude</t>
        </is>
      </c>
      <c r="G24" s="34">
        <f>IF(PARÂMETROS!D22&gt;0,G23/PARÂMETROS!D22,0)</f>
        <v/>
      </c>
      <c r="H24" s="34">
        <f>IF(PARÂMETROS!D22&gt;0,H23/PARÂMETROS!D22,0)</f>
        <v/>
      </c>
      <c r="I24" s="34">
        <f>IF(PARÂMETROS!D22&gt;0,I23/PARÂMETROS!D22,0)</f>
        <v/>
      </c>
      <c r="J24" s="34">
        <f>IF(PARÂMETROS!D22&gt;0,J23/PARÂMETROS!D22,0)</f>
        <v/>
      </c>
      <c r="K24" s="34">
        <f>IF(PARÂMETROS!D22&gt;0,K23/PARÂMETROS!D22,0)</f>
        <v/>
      </c>
      <c r="L24" s="34">
        <f>IF(PARÂMETROS!D22&gt;0,L23/PARÂMETROS!D22,0)</f>
        <v/>
      </c>
      <c r="M24" s="34">
        <f>IF(PARÂMETROS!D22&gt;0,M23/PARÂMETROS!D22,0)</f>
        <v/>
      </c>
      <c r="N24" s="34">
        <f>IF(PARÂMETROS!D22&gt;0,N23/PARÂMETROS!D22,0)</f>
        <v/>
      </c>
      <c r="O24" s="34">
        <f>IF(PARÂMETROS!D22&gt;0,O23/PARÂMETROS!D22,0)</f>
        <v/>
      </c>
      <c r="P24" s="34">
        <f>IF(PARÂMETROS!D22&gt;0,P23/PARÂMETROS!D22,0)</f>
        <v/>
      </c>
      <c r="Q24" s="34">
        <f>IF(PARÂMETROS!D22&gt;0,Q23/PARÂMETROS!D22,0)</f>
        <v/>
      </c>
      <c r="R24" s="34">
        <f>IF(PARÂMETROS!D22&gt;0,R23/PARÂMETROS!D22,0)</f>
        <v/>
      </c>
      <c r="S24" s="34">
        <f>IF(PARÂMETROS!D22&gt;0,S23/PARÂMETROS!D22,0)</f>
        <v/>
      </c>
      <c r="T24" s="34">
        <f>IF(PARÂMETROS!D22&gt;0,T23/PARÂMETROS!D22,0)</f>
        <v/>
      </c>
      <c r="U24" s="34">
        <f>IF(PARÂMETROS!D22&gt;0,U23/PARÂMETROS!D22,0)</f>
        <v/>
      </c>
      <c r="V24" s="34">
        <f>IF(PARÂMETROS!D22&gt;0,V23/PARÂMETROS!D22,0)</f>
        <v/>
      </c>
      <c r="W24" s="34">
        <f>IF(PARÂMETROS!D22&gt;0,W23/PARÂMETROS!D22,0)</f>
        <v/>
      </c>
      <c r="X24" s="34">
        <f>IF(PARÂMETROS!D22&gt;0,X23/PARÂMETROS!D22,0)</f>
        <v/>
      </c>
      <c r="Y24" s="34">
        <f>IF(PARÂMETROS!D22&gt;0,Y23/PARÂMETROS!D22,0)</f>
        <v/>
      </c>
      <c r="Z24" s="34">
        <f>IF(PARÂMETROS!D22&gt;0,Z23/PARÂMETROS!D22,0)</f>
        <v/>
      </c>
      <c r="AA24" s="34">
        <f>IF(PARÂMETROS!D22&gt;0,AA23/PARÂMETROS!D22,0)</f>
        <v/>
      </c>
      <c r="AB24" s="34">
        <f>IF(PARÂMETROS!D22&gt;0,AB23/PARÂMETROS!D22,0)</f>
        <v/>
      </c>
      <c r="AC24" s="34">
        <f>IF(PARÂMETROS!D22&gt;0,AC23/PARÂMETROS!D22,0)</f>
        <v/>
      </c>
      <c r="AD24" s="34">
        <f>IF(PARÂMETROS!D22&gt;0,AD23/PARÂMETROS!D22,0)</f>
        <v/>
      </c>
      <c r="AE24" s="34">
        <f>IF(PARÂMETROS!D22&gt;0,AE23/PARÂMETROS!D22,0)</f>
        <v/>
      </c>
      <c r="AF24" s="34">
        <f>IF(PARÂMETROS!D22&gt;0,AF23/PARÂMETROS!D22,0)</f>
        <v/>
      </c>
      <c r="AG24" s="34">
        <f>IF(PARÂMETROS!D22&gt;0,AG23/PARÂMETROS!D22,0)</f>
        <v/>
      </c>
      <c r="AH24" s="34">
        <f>IF(PARÂMETROS!D22&gt;0,AH23/PARÂMETROS!D22,0)</f>
        <v/>
      </c>
      <c r="AI24" s="34">
        <f>IF(PARÂMETROS!D22&gt;0,AI23/PARÂMETROS!D22,0)</f>
        <v/>
      </c>
      <c r="AJ24" s="34">
        <f>IF(PARÂMETROS!D22&gt;0,AJ23/PARÂMETROS!D22,0)</f>
        <v/>
      </c>
      <c r="AK24" s="34">
        <f>IF(PARÂMETROS!D22&gt;0,AK23/PARÂMETROS!D22,0)</f>
        <v/>
      </c>
      <c r="AL24" s="34">
        <f>IF(PARÂMETROS!D22&gt;0,AL23/PARÂMETROS!D22,0)</f>
        <v/>
      </c>
      <c r="AM24" s="34">
        <f>IF(PARÂMETROS!D22&gt;0,AM23/PARÂMETROS!D22,0)</f>
        <v/>
      </c>
      <c r="AN24" s="34">
        <f>IF(PARÂMETROS!D22&gt;0,AN23/PARÂMETROS!D22,0)</f>
        <v/>
      </c>
      <c r="AO24" s="34">
        <f>IF(PARÂMETROS!D22&gt;0,AO23/PARÂMETROS!D22,0)</f>
        <v/>
      </c>
      <c r="AP24" s="34">
        <f>IF(PARÂMETROS!D22&gt;0,AP23/PARÂMETROS!D22,0)</f>
        <v/>
      </c>
      <c r="AQ24" s="34">
        <f>IF(PARÂMETROS!D22&gt;0,AQ23/PARÂMETROS!D22,0)</f>
        <v/>
      </c>
      <c r="AR24" s="34">
        <f>IF(PARÂMETROS!D22&gt;0,AR23/PARÂMETROS!D22,0)</f>
        <v/>
      </c>
      <c r="AS24" s="34">
        <f>IF(PARÂMETROS!D22&gt;0,AS23/PARÂMETROS!D22,0)</f>
        <v/>
      </c>
      <c r="AT24" s="34">
        <f>IF(PARÂMETROS!D22&gt;0,AT23/PARÂMETROS!D22,0)</f>
        <v/>
      </c>
      <c r="AU24" s="34">
        <f>IF(PARÂMETROS!D22&gt;0,AU23/PARÂMETROS!D22,0)</f>
        <v/>
      </c>
      <c r="AV24" s="34">
        <f>IF(PARÂMETROS!D22&gt;0,AV23/PARÂMETROS!D22,0)</f>
        <v/>
      </c>
      <c r="AW24" s="34">
        <f>IF(PARÂMETROS!D22&gt;0,AW23/PARÂMETROS!D22,0)</f>
        <v/>
      </c>
      <c r="AX24" s="34">
        <f>IF(PARÂMETROS!D22&gt;0,AX23/PARÂMETROS!D22,0)</f>
        <v/>
      </c>
      <c r="AY24" s="34">
        <f>IF(PARÂMETROS!D22&gt;0,AY23/PARÂMETROS!D22,0)</f>
        <v/>
      </c>
      <c r="AZ24" s="34">
        <f>IF(PARÂMETROS!D22&gt;0,AZ23/PARÂMETROS!D22,0)</f>
        <v/>
      </c>
      <c r="BA24" s="34">
        <f>IF(PARÂMETROS!D22&gt;0,BA23/PARÂMETROS!D22,0)</f>
        <v/>
      </c>
      <c r="BB24" s="34">
        <f>IF(PARÂMETROS!D22&gt;0,BB23/PARÂMETROS!D22,0)</f>
        <v/>
      </c>
      <c r="BC24" s="34">
        <f>IF(PARÂMETROS!D22&gt;0,BC23/PARÂMETROS!D22,0)</f>
        <v/>
      </c>
      <c r="BD24" s="34">
        <f>IF(PARÂMETROS!D22&gt;0,BD23/PARÂMETROS!D22,0)</f>
        <v/>
      </c>
      <c r="BE24" s="34">
        <f>IF(PARÂMETROS!D22&gt;0,BE23/PARÂMETROS!D22,0)</f>
        <v/>
      </c>
      <c r="BF24" s="34">
        <f>IF(PARÂMETROS!D22&gt;0,BF23/PARÂMETROS!D22,0)</f>
        <v/>
      </c>
    </row>
    <row r="25">
      <c r="A25" s="14" t="inlineStr">
        <is>
          <t>eap-1_7</t>
        </is>
      </c>
      <c r="B25" s="14" t="inlineStr">
        <is>
          <t xml:space="preserve">Compactacao aterros 100% </t>
        </is>
      </c>
      <c r="C25" s="16">
        <f>PARÂMETROS!D23</f>
        <v/>
      </c>
      <c r="D25" s="33">
        <f>SUM(G25:BF25)</f>
        <v/>
      </c>
      <c r="E25" s="34">
        <f>IF(C25&gt;0,(D25-C25)/C25,0)</f>
        <v/>
      </c>
      <c r="F25" s="14" t="inlineStr">
        <is>
          <t>Produção semanal</t>
        </is>
      </c>
      <c r="G25" s="33">
        <f>IFERROR(PARÂMETROS!D102*PARÂMETROS!E23*PARÂMETROS!$B$4*PARÂMETROS!$B$5*PARÂMETROS!$B$40,0)</f>
        <v/>
      </c>
      <c r="H25" s="33">
        <f>IFERROR(PARÂMETROS!E102*PARÂMETROS!E23*PARÂMETROS!$B$4*PARÂMETROS!$B$5*PARÂMETROS!$B$41,0)</f>
        <v/>
      </c>
      <c r="I25" s="33">
        <f>IFERROR(PARÂMETROS!F102*PARÂMETROS!E23*PARÂMETROS!$B$4*PARÂMETROS!$B$5*PARÂMETROS!$B$42,0)</f>
        <v/>
      </c>
      <c r="J25" s="33">
        <f>IFERROR(PARÂMETROS!G102*PARÂMETROS!E23*PARÂMETROS!$B$4*PARÂMETROS!$B$5*PARÂMETROS!$B$43,0)</f>
        <v/>
      </c>
      <c r="K25" s="33">
        <f>IFERROR(PARÂMETROS!H102*PARÂMETROS!E23*PARÂMETROS!$B$4*PARÂMETROS!$B$5*PARÂMETROS!$B$44,0)</f>
        <v/>
      </c>
      <c r="L25" s="33">
        <f>IFERROR(PARÂMETROS!I102*PARÂMETROS!E23*PARÂMETROS!$B$4*PARÂMETROS!$B$5*PARÂMETROS!$B$45,0)</f>
        <v/>
      </c>
      <c r="M25" s="33">
        <f>IFERROR(PARÂMETROS!J102*PARÂMETROS!E23*PARÂMETROS!$B$4*PARÂMETROS!$B$5*PARÂMETROS!$B$46,0)</f>
        <v/>
      </c>
      <c r="N25" s="33">
        <f>IFERROR(PARÂMETROS!K102*PARÂMETROS!E23*PARÂMETROS!$B$4*PARÂMETROS!$B$5*PARÂMETROS!$B$47,0)</f>
        <v/>
      </c>
      <c r="O25" s="33">
        <f>IFERROR(PARÂMETROS!L102*PARÂMETROS!E23*PARÂMETROS!$B$4*PARÂMETROS!$B$5*PARÂMETROS!$B$48,0)</f>
        <v/>
      </c>
      <c r="P25" s="33">
        <f>IFERROR(PARÂMETROS!M102*PARÂMETROS!E23*PARÂMETROS!$B$4*PARÂMETROS!$B$5*PARÂMETROS!$B$49,0)</f>
        <v/>
      </c>
      <c r="Q25" s="33">
        <f>IFERROR(PARÂMETROS!N102*PARÂMETROS!E23*PARÂMETROS!$B$4*PARÂMETROS!$B$5*PARÂMETROS!$B$50,0)</f>
        <v/>
      </c>
      <c r="R25" s="33">
        <f>IFERROR(PARÂMETROS!O102*PARÂMETROS!E23*PARÂMETROS!$B$4*PARÂMETROS!$B$5*PARÂMETROS!$B$51,0)</f>
        <v/>
      </c>
      <c r="S25" s="33">
        <f>IFERROR(PARÂMETROS!P102*PARÂMETROS!E23*PARÂMETROS!$B$4*PARÂMETROS!$B$5*PARÂMETROS!$B$52,0)</f>
        <v/>
      </c>
      <c r="T25" s="33">
        <f>IFERROR(PARÂMETROS!Q102*PARÂMETROS!E23*PARÂMETROS!$B$4*PARÂMETROS!$B$5*PARÂMETROS!$B$53,0)</f>
        <v/>
      </c>
      <c r="U25" s="33">
        <f>IFERROR(PARÂMETROS!R102*PARÂMETROS!E23*PARÂMETROS!$B$4*PARÂMETROS!$B$5*PARÂMETROS!$B$54,0)</f>
        <v/>
      </c>
      <c r="V25" s="33">
        <f>IFERROR(PARÂMETROS!S102*PARÂMETROS!E23*PARÂMETROS!$B$4*PARÂMETROS!$B$5*PARÂMETROS!$B$55,0)</f>
        <v/>
      </c>
      <c r="W25" s="33">
        <f>IFERROR(PARÂMETROS!T102*PARÂMETROS!E23*PARÂMETROS!$B$4*PARÂMETROS!$B$5*PARÂMETROS!$B$56,0)</f>
        <v/>
      </c>
      <c r="X25" s="33">
        <f>IFERROR(PARÂMETROS!U102*PARÂMETROS!E23*PARÂMETROS!$B$4*PARÂMETROS!$B$5*PARÂMETROS!$B$57,0)</f>
        <v/>
      </c>
      <c r="Y25" s="33">
        <f>IFERROR(PARÂMETROS!V102*PARÂMETROS!E23*PARÂMETROS!$B$4*PARÂMETROS!$B$5*PARÂMETROS!$B$58,0)</f>
        <v/>
      </c>
      <c r="Z25" s="33">
        <f>IFERROR(PARÂMETROS!W102*PARÂMETROS!E23*PARÂMETROS!$B$4*PARÂMETROS!$B$5*PARÂMETROS!$B$59,0)</f>
        <v/>
      </c>
      <c r="AA25" s="33">
        <f>IFERROR(PARÂMETROS!X102*PARÂMETROS!E23*PARÂMETROS!$B$4*PARÂMETROS!$B$5*PARÂMETROS!$B$60,0)</f>
        <v/>
      </c>
      <c r="AB25" s="33">
        <f>IFERROR(PARÂMETROS!Y102*PARÂMETROS!E23*PARÂMETROS!$B$4*PARÂMETROS!$B$5*PARÂMETROS!$B$61,0)</f>
        <v/>
      </c>
      <c r="AC25" s="33">
        <f>IFERROR(PARÂMETROS!Z102*PARÂMETROS!E23*PARÂMETROS!$B$4*PARÂMETROS!$B$5*PARÂMETROS!$B$62,0)</f>
        <v/>
      </c>
      <c r="AD25" s="33">
        <f>IFERROR(PARÂMETROS!AA102*PARÂMETROS!E23*PARÂMETROS!$B$4*PARÂMETROS!$B$5*PARÂMETROS!$B$63,0)</f>
        <v/>
      </c>
      <c r="AE25" s="33">
        <f>IFERROR(PARÂMETROS!AB102*PARÂMETROS!E23*PARÂMETROS!$B$4*PARÂMETROS!$B$5*PARÂMETROS!$B$64,0)</f>
        <v/>
      </c>
      <c r="AF25" s="33">
        <f>IFERROR(PARÂMETROS!AC102*PARÂMETROS!E23*PARÂMETROS!$B$4*PARÂMETROS!$B$5*PARÂMETROS!$B$65,0)</f>
        <v/>
      </c>
      <c r="AG25" s="33">
        <f>IFERROR(PARÂMETROS!AD102*PARÂMETROS!E23*PARÂMETROS!$B$4*PARÂMETROS!$B$5*PARÂMETROS!$B$66,0)</f>
        <v/>
      </c>
      <c r="AH25" s="33">
        <f>IFERROR(PARÂMETROS!AE102*PARÂMETROS!E23*PARÂMETROS!$B$4*PARÂMETROS!$B$5*PARÂMETROS!$B$67,0)</f>
        <v/>
      </c>
      <c r="AI25" s="33">
        <f>IFERROR(PARÂMETROS!AF102*PARÂMETROS!E23*PARÂMETROS!$B$4*PARÂMETROS!$B$5*PARÂMETROS!$B$68,0)</f>
        <v/>
      </c>
      <c r="AJ25" s="33">
        <f>IFERROR(PARÂMETROS!AG102*PARÂMETROS!E23*PARÂMETROS!$B$4*PARÂMETROS!$B$5*PARÂMETROS!$B$69,0)</f>
        <v/>
      </c>
      <c r="AK25" s="33">
        <f>IFERROR(PARÂMETROS!AH102*PARÂMETROS!E23*PARÂMETROS!$B$4*PARÂMETROS!$B$5*PARÂMETROS!$B$70,0)</f>
        <v/>
      </c>
      <c r="AL25" s="33">
        <f>IFERROR(PARÂMETROS!AI102*PARÂMETROS!E23*PARÂMETROS!$B$4*PARÂMETROS!$B$5*PARÂMETROS!$B$71,0)</f>
        <v/>
      </c>
      <c r="AM25" s="33">
        <f>IFERROR(PARÂMETROS!AJ102*PARÂMETROS!E23*PARÂMETROS!$B$4*PARÂMETROS!$B$5*PARÂMETROS!$B$72,0)</f>
        <v/>
      </c>
      <c r="AN25" s="33">
        <f>IFERROR(PARÂMETROS!AK102*PARÂMETROS!E23*PARÂMETROS!$B$4*PARÂMETROS!$B$5*PARÂMETROS!$B$73,0)</f>
        <v/>
      </c>
      <c r="AO25" s="33">
        <f>IFERROR(PARÂMETROS!AL102*PARÂMETROS!E23*PARÂMETROS!$B$4*PARÂMETROS!$B$5*PARÂMETROS!$B$74,0)</f>
        <v/>
      </c>
      <c r="AP25" s="33">
        <f>IFERROR(PARÂMETROS!AM102*PARÂMETROS!E23*PARÂMETROS!$B$4*PARÂMETROS!$B$5*PARÂMETROS!$B$75,0)</f>
        <v/>
      </c>
      <c r="AQ25" s="33">
        <f>IFERROR(PARÂMETROS!AN102*PARÂMETROS!E23*PARÂMETROS!$B$4*PARÂMETROS!$B$5*PARÂMETROS!$B$76,0)</f>
        <v/>
      </c>
      <c r="AR25" s="33">
        <f>IFERROR(PARÂMETROS!AO102*PARÂMETROS!E23*PARÂMETROS!$B$4*PARÂMETROS!$B$5*PARÂMETROS!$B$77,0)</f>
        <v/>
      </c>
      <c r="AS25" s="33">
        <f>IFERROR(PARÂMETROS!AP102*PARÂMETROS!E23*PARÂMETROS!$B$4*PARÂMETROS!$B$5*PARÂMETROS!$B$78,0)</f>
        <v/>
      </c>
      <c r="AT25" s="33">
        <f>IFERROR(PARÂMETROS!AQ102*PARÂMETROS!E23*PARÂMETROS!$B$4*PARÂMETROS!$B$5*PARÂMETROS!$B$79,0)</f>
        <v/>
      </c>
      <c r="AU25" s="33">
        <f>IFERROR(PARÂMETROS!AR102*PARÂMETROS!E23*PARÂMETROS!$B$4*PARÂMETROS!$B$5*PARÂMETROS!$B$80,0)</f>
        <v/>
      </c>
      <c r="AV25" s="33">
        <f>IFERROR(PARÂMETROS!AS102*PARÂMETROS!E23*PARÂMETROS!$B$4*PARÂMETROS!$B$5*PARÂMETROS!$B$81,0)</f>
        <v/>
      </c>
      <c r="AW25" s="33">
        <f>IFERROR(PARÂMETROS!AT102*PARÂMETROS!E23*PARÂMETROS!$B$4*PARÂMETROS!$B$5*PARÂMETROS!$B$82,0)</f>
        <v/>
      </c>
      <c r="AX25" s="33">
        <f>IFERROR(PARÂMETROS!AU102*PARÂMETROS!E23*PARÂMETROS!$B$4*PARÂMETROS!$B$5*PARÂMETROS!$B$83,0)</f>
        <v/>
      </c>
      <c r="AY25" s="33">
        <f>IFERROR(PARÂMETROS!AV102*PARÂMETROS!E23*PARÂMETROS!$B$4*PARÂMETROS!$B$5*PARÂMETROS!$B$84,0)</f>
        <v/>
      </c>
      <c r="AZ25" s="33">
        <f>IFERROR(PARÂMETROS!AW102*PARÂMETROS!E23*PARÂMETROS!$B$4*PARÂMETROS!$B$5*PARÂMETROS!$B$85,0)</f>
        <v/>
      </c>
      <c r="BA25" s="33">
        <f>IFERROR(PARÂMETROS!AX102*PARÂMETROS!E23*PARÂMETROS!$B$4*PARÂMETROS!$B$5*PARÂMETROS!$B$86,0)</f>
        <v/>
      </c>
      <c r="BB25" s="33">
        <f>IFERROR(PARÂMETROS!AY102*PARÂMETROS!E23*PARÂMETROS!$B$4*PARÂMETROS!$B$5*PARÂMETROS!$B$87,0)</f>
        <v/>
      </c>
      <c r="BC25" s="33">
        <f>IFERROR(PARÂMETROS!AZ102*PARÂMETROS!E23*PARÂMETROS!$B$4*PARÂMETROS!$B$5*PARÂMETROS!$B$88,0)</f>
        <v/>
      </c>
      <c r="BD25" s="33">
        <f>IFERROR(PARÂMETROS!BA102*PARÂMETROS!E23*PARÂMETROS!$B$4*PARÂMETROS!$B$5*PARÂMETROS!$B$89,0)</f>
        <v/>
      </c>
      <c r="BE25" s="33">
        <f>IFERROR(PARÂMETROS!BB102*PARÂMETROS!E23*PARÂMETROS!$B$4*PARÂMETROS!$B$5*PARÂMETROS!$B$90,0)</f>
        <v/>
      </c>
      <c r="BF25" s="33">
        <f>IFERROR(PARÂMETROS!BC102*PARÂMETROS!E23*PARÂMETROS!$B$4*PARÂMETROS!$B$5*PARÂMETROS!$B$91,0)</f>
        <v/>
      </c>
    </row>
    <row r="26">
      <c r="A26" s="14" t="inlineStr"/>
      <c r="B26" s="14" t="inlineStr"/>
      <c r="C26" s="35" t="n"/>
      <c r="D26" s="35" t="n"/>
      <c r="E26" s="35" t="n"/>
      <c r="F26" s="14" t="inlineStr">
        <is>
          <t>Acumulado</t>
        </is>
      </c>
      <c r="G26" s="33">
        <f>G25</f>
        <v/>
      </c>
      <c r="H26" s="33">
        <f>G26+H25</f>
        <v/>
      </c>
      <c r="I26" s="33">
        <f>H26+I25</f>
        <v/>
      </c>
      <c r="J26" s="33">
        <f>I26+J25</f>
        <v/>
      </c>
      <c r="K26" s="33">
        <f>J26+K25</f>
        <v/>
      </c>
      <c r="L26" s="33">
        <f>K26+L25</f>
        <v/>
      </c>
      <c r="M26" s="33">
        <f>L26+M25</f>
        <v/>
      </c>
      <c r="N26" s="33">
        <f>M26+N25</f>
        <v/>
      </c>
      <c r="O26" s="33">
        <f>N26+O25</f>
        <v/>
      </c>
      <c r="P26" s="33">
        <f>O26+P25</f>
        <v/>
      </c>
      <c r="Q26" s="33">
        <f>P26+Q25</f>
        <v/>
      </c>
      <c r="R26" s="33">
        <f>Q26+R25</f>
        <v/>
      </c>
      <c r="S26" s="33">
        <f>R26+S25</f>
        <v/>
      </c>
      <c r="T26" s="33">
        <f>S26+T25</f>
        <v/>
      </c>
      <c r="U26" s="33">
        <f>T26+U25</f>
        <v/>
      </c>
      <c r="V26" s="33">
        <f>U26+V25</f>
        <v/>
      </c>
      <c r="W26" s="33">
        <f>V26+W25</f>
        <v/>
      </c>
      <c r="X26" s="33">
        <f>W26+X25</f>
        <v/>
      </c>
      <c r="Y26" s="33">
        <f>X26+Y25</f>
        <v/>
      </c>
      <c r="Z26" s="33">
        <f>Y26+Z25</f>
        <v/>
      </c>
      <c r="AA26" s="33">
        <f>Z26+AA25</f>
        <v/>
      </c>
      <c r="AB26" s="33">
        <f>AA26+AB25</f>
        <v/>
      </c>
      <c r="AC26" s="33">
        <f>AB26+AC25</f>
        <v/>
      </c>
      <c r="AD26" s="33">
        <f>AC26+AD25</f>
        <v/>
      </c>
      <c r="AE26" s="33">
        <f>AD26+AE25</f>
        <v/>
      </c>
      <c r="AF26" s="33">
        <f>AE26+AF25</f>
        <v/>
      </c>
      <c r="AG26" s="33">
        <f>AF26+AG25</f>
        <v/>
      </c>
      <c r="AH26" s="33">
        <f>AG26+AH25</f>
        <v/>
      </c>
      <c r="AI26" s="33">
        <f>AH26+AI25</f>
        <v/>
      </c>
      <c r="AJ26" s="33">
        <f>AI26+AJ25</f>
        <v/>
      </c>
      <c r="AK26" s="33">
        <f>AJ26+AK25</f>
        <v/>
      </c>
      <c r="AL26" s="33">
        <f>AK26+AL25</f>
        <v/>
      </c>
      <c r="AM26" s="33">
        <f>AL26+AM25</f>
        <v/>
      </c>
      <c r="AN26" s="33">
        <f>AM26+AN25</f>
        <v/>
      </c>
      <c r="AO26" s="33">
        <f>AN26+AO25</f>
        <v/>
      </c>
      <c r="AP26" s="33">
        <f>AO26+AP25</f>
        <v/>
      </c>
      <c r="AQ26" s="33">
        <f>AP26+AQ25</f>
        <v/>
      </c>
      <c r="AR26" s="33">
        <f>AQ26+AR25</f>
        <v/>
      </c>
      <c r="AS26" s="33">
        <f>AR26+AS25</f>
        <v/>
      </c>
      <c r="AT26" s="33">
        <f>AS26+AT25</f>
        <v/>
      </c>
      <c r="AU26" s="33">
        <f>AT26+AU25</f>
        <v/>
      </c>
      <c r="AV26" s="33">
        <f>AU26+AV25</f>
        <v/>
      </c>
      <c r="AW26" s="33">
        <f>AV26+AW25</f>
        <v/>
      </c>
      <c r="AX26" s="33">
        <f>AW26+AX25</f>
        <v/>
      </c>
      <c r="AY26" s="33">
        <f>AX26+AY25</f>
        <v/>
      </c>
      <c r="AZ26" s="33">
        <f>AY26+AZ25</f>
        <v/>
      </c>
      <c r="BA26" s="33">
        <f>AZ26+BA25</f>
        <v/>
      </c>
      <c r="BB26" s="33">
        <f>BA26+BB25</f>
        <v/>
      </c>
      <c r="BC26" s="33">
        <f>BB26+BC25</f>
        <v/>
      </c>
      <c r="BD26" s="33">
        <f>BC26+BD25</f>
        <v/>
      </c>
      <c r="BE26" s="33">
        <f>BD26+BE25</f>
        <v/>
      </c>
      <c r="BF26" s="33">
        <f>BE26+BF25</f>
        <v/>
      </c>
    </row>
    <row r="27">
      <c r="A27" s="14" t="inlineStr"/>
      <c r="B27" s="14" t="inlineStr"/>
      <c r="C27" s="35" t="n"/>
      <c r="D27" s="35" t="n"/>
      <c r="E27" s="35" t="n"/>
      <c r="F27" s="14" t="inlineStr">
        <is>
          <t>% Completude</t>
        </is>
      </c>
      <c r="G27" s="34">
        <f>IF(PARÂMETROS!D23&gt;0,G26/PARÂMETROS!D23,0)</f>
        <v/>
      </c>
      <c r="H27" s="34">
        <f>IF(PARÂMETROS!D23&gt;0,H26/PARÂMETROS!D23,0)</f>
        <v/>
      </c>
      <c r="I27" s="34">
        <f>IF(PARÂMETROS!D23&gt;0,I26/PARÂMETROS!D23,0)</f>
        <v/>
      </c>
      <c r="J27" s="34">
        <f>IF(PARÂMETROS!D23&gt;0,J26/PARÂMETROS!D23,0)</f>
        <v/>
      </c>
      <c r="K27" s="34">
        <f>IF(PARÂMETROS!D23&gt;0,K26/PARÂMETROS!D23,0)</f>
        <v/>
      </c>
      <c r="L27" s="34">
        <f>IF(PARÂMETROS!D23&gt;0,L26/PARÂMETROS!D23,0)</f>
        <v/>
      </c>
      <c r="M27" s="34">
        <f>IF(PARÂMETROS!D23&gt;0,M26/PARÂMETROS!D23,0)</f>
        <v/>
      </c>
      <c r="N27" s="34">
        <f>IF(PARÂMETROS!D23&gt;0,N26/PARÂMETROS!D23,0)</f>
        <v/>
      </c>
      <c r="O27" s="34">
        <f>IF(PARÂMETROS!D23&gt;0,O26/PARÂMETROS!D23,0)</f>
        <v/>
      </c>
      <c r="P27" s="34">
        <f>IF(PARÂMETROS!D23&gt;0,P26/PARÂMETROS!D23,0)</f>
        <v/>
      </c>
      <c r="Q27" s="34">
        <f>IF(PARÂMETROS!D23&gt;0,Q26/PARÂMETROS!D23,0)</f>
        <v/>
      </c>
      <c r="R27" s="34">
        <f>IF(PARÂMETROS!D23&gt;0,R26/PARÂMETROS!D23,0)</f>
        <v/>
      </c>
      <c r="S27" s="34">
        <f>IF(PARÂMETROS!D23&gt;0,S26/PARÂMETROS!D23,0)</f>
        <v/>
      </c>
      <c r="T27" s="34">
        <f>IF(PARÂMETROS!D23&gt;0,T26/PARÂMETROS!D23,0)</f>
        <v/>
      </c>
      <c r="U27" s="34">
        <f>IF(PARÂMETROS!D23&gt;0,U26/PARÂMETROS!D23,0)</f>
        <v/>
      </c>
      <c r="V27" s="34">
        <f>IF(PARÂMETROS!D23&gt;0,V26/PARÂMETROS!D23,0)</f>
        <v/>
      </c>
      <c r="W27" s="34">
        <f>IF(PARÂMETROS!D23&gt;0,W26/PARÂMETROS!D23,0)</f>
        <v/>
      </c>
      <c r="X27" s="34">
        <f>IF(PARÂMETROS!D23&gt;0,X26/PARÂMETROS!D23,0)</f>
        <v/>
      </c>
      <c r="Y27" s="34">
        <f>IF(PARÂMETROS!D23&gt;0,Y26/PARÂMETROS!D23,0)</f>
        <v/>
      </c>
      <c r="Z27" s="34">
        <f>IF(PARÂMETROS!D23&gt;0,Z26/PARÂMETROS!D23,0)</f>
        <v/>
      </c>
      <c r="AA27" s="34">
        <f>IF(PARÂMETROS!D23&gt;0,AA26/PARÂMETROS!D23,0)</f>
        <v/>
      </c>
      <c r="AB27" s="34">
        <f>IF(PARÂMETROS!D23&gt;0,AB26/PARÂMETROS!D23,0)</f>
        <v/>
      </c>
      <c r="AC27" s="34">
        <f>IF(PARÂMETROS!D23&gt;0,AC26/PARÂMETROS!D23,0)</f>
        <v/>
      </c>
      <c r="AD27" s="34">
        <f>IF(PARÂMETROS!D23&gt;0,AD26/PARÂMETROS!D23,0)</f>
        <v/>
      </c>
      <c r="AE27" s="34">
        <f>IF(PARÂMETROS!D23&gt;0,AE26/PARÂMETROS!D23,0)</f>
        <v/>
      </c>
      <c r="AF27" s="34">
        <f>IF(PARÂMETROS!D23&gt;0,AF26/PARÂMETROS!D23,0)</f>
        <v/>
      </c>
      <c r="AG27" s="34">
        <f>IF(PARÂMETROS!D23&gt;0,AG26/PARÂMETROS!D23,0)</f>
        <v/>
      </c>
      <c r="AH27" s="34">
        <f>IF(PARÂMETROS!D23&gt;0,AH26/PARÂMETROS!D23,0)</f>
        <v/>
      </c>
      <c r="AI27" s="34">
        <f>IF(PARÂMETROS!D23&gt;0,AI26/PARÂMETROS!D23,0)</f>
        <v/>
      </c>
      <c r="AJ27" s="34">
        <f>IF(PARÂMETROS!D23&gt;0,AJ26/PARÂMETROS!D23,0)</f>
        <v/>
      </c>
      <c r="AK27" s="34">
        <f>IF(PARÂMETROS!D23&gt;0,AK26/PARÂMETROS!D23,0)</f>
        <v/>
      </c>
      <c r="AL27" s="34">
        <f>IF(PARÂMETROS!D23&gt;0,AL26/PARÂMETROS!D23,0)</f>
        <v/>
      </c>
      <c r="AM27" s="34">
        <f>IF(PARÂMETROS!D23&gt;0,AM26/PARÂMETROS!D23,0)</f>
        <v/>
      </c>
      <c r="AN27" s="34">
        <f>IF(PARÂMETROS!D23&gt;0,AN26/PARÂMETROS!D23,0)</f>
        <v/>
      </c>
      <c r="AO27" s="34">
        <f>IF(PARÂMETROS!D23&gt;0,AO26/PARÂMETROS!D23,0)</f>
        <v/>
      </c>
      <c r="AP27" s="34">
        <f>IF(PARÂMETROS!D23&gt;0,AP26/PARÂMETROS!D23,0)</f>
        <v/>
      </c>
      <c r="AQ27" s="34">
        <f>IF(PARÂMETROS!D23&gt;0,AQ26/PARÂMETROS!D23,0)</f>
        <v/>
      </c>
      <c r="AR27" s="34">
        <f>IF(PARÂMETROS!D23&gt;0,AR26/PARÂMETROS!D23,0)</f>
        <v/>
      </c>
      <c r="AS27" s="34">
        <f>IF(PARÂMETROS!D23&gt;0,AS26/PARÂMETROS!D23,0)</f>
        <v/>
      </c>
      <c r="AT27" s="34">
        <f>IF(PARÂMETROS!D23&gt;0,AT26/PARÂMETROS!D23,0)</f>
        <v/>
      </c>
      <c r="AU27" s="34">
        <f>IF(PARÂMETROS!D23&gt;0,AU26/PARÂMETROS!D23,0)</f>
        <v/>
      </c>
      <c r="AV27" s="34">
        <f>IF(PARÂMETROS!D23&gt;0,AV26/PARÂMETROS!D23,0)</f>
        <v/>
      </c>
      <c r="AW27" s="34">
        <f>IF(PARÂMETROS!D23&gt;0,AW26/PARÂMETROS!D23,0)</f>
        <v/>
      </c>
      <c r="AX27" s="34">
        <f>IF(PARÂMETROS!D23&gt;0,AX26/PARÂMETROS!D23,0)</f>
        <v/>
      </c>
      <c r="AY27" s="34">
        <f>IF(PARÂMETROS!D23&gt;0,AY26/PARÂMETROS!D23,0)</f>
        <v/>
      </c>
      <c r="AZ27" s="34">
        <f>IF(PARÂMETROS!D23&gt;0,AZ26/PARÂMETROS!D23,0)</f>
        <v/>
      </c>
      <c r="BA27" s="34">
        <f>IF(PARÂMETROS!D23&gt;0,BA26/PARÂMETROS!D23,0)</f>
        <v/>
      </c>
      <c r="BB27" s="34">
        <f>IF(PARÂMETROS!D23&gt;0,BB26/PARÂMETROS!D23,0)</f>
        <v/>
      </c>
      <c r="BC27" s="34">
        <f>IF(PARÂMETROS!D23&gt;0,BC26/PARÂMETROS!D23,0)</f>
        <v/>
      </c>
      <c r="BD27" s="34">
        <f>IF(PARÂMETROS!D23&gt;0,BD26/PARÂMETROS!D23,0)</f>
        <v/>
      </c>
      <c r="BE27" s="34">
        <f>IF(PARÂMETROS!D23&gt;0,BE26/PARÂMETROS!D23,0)</f>
        <v/>
      </c>
      <c r="BF27" s="34">
        <f>IF(PARÂMETROS!D23&gt;0,BF26/PARÂMETROS!D23,0)</f>
        <v/>
      </c>
    </row>
    <row r="28">
      <c r="A28" s="14" t="inlineStr">
        <is>
          <t>eap-1_8</t>
        </is>
      </c>
      <c r="B28" s="14" t="inlineStr">
        <is>
          <t xml:space="preserve">Compactacao aterros 100% </t>
        </is>
      </c>
      <c r="C28" s="16">
        <f>PARÂMETROS!D24</f>
        <v/>
      </c>
      <c r="D28" s="33">
        <f>SUM(G28:BF28)</f>
        <v/>
      </c>
      <c r="E28" s="34">
        <f>IF(C28&gt;0,(D28-C28)/C28,0)</f>
        <v/>
      </c>
      <c r="F28" s="14" t="inlineStr">
        <is>
          <t>Produção semanal</t>
        </is>
      </c>
      <c r="G28" s="33">
        <f>IFERROR(PARÂMETROS!D103*PARÂMETROS!E24*PARÂMETROS!$B$4*PARÂMETROS!$B$5*PARÂMETROS!$B$40,0)</f>
        <v/>
      </c>
      <c r="H28" s="33">
        <f>IFERROR(PARÂMETROS!E103*PARÂMETROS!E24*PARÂMETROS!$B$4*PARÂMETROS!$B$5*PARÂMETROS!$B$41,0)</f>
        <v/>
      </c>
      <c r="I28" s="33">
        <f>IFERROR(PARÂMETROS!F103*PARÂMETROS!E24*PARÂMETROS!$B$4*PARÂMETROS!$B$5*PARÂMETROS!$B$42,0)</f>
        <v/>
      </c>
      <c r="J28" s="33">
        <f>IFERROR(PARÂMETROS!G103*PARÂMETROS!E24*PARÂMETROS!$B$4*PARÂMETROS!$B$5*PARÂMETROS!$B$43,0)</f>
        <v/>
      </c>
      <c r="K28" s="33">
        <f>IFERROR(PARÂMETROS!H103*PARÂMETROS!E24*PARÂMETROS!$B$4*PARÂMETROS!$B$5*PARÂMETROS!$B$44,0)</f>
        <v/>
      </c>
      <c r="L28" s="33">
        <f>IFERROR(PARÂMETROS!I103*PARÂMETROS!E24*PARÂMETROS!$B$4*PARÂMETROS!$B$5*PARÂMETROS!$B$45,0)</f>
        <v/>
      </c>
      <c r="M28" s="33">
        <f>IFERROR(PARÂMETROS!J103*PARÂMETROS!E24*PARÂMETROS!$B$4*PARÂMETROS!$B$5*PARÂMETROS!$B$46,0)</f>
        <v/>
      </c>
      <c r="N28" s="33">
        <f>IFERROR(PARÂMETROS!K103*PARÂMETROS!E24*PARÂMETROS!$B$4*PARÂMETROS!$B$5*PARÂMETROS!$B$47,0)</f>
        <v/>
      </c>
      <c r="O28" s="33">
        <f>IFERROR(PARÂMETROS!L103*PARÂMETROS!E24*PARÂMETROS!$B$4*PARÂMETROS!$B$5*PARÂMETROS!$B$48,0)</f>
        <v/>
      </c>
      <c r="P28" s="33">
        <f>IFERROR(PARÂMETROS!M103*PARÂMETROS!E24*PARÂMETROS!$B$4*PARÂMETROS!$B$5*PARÂMETROS!$B$49,0)</f>
        <v/>
      </c>
      <c r="Q28" s="33">
        <f>IFERROR(PARÂMETROS!N103*PARÂMETROS!E24*PARÂMETROS!$B$4*PARÂMETROS!$B$5*PARÂMETROS!$B$50,0)</f>
        <v/>
      </c>
      <c r="R28" s="33">
        <f>IFERROR(PARÂMETROS!O103*PARÂMETROS!E24*PARÂMETROS!$B$4*PARÂMETROS!$B$5*PARÂMETROS!$B$51,0)</f>
        <v/>
      </c>
      <c r="S28" s="33">
        <f>IFERROR(PARÂMETROS!P103*PARÂMETROS!E24*PARÂMETROS!$B$4*PARÂMETROS!$B$5*PARÂMETROS!$B$52,0)</f>
        <v/>
      </c>
      <c r="T28" s="33">
        <f>IFERROR(PARÂMETROS!Q103*PARÂMETROS!E24*PARÂMETROS!$B$4*PARÂMETROS!$B$5*PARÂMETROS!$B$53,0)</f>
        <v/>
      </c>
      <c r="U28" s="33">
        <f>IFERROR(PARÂMETROS!R103*PARÂMETROS!E24*PARÂMETROS!$B$4*PARÂMETROS!$B$5*PARÂMETROS!$B$54,0)</f>
        <v/>
      </c>
      <c r="V28" s="33">
        <f>IFERROR(PARÂMETROS!S103*PARÂMETROS!E24*PARÂMETROS!$B$4*PARÂMETROS!$B$5*PARÂMETROS!$B$55,0)</f>
        <v/>
      </c>
      <c r="W28" s="33">
        <f>IFERROR(PARÂMETROS!T103*PARÂMETROS!E24*PARÂMETROS!$B$4*PARÂMETROS!$B$5*PARÂMETROS!$B$56,0)</f>
        <v/>
      </c>
      <c r="X28" s="33">
        <f>IFERROR(PARÂMETROS!U103*PARÂMETROS!E24*PARÂMETROS!$B$4*PARÂMETROS!$B$5*PARÂMETROS!$B$57,0)</f>
        <v/>
      </c>
      <c r="Y28" s="33">
        <f>IFERROR(PARÂMETROS!V103*PARÂMETROS!E24*PARÂMETROS!$B$4*PARÂMETROS!$B$5*PARÂMETROS!$B$58,0)</f>
        <v/>
      </c>
      <c r="Z28" s="33">
        <f>IFERROR(PARÂMETROS!W103*PARÂMETROS!E24*PARÂMETROS!$B$4*PARÂMETROS!$B$5*PARÂMETROS!$B$59,0)</f>
        <v/>
      </c>
      <c r="AA28" s="33">
        <f>IFERROR(PARÂMETROS!X103*PARÂMETROS!E24*PARÂMETROS!$B$4*PARÂMETROS!$B$5*PARÂMETROS!$B$60,0)</f>
        <v/>
      </c>
      <c r="AB28" s="33">
        <f>IFERROR(PARÂMETROS!Y103*PARÂMETROS!E24*PARÂMETROS!$B$4*PARÂMETROS!$B$5*PARÂMETROS!$B$61,0)</f>
        <v/>
      </c>
      <c r="AC28" s="33">
        <f>IFERROR(PARÂMETROS!Z103*PARÂMETROS!E24*PARÂMETROS!$B$4*PARÂMETROS!$B$5*PARÂMETROS!$B$62,0)</f>
        <v/>
      </c>
      <c r="AD28" s="33">
        <f>IFERROR(PARÂMETROS!AA103*PARÂMETROS!E24*PARÂMETROS!$B$4*PARÂMETROS!$B$5*PARÂMETROS!$B$63,0)</f>
        <v/>
      </c>
      <c r="AE28" s="33">
        <f>IFERROR(PARÂMETROS!AB103*PARÂMETROS!E24*PARÂMETROS!$B$4*PARÂMETROS!$B$5*PARÂMETROS!$B$64,0)</f>
        <v/>
      </c>
      <c r="AF28" s="33">
        <f>IFERROR(PARÂMETROS!AC103*PARÂMETROS!E24*PARÂMETROS!$B$4*PARÂMETROS!$B$5*PARÂMETROS!$B$65,0)</f>
        <v/>
      </c>
      <c r="AG28" s="33">
        <f>IFERROR(PARÂMETROS!AD103*PARÂMETROS!E24*PARÂMETROS!$B$4*PARÂMETROS!$B$5*PARÂMETROS!$B$66,0)</f>
        <v/>
      </c>
      <c r="AH28" s="33">
        <f>IFERROR(PARÂMETROS!AE103*PARÂMETROS!E24*PARÂMETROS!$B$4*PARÂMETROS!$B$5*PARÂMETROS!$B$67,0)</f>
        <v/>
      </c>
      <c r="AI28" s="33">
        <f>IFERROR(PARÂMETROS!AF103*PARÂMETROS!E24*PARÂMETROS!$B$4*PARÂMETROS!$B$5*PARÂMETROS!$B$68,0)</f>
        <v/>
      </c>
      <c r="AJ28" s="33">
        <f>IFERROR(PARÂMETROS!AG103*PARÂMETROS!E24*PARÂMETROS!$B$4*PARÂMETROS!$B$5*PARÂMETROS!$B$69,0)</f>
        <v/>
      </c>
      <c r="AK28" s="33">
        <f>IFERROR(PARÂMETROS!AH103*PARÂMETROS!E24*PARÂMETROS!$B$4*PARÂMETROS!$B$5*PARÂMETROS!$B$70,0)</f>
        <v/>
      </c>
      <c r="AL28" s="33">
        <f>IFERROR(PARÂMETROS!AI103*PARÂMETROS!E24*PARÂMETROS!$B$4*PARÂMETROS!$B$5*PARÂMETROS!$B$71,0)</f>
        <v/>
      </c>
      <c r="AM28" s="33">
        <f>IFERROR(PARÂMETROS!AJ103*PARÂMETROS!E24*PARÂMETROS!$B$4*PARÂMETROS!$B$5*PARÂMETROS!$B$72,0)</f>
        <v/>
      </c>
      <c r="AN28" s="33">
        <f>IFERROR(PARÂMETROS!AK103*PARÂMETROS!E24*PARÂMETROS!$B$4*PARÂMETROS!$B$5*PARÂMETROS!$B$73,0)</f>
        <v/>
      </c>
      <c r="AO28" s="33">
        <f>IFERROR(PARÂMETROS!AL103*PARÂMETROS!E24*PARÂMETROS!$B$4*PARÂMETROS!$B$5*PARÂMETROS!$B$74,0)</f>
        <v/>
      </c>
      <c r="AP28" s="33">
        <f>IFERROR(PARÂMETROS!AM103*PARÂMETROS!E24*PARÂMETROS!$B$4*PARÂMETROS!$B$5*PARÂMETROS!$B$75,0)</f>
        <v/>
      </c>
      <c r="AQ28" s="33">
        <f>IFERROR(PARÂMETROS!AN103*PARÂMETROS!E24*PARÂMETROS!$B$4*PARÂMETROS!$B$5*PARÂMETROS!$B$76,0)</f>
        <v/>
      </c>
      <c r="AR28" s="33">
        <f>IFERROR(PARÂMETROS!AO103*PARÂMETROS!E24*PARÂMETROS!$B$4*PARÂMETROS!$B$5*PARÂMETROS!$B$77,0)</f>
        <v/>
      </c>
      <c r="AS28" s="33">
        <f>IFERROR(PARÂMETROS!AP103*PARÂMETROS!E24*PARÂMETROS!$B$4*PARÂMETROS!$B$5*PARÂMETROS!$B$78,0)</f>
        <v/>
      </c>
      <c r="AT28" s="33">
        <f>IFERROR(PARÂMETROS!AQ103*PARÂMETROS!E24*PARÂMETROS!$B$4*PARÂMETROS!$B$5*PARÂMETROS!$B$79,0)</f>
        <v/>
      </c>
      <c r="AU28" s="33">
        <f>IFERROR(PARÂMETROS!AR103*PARÂMETROS!E24*PARÂMETROS!$B$4*PARÂMETROS!$B$5*PARÂMETROS!$B$80,0)</f>
        <v/>
      </c>
      <c r="AV28" s="33">
        <f>IFERROR(PARÂMETROS!AS103*PARÂMETROS!E24*PARÂMETROS!$B$4*PARÂMETROS!$B$5*PARÂMETROS!$B$81,0)</f>
        <v/>
      </c>
      <c r="AW28" s="33">
        <f>IFERROR(PARÂMETROS!AT103*PARÂMETROS!E24*PARÂMETROS!$B$4*PARÂMETROS!$B$5*PARÂMETROS!$B$82,0)</f>
        <v/>
      </c>
      <c r="AX28" s="33">
        <f>IFERROR(PARÂMETROS!AU103*PARÂMETROS!E24*PARÂMETROS!$B$4*PARÂMETROS!$B$5*PARÂMETROS!$B$83,0)</f>
        <v/>
      </c>
      <c r="AY28" s="33">
        <f>IFERROR(PARÂMETROS!AV103*PARÂMETROS!E24*PARÂMETROS!$B$4*PARÂMETROS!$B$5*PARÂMETROS!$B$84,0)</f>
        <v/>
      </c>
      <c r="AZ28" s="33">
        <f>IFERROR(PARÂMETROS!AW103*PARÂMETROS!E24*PARÂMETROS!$B$4*PARÂMETROS!$B$5*PARÂMETROS!$B$85,0)</f>
        <v/>
      </c>
      <c r="BA28" s="33">
        <f>IFERROR(PARÂMETROS!AX103*PARÂMETROS!E24*PARÂMETROS!$B$4*PARÂMETROS!$B$5*PARÂMETROS!$B$86,0)</f>
        <v/>
      </c>
      <c r="BB28" s="33">
        <f>IFERROR(PARÂMETROS!AY103*PARÂMETROS!E24*PARÂMETROS!$B$4*PARÂMETROS!$B$5*PARÂMETROS!$B$87,0)</f>
        <v/>
      </c>
      <c r="BC28" s="33">
        <f>IFERROR(PARÂMETROS!AZ103*PARÂMETROS!E24*PARÂMETROS!$B$4*PARÂMETROS!$B$5*PARÂMETROS!$B$88,0)</f>
        <v/>
      </c>
      <c r="BD28" s="33">
        <f>IFERROR(PARÂMETROS!BA103*PARÂMETROS!E24*PARÂMETROS!$B$4*PARÂMETROS!$B$5*PARÂMETROS!$B$89,0)</f>
        <v/>
      </c>
      <c r="BE28" s="33">
        <f>IFERROR(PARÂMETROS!BB103*PARÂMETROS!E24*PARÂMETROS!$B$4*PARÂMETROS!$B$5*PARÂMETROS!$B$90,0)</f>
        <v/>
      </c>
      <c r="BF28" s="33">
        <f>IFERROR(PARÂMETROS!BC103*PARÂMETROS!E24*PARÂMETROS!$B$4*PARÂMETROS!$B$5*PARÂMETROS!$B$91,0)</f>
        <v/>
      </c>
    </row>
    <row r="29">
      <c r="A29" s="14" t="inlineStr"/>
      <c r="B29" s="14" t="inlineStr"/>
      <c r="C29" s="35" t="n"/>
      <c r="D29" s="35" t="n"/>
      <c r="E29" s="35" t="n"/>
      <c r="F29" s="14" t="inlineStr">
        <is>
          <t>Acumulado</t>
        </is>
      </c>
      <c r="G29" s="33">
        <f>G28</f>
        <v/>
      </c>
      <c r="H29" s="33">
        <f>G29+H28</f>
        <v/>
      </c>
      <c r="I29" s="33">
        <f>H29+I28</f>
        <v/>
      </c>
      <c r="J29" s="33">
        <f>I29+J28</f>
        <v/>
      </c>
      <c r="K29" s="33">
        <f>J29+K28</f>
        <v/>
      </c>
      <c r="L29" s="33">
        <f>K29+L28</f>
        <v/>
      </c>
      <c r="M29" s="33">
        <f>L29+M28</f>
        <v/>
      </c>
      <c r="N29" s="33">
        <f>M29+N28</f>
        <v/>
      </c>
      <c r="O29" s="33">
        <f>N29+O28</f>
        <v/>
      </c>
      <c r="P29" s="33">
        <f>O29+P28</f>
        <v/>
      </c>
      <c r="Q29" s="33">
        <f>P29+Q28</f>
        <v/>
      </c>
      <c r="R29" s="33">
        <f>Q29+R28</f>
        <v/>
      </c>
      <c r="S29" s="33">
        <f>R29+S28</f>
        <v/>
      </c>
      <c r="T29" s="33">
        <f>S29+T28</f>
        <v/>
      </c>
      <c r="U29" s="33">
        <f>T29+U28</f>
        <v/>
      </c>
      <c r="V29" s="33">
        <f>U29+V28</f>
        <v/>
      </c>
      <c r="W29" s="33">
        <f>V29+W28</f>
        <v/>
      </c>
      <c r="X29" s="33">
        <f>W29+X28</f>
        <v/>
      </c>
      <c r="Y29" s="33">
        <f>X29+Y28</f>
        <v/>
      </c>
      <c r="Z29" s="33">
        <f>Y29+Z28</f>
        <v/>
      </c>
      <c r="AA29" s="33">
        <f>Z29+AA28</f>
        <v/>
      </c>
      <c r="AB29" s="33">
        <f>AA29+AB28</f>
        <v/>
      </c>
      <c r="AC29" s="33">
        <f>AB29+AC28</f>
        <v/>
      </c>
      <c r="AD29" s="33">
        <f>AC29+AD28</f>
        <v/>
      </c>
      <c r="AE29" s="33">
        <f>AD29+AE28</f>
        <v/>
      </c>
      <c r="AF29" s="33">
        <f>AE29+AF28</f>
        <v/>
      </c>
      <c r="AG29" s="33">
        <f>AF29+AG28</f>
        <v/>
      </c>
      <c r="AH29" s="33">
        <f>AG29+AH28</f>
        <v/>
      </c>
      <c r="AI29" s="33">
        <f>AH29+AI28</f>
        <v/>
      </c>
      <c r="AJ29" s="33">
        <f>AI29+AJ28</f>
        <v/>
      </c>
      <c r="AK29" s="33">
        <f>AJ29+AK28</f>
        <v/>
      </c>
      <c r="AL29" s="33">
        <f>AK29+AL28</f>
        <v/>
      </c>
      <c r="AM29" s="33">
        <f>AL29+AM28</f>
        <v/>
      </c>
      <c r="AN29" s="33">
        <f>AM29+AN28</f>
        <v/>
      </c>
      <c r="AO29" s="33">
        <f>AN29+AO28</f>
        <v/>
      </c>
      <c r="AP29" s="33">
        <f>AO29+AP28</f>
        <v/>
      </c>
      <c r="AQ29" s="33">
        <f>AP29+AQ28</f>
        <v/>
      </c>
      <c r="AR29" s="33">
        <f>AQ29+AR28</f>
        <v/>
      </c>
      <c r="AS29" s="33">
        <f>AR29+AS28</f>
        <v/>
      </c>
      <c r="AT29" s="33">
        <f>AS29+AT28</f>
        <v/>
      </c>
      <c r="AU29" s="33">
        <f>AT29+AU28</f>
        <v/>
      </c>
      <c r="AV29" s="33">
        <f>AU29+AV28</f>
        <v/>
      </c>
      <c r="AW29" s="33">
        <f>AV29+AW28</f>
        <v/>
      </c>
      <c r="AX29" s="33">
        <f>AW29+AX28</f>
        <v/>
      </c>
      <c r="AY29" s="33">
        <f>AX29+AY28</f>
        <v/>
      </c>
      <c r="AZ29" s="33">
        <f>AY29+AZ28</f>
        <v/>
      </c>
      <c r="BA29" s="33">
        <f>AZ29+BA28</f>
        <v/>
      </c>
      <c r="BB29" s="33">
        <f>BA29+BB28</f>
        <v/>
      </c>
      <c r="BC29" s="33">
        <f>BB29+BC28</f>
        <v/>
      </c>
      <c r="BD29" s="33">
        <f>BC29+BD28</f>
        <v/>
      </c>
      <c r="BE29" s="33">
        <f>BD29+BE28</f>
        <v/>
      </c>
      <c r="BF29" s="33">
        <f>BE29+BF28</f>
        <v/>
      </c>
    </row>
    <row r="30">
      <c r="A30" s="14" t="inlineStr"/>
      <c r="B30" s="14" t="inlineStr"/>
      <c r="C30" s="35" t="n"/>
      <c r="D30" s="35" t="n"/>
      <c r="E30" s="35" t="n"/>
      <c r="F30" s="14" t="inlineStr">
        <is>
          <t>% Completude</t>
        </is>
      </c>
      <c r="G30" s="34">
        <f>IF(PARÂMETROS!D24&gt;0,G29/PARÂMETROS!D24,0)</f>
        <v/>
      </c>
      <c r="H30" s="34">
        <f>IF(PARÂMETROS!D24&gt;0,H29/PARÂMETROS!D24,0)</f>
        <v/>
      </c>
      <c r="I30" s="34">
        <f>IF(PARÂMETROS!D24&gt;0,I29/PARÂMETROS!D24,0)</f>
        <v/>
      </c>
      <c r="J30" s="34">
        <f>IF(PARÂMETROS!D24&gt;0,J29/PARÂMETROS!D24,0)</f>
        <v/>
      </c>
      <c r="K30" s="34">
        <f>IF(PARÂMETROS!D24&gt;0,K29/PARÂMETROS!D24,0)</f>
        <v/>
      </c>
      <c r="L30" s="34">
        <f>IF(PARÂMETROS!D24&gt;0,L29/PARÂMETROS!D24,0)</f>
        <v/>
      </c>
      <c r="M30" s="34">
        <f>IF(PARÂMETROS!D24&gt;0,M29/PARÂMETROS!D24,0)</f>
        <v/>
      </c>
      <c r="N30" s="34">
        <f>IF(PARÂMETROS!D24&gt;0,N29/PARÂMETROS!D24,0)</f>
        <v/>
      </c>
      <c r="O30" s="34">
        <f>IF(PARÂMETROS!D24&gt;0,O29/PARÂMETROS!D24,0)</f>
        <v/>
      </c>
      <c r="P30" s="34">
        <f>IF(PARÂMETROS!D24&gt;0,P29/PARÂMETROS!D24,0)</f>
        <v/>
      </c>
      <c r="Q30" s="34">
        <f>IF(PARÂMETROS!D24&gt;0,Q29/PARÂMETROS!D24,0)</f>
        <v/>
      </c>
      <c r="R30" s="34">
        <f>IF(PARÂMETROS!D24&gt;0,R29/PARÂMETROS!D24,0)</f>
        <v/>
      </c>
      <c r="S30" s="34">
        <f>IF(PARÂMETROS!D24&gt;0,S29/PARÂMETROS!D24,0)</f>
        <v/>
      </c>
      <c r="T30" s="34">
        <f>IF(PARÂMETROS!D24&gt;0,T29/PARÂMETROS!D24,0)</f>
        <v/>
      </c>
      <c r="U30" s="34">
        <f>IF(PARÂMETROS!D24&gt;0,U29/PARÂMETROS!D24,0)</f>
        <v/>
      </c>
      <c r="V30" s="34">
        <f>IF(PARÂMETROS!D24&gt;0,V29/PARÂMETROS!D24,0)</f>
        <v/>
      </c>
      <c r="W30" s="34">
        <f>IF(PARÂMETROS!D24&gt;0,W29/PARÂMETROS!D24,0)</f>
        <v/>
      </c>
      <c r="X30" s="34">
        <f>IF(PARÂMETROS!D24&gt;0,X29/PARÂMETROS!D24,0)</f>
        <v/>
      </c>
      <c r="Y30" s="34">
        <f>IF(PARÂMETROS!D24&gt;0,Y29/PARÂMETROS!D24,0)</f>
        <v/>
      </c>
      <c r="Z30" s="34">
        <f>IF(PARÂMETROS!D24&gt;0,Z29/PARÂMETROS!D24,0)</f>
        <v/>
      </c>
      <c r="AA30" s="34">
        <f>IF(PARÂMETROS!D24&gt;0,AA29/PARÂMETROS!D24,0)</f>
        <v/>
      </c>
      <c r="AB30" s="34">
        <f>IF(PARÂMETROS!D24&gt;0,AB29/PARÂMETROS!D24,0)</f>
        <v/>
      </c>
      <c r="AC30" s="34">
        <f>IF(PARÂMETROS!D24&gt;0,AC29/PARÂMETROS!D24,0)</f>
        <v/>
      </c>
      <c r="AD30" s="34">
        <f>IF(PARÂMETROS!D24&gt;0,AD29/PARÂMETROS!D24,0)</f>
        <v/>
      </c>
      <c r="AE30" s="34">
        <f>IF(PARÂMETROS!D24&gt;0,AE29/PARÂMETROS!D24,0)</f>
        <v/>
      </c>
      <c r="AF30" s="34">
        <f>IF(PARÂMETROS!D24&gt;0,AF29/PARÂMETROS!D24,0)</f>
        <v/>
      </c>
      <c r="AG30" s="34">
        <f>IF(PARÂMETROS!D24&gt;0,AG29/PARÂMETROS!D24,0)</f>
        <v/>
      </c>
      <c r="AH30" s="34">
        <f>IF(PARÂMETROS!D24&gt;0,AH29/PARÂMETROS!D24,0)</f>
        <v/>
      </c>
      <c r="AI30" s="34">
        <f>IF(PARÂMETROS!D24&gt;0,AI29/PARÂMETROS!D24,0)</f>
        <v/>
      </c>
      <c r="AJ30" s="34">
        <f>IF(PARÂMETROS!D24&gt;0,AJ29/PARÂMETROS!D24,0)</f>
        <v/>
      </c>
      <c r="AK30" s="34">
        <f>IF(PARÂMETROS!D24&gt;0,AK29/PARÂMETROS!D24,0)</f>
        <v/>
      </c>
      <c r="AL30" s="34">
        <f>IF(PARÂMETROS!D24&gt;0,AL29/PARÂMETROS!D24,0)</f>
        <v/>
      </c>
      <c r="AM30" s="34">
        <f>IF(PARÂMETROS!D24&gt;0,AM29/PARÂMETROS!D24,0)</f>
        <v/>
      </c>
      <c r="AN30" s="34">
        <f>IF(PARÂMETROS!D24&gt;0,AN29/PARÂMETROS!D24,0)</f>
        <v/>
      </c>
      <c r="AO30" s="34">
        <f>IF(PARÂMETROS!D24&gt;0,AO29/PARÂMETROS!D24,0)</f>
        <v/>
      </c>
      <c r="AP30" s="34">
        <f>IF(PARÂMETROS!D24&gt;0,AP29/PARÂMETROS!D24,0)</f>
        <v/>
      </c>
      <c r="AQ30" s="34">
        <f>IF(PARÂMETROS!D24&gt;0,AQ29/PARÂMETROS!D24,0)</f>
        <v/>
      </c>
      <c r="AR30" s="34">
        <f>IF(PARÂMETROS!D24&gt;0,AR29/PARÂMETROS!D24,0)</f>
        <v/>
      </c>
      <c r="AS30" s="34">
        <f>IF(PARÂMETROS!D24&gt;0,AS29/PARÂMETROS!D24,0)</f>
        <v/>
      </c>
      <c r="AT30" s="34">
        <f>IF(PARÂMETROS!D24&gt;0,AT29/PARÂMETROS!D24,0)</f>
        <v/>
      </c>
      <c r="AU30" s="34">
        <f>IF(PARÂMETROS!D24&gt;0,AU29/PARÂMETROS!D24,0)</f>
        <v/>
      </c>
      <c r="AV30" s="34">
        <f>IF(PARÂMETROS!D24&gt;0,AV29/PARÂMETROS!D24,0)</f>
        <v/>
      </c>
      <c r="AW30" s="34">
        <f>IF(PARÂMETROS!D24&gt;0,AW29/PARÂMETROS!D24,0)</f>
        <v/>
      </c>
      <c r="AX30" s="34">
        <f>IF(PARÂMETROS!D24&gt;0,AX29/PARÂMETROS!D24,0)</f>
        <v/>
      </c>
      <c r="AY30" s="34">
        <f>IF(PARÂMETROS!D24&gt;0,AY29/PARÂMETROS!D24,0)</f>
        <v/>
      </c>
      <c r="AZ30" s="34">
        <f>IF(PARÂMETROS!D24&gt;0,AZ29/PARÂMETROS!D24,0)</f>
        <v/>
      </c>
      <c r="BA30" s="34">
        <f>IF(PARÂMETROS!D24&gt;0,BA29/PARÂMETROS!D24,0)</f>
        <v/>
      </c>
      <c r="BB30" s="34">
        <f>IF(PARÂMETROS!D24&gt;0,BB29/PARÂMETROS!D24,0)</f>
        <v/>
      </c>
      <c r="BC30" s="34">
        <f>IF(PARÂMETROS!D24&gt;0,BC29/PARÂMETROS!D24,0)</f>
        <v/>
      </c>
      <c r="BD30" s="34">
        <f>IF(PARÂMETROS!D24&gt;0,BD29/PARÂMETROS!D24,0)</f>
        <v/>
      </c>
      <c r="BE30" s="34">
        <f>IF(PARÂMETROS!D24&gt;0,BE29/PARÂMETROS!D24,0)</f>
        <v/>
      </c>
      <c r="BF30" s="34">
        <f>IF(PARÂMETROS!D24&gt;0,BF29/PARÂMETROS!D24,0)</f>
        <v/>
      </c>
    </row>
    <row r="31">
      <c r="A31" s="14" t="inlineStr">
        <is>
          <t>eap-1_9</t>
        </is>
      </c>
      <c r="B31" s="14" t="inlineStr">
        <is>
          <t>Construcao corpo aterro m</t>
        </is>
      </c>
      <c r="C31" s="16">
        <f>PARÂMETROS!D25</f>
        <v/>
      </c>
      <c r="D31" s="33">
        <f>SUM(G31:BF31)</f>
        <v/>
      </c>
      <c r="E31" s="34">
        <f>IF(C31&gt;0,(D31-C31)/C31,0)</f>
        <v/>
      </c>
      <c r="F31" s="14" t="inlineStr">
        <is>
          <t>Produção semanal</t>
        </is>
      </c>
      <c r="G31" s="33">
        <f>IFERROR(PARÂMETROS!D104*PARÂMETROS!E25*PARÂMETROS!$B$4*PARÂMETROS!$B$5*PARÂMETROS!$B$40,0)</f>
        <v/>
      </c>
      <c r="H31" s="33">
        <f>IFERROR(PARÂMETROS!E104*PARÂMETROS!E25*PARÂMETROS!$B$4*PARÂMETROS!$B$5*PARÂMETROS!$B$41,0)</f>
        <v/>
      </c>
      <c r="I31" s="33">
        <f>IFERROR(PARÂMETROS!F104*PARÂMETROS!E25*PARÂMETROS!$B$4*PARÂMETROS!$B$5*PARÂMETROS!$B$42,0)</f>
        <v/>
      </c>
      <c r="J31" s="33">
        <f>IFERROR(PARÂMETROS!G104*PARÂMETROS!E25*PARÂMETROS!$B$4*PARÂMETROS!$B$5*PARÂMETROS!$B$43,0)</f>
        <v/>
      </c>
      <c r="K31" s="33">
        <f>IFERROR(PARÂMETROS!H104*PARÂMETROS!E25*PARÂMETROS!$B$4*PARÂMETROS!$B$5*PARÂMETROS!$B$44,0)</f>
        <v/>
      </c>
      <c r="L31" s="33">
        <f>IFERROR(PARÂMETROS!I104*PARÂMETROS!E25*PARÂMETROS!$B$4*PARÂMETROS!$B$5*PARÂMETROS!$B$45,0)</f>
        <v/>
      </c>
      <c r="M31" s="33">
        <f>IFERROR(PARÂMETROS!J104*PARÂMETROS!E25*PARÂMETROS!$B$4*PARÂMETROS!$B$5*PARÂMETROS!$B$46,0)</f>
        <v/>
      </c>
      <c r="N31" s="33">
        <f>IFERROR(PARÂMETROS!K104*PARÂMETROS!E25*PARÂMETROS!$B$4*PARÂMETROS!$B$5*PARÂMETROS!$B$47,0)</f>
        <v/>
      </c>
      <c r="O31" s="33">
        <f>IFERROR(PARÂMETROS!L104*PARÂMETROS!E25*PARÂMETROS!$B$4*PARÂMETROS!$B$5*PARÂMETROS!$B$48,0)</f>
        <v/>
      </c>
      <c r="P31" s="33">
        <f>IFERROR(PARÂMETROS!M104*PARÂMETROS!E25*PARÂMETROS!$B$4*PARÂMETROS!$B$5*PARÂMETROS!$B$49,0)</f>
        <v/>
      </c>
      <c r="Q31" s="33">
        <f>IFERROR(PARÂMETROS!N104*PARÂMETROS!E25*PARÂMETROS!$B$4*PARÂMETROS!$B$5*PARÂMETROS!$B$50,0)</f>
        <v/>
      </c>
      <c r="R31" s="33">
        <f>IFERROR(PARÂMETROS!O104*PARÂMETROS!E25*PARÂMETROS!$B$4*PARÂMETROS!$B$5*PARÂMETROS!$B$51,0)</f>
        <v/>
      </c>
      <c r="S31" s="33">
        <f>IFERROR(PARÂMETROS!P104*PARÂMETROS!E25*PARÂMETROS!$B$4*PARÂMETROS!$B$5*PARÂMETROS!$B$52,0)</f>
        <v/>
      </c>
      <c r="T31" s="33">
        <f>IFERROR(PARÂMETROS!Q104*PARÂMETROS!E25*PARÂMETROS!$B$4*PARÂMETROS!$B$5*PARÂMETROS!$B$53,0)</f>
        <v/>
      </c>
      <c r="U31" s="33">
        <f>IFERROR(PARÂMETROS!R104*PARÂMETROS!E25*PARÂMETROS!$B$4*PARÂMETROS!$B$5*PARÂMETROS!$B$54,0)</f>
        <v/>
      </c>
      <c r="V31" s="33">
        <f>IFERROR(PARÂMETROS!S104*PARÂMETROS!E25*PARÂMETROS!$B$4*PARÂMETROS!$B$5*PARÂMETROS!$B$55,0)</f>
        <v/>
      </c>
      <c r="W31" s="33">
        <f>IFERROR(PARÂMETROS!T104*PARÂMETROS!E25*PARÂMETROS!$B$4*PARÂMETROS!$B$5*PARÂMETROS!$B$56,0)</f>
        <v/>
      </c>
      <c r="X31" s="33">
        <f>IFERROR(PARÂMETROS!U104*PARÂMETROS!E25*PARÂMETROS!$B$4*PARÂMETROS!$B$5*PARÂMETROS!$B$57,0)</f>
        <v/>
      </c>
      <c r="Y31" s="33">
        <f>IFERROR(PARÂMETROS!V104*PARÂMETROS!E25*PARÂMETROS!$B$4*PARÂMETROS!$B$5*PARÂMETROS!$B$58,0)</f>
        <v/>
      </c>
      <c r="Z31" s="33">
        <f>IFERROR(PARÂMETROS!W104*PARÂMETROS!E25*PARÂMETROS!$B$4*PARÂMETROS!$B$5*PARÂMETROS!$B$59,0)</f>
        <v/>
      </c>
      <c r="AA31" s="33">
        <f>IFERROR(PARÂMETROS!X104*PARÂMETROS!E25*PARÂMETROS!$B$4*PARÂMETROS!$B$5*PARÂMETROS!$B$60,0)</f>
        <v/>
      </c>
      <c r="AB31" s="33">
        <f>IFERROR(PARÂMETROS!Y104*PARÂMETROS!E25*PARÂMETROS!$B$4*PARÂMETROS!$B$5*PARÂMETROS!$B$61,0)</f>
        <v/>
      </c>
      <c r="AC31" s="33">
        <f>IFERROR(PARÂMETROS!Z104*PARÂMETROS!E25*PARÂMETROS!$B$4*PARÂMETROS!$B$5*PARÂMETROS!$B$62,0)</f>
        <v/>
      </c>
      <c r="AD31" s="33">
        <f>IFERROR(PARÂMETROS!AA104*PARÂMETROS!E25*PARÂMETROS!$B$4*PARÂMETROS!$B$5*PARÂMETROS!$B$63,0)</f>
        <v/>
      </c>
      <c r="AE31" s="33">
        <f>IFERROR(PARÂMETROS!AB104*PARÂMETROS!E25*PARÂMETROS!$B$4*PARÂMETROS!$B$5*PARÂMETROS!$B$64,0)</f>
        <v/>
      </c>
      <c r="AF31" s="33">
        <f>IFERROR(PARÂMETROS!AC104*PARÂMETROS!E25*PARÂMETROS!$B$4*PARÂMETROS!$B$5*PARÂMETROS!$B$65,0)</f>
        <v/>
      </c>
      <c r="AG31" s="33">
        <f>IFERROR(PARÂMETROS!AD104*PARÂMETROS!E25*PARÂMETROS!$B$4*PARÂMETROS!$B$5*PARÂMETROS!$B$66,0)</f>
        <v/>
      </c>
      <c r="AH31" s="33">
        <f>IFERROR(PARÂMETROS!AE104*PARÂMETROS!E25*PARÂMETROS!$B$4*PARÂMETROS!$B$5*PARÂMETROS!$B$67,0)</f>
        <v/>
      </c>
      <c r="AI31" s="33">
        <f>IFERROR(PARÂMETROS!AF104*PARÂMETROS!E25*PARÂMETROS!$B$4*PARÂMETROS!$B$5*PARÂMETROS!$B$68,0)</f>
        <v/>
      </c>
      <c r="AJ31" s="33">
        <f>IFERROR(PARÂMETROS!AG104*PARÂMETROS!E25*PARÂMETROS!$B$4*PARÂMETROS!$B$5*PARÂMETROS!$B$69,0)</f>
        <v/>
      </c>
      <c r="AK31" s="33">
        <f>IFERROR(PARÂMETROS!AH104*PARÂMETROS!E25*PARÂMETROS!$B$4*PARÂMETROS!$B$5*PARÂMETROS!$B$70,0)</f>
        <v/>
      </c>
      <c r="AL31" s="33">
        <f>IFERROR(PARÂMETROS!AI104*PARÂMETROS!E25*PARÂMETROS!$B$4*PARÂMETROS!$B$5*PARÂMETROS!$B$71,0)</f>
        <v/>
      </c>
      <c r="AM31" s="33">
        <f>IFERROR(PARÂMETROS!AJ104*PARÂMETROS!E25*PARÂMETROS!$B$4*PARÂMETROS!$B$5*PARÂMETROS!$B$72,0)</f>
        <v/>
      </c>
      <c r="AN31" s="33">
        <f>IFERROR(PARÂMETROS!AK104*PARÂMETROS!E25*PARÂMETROS!$B$4*PARÂMETROS!$B$5*PARÂMETROS!$B$73,0)</f>
        <v/>
      </c>
      <c r="AO31" s="33">
        <f>IFERROR(PARÂMETROS!AL104*PARÂMETROS!E25*PARÂMETROS!$B$4*PARÂMETROS!$B$5*PARÂMETROS!$B$74,0)</f>
        <v/>
      </c>
      <c r="AP31" s="33">
        <f>IFERROR(PARÂMETROS!AM104*PARÂMETROS!E25*PARÂMETROS!$B$4*PARÂMETROS!$B$5*PARÂMETROS!$B$75,0)</f>
        <v/>
      </c>
      <c r="AQ31" s="33">
        <f>IFERROR(PARÂMETROS!AN104*PARÂMETROS!E25*PARÂMETROS!$B$4*PARÂMETROS!$B$5*PARÂMETROS!$B$76,0)</f>
        <v/>
      </c>
      <c r="AR31" s="33">
        <f>IFERROR(PARÂMETROS!AO104*PARÂMETROS!E25*PARÂMETROS!$B$4*PARÂMETROS!$B$5*PARÂMETROS!$B$77,0)</f>
        <v/>
      </c>
      <c r="AS31" s="33">
        <f>IFERROR(PARÂMETROS!AP104*PARÂMETROS!E25*PARÂMETROS!$B$4*PARÂMETROS!$B$5*PARÂMETROS!$B$78,0)</f>
        <v/>
      </c>
      <c r="AT31" s="33">
        <f>IFERROR(PARÂMETROS!AQ104*PARÂMETROS!E25*PARÂMETROS!$B$4*PARÂMETROS!$B$5*PARÂMETROS!$B$79,0)</f>
        <v/>
      </c>
      <c r="AU31" s="33">
        <f>IFERROR(PARÂMETROS!AR104*PARÂMETROS!E25*PARÂMETROS!$B$4*PARÂMETROS!$B$5*PARÂMETROS!$B$80,0)</f>
        <v/>
      </c>
      <c r="AV31" s="33">
        <f>IFERROR(PARÂMETROS!AS104*PARÂMETROS!E25*PARÂMETROS!$B$4*PARÂMETROS!$B$5*PARÂMETROS!$B$81,0)</f>
        <v/>
      </c>
      <c r="AW31" s="33">
        <f>IFERROR(PARÂMETROS!AT104*PARÂMETROS!E25*PARÂMETROS!$B$4*PARÂMETROS!$B$5*PARÂMETROS!$B$82,0)</f>
        <v/>
      </c>
      <c r="AX31" s="33">
        <f>IFERROR(PARÂMETROS!AU104*PARÂMETROS!E25*PARÂMETROS!$B$4*PARÂMETROS!$B$5*PARÂMETROS!$B$83,0)</f>
        <v/>
      </c>
      <c r="AY31" s="33">
        <f>IFERROR(PARÂMETROS!AV104*PARÂMETROS!E25*PARÂMETROS!$B$4*PARÂMETROS!$B$5*PARÂMETROS!$B$84,0)</f>
        <v/>
      </c>
      <c r="AZ31" s="33">
        <f>IFERROR(PARÂMETROS!AW104*PARÂMETROS!E25*PARÂMETROS!$B$4*PARÂMETROS!$B$5*PARÂMETROS!$B$85,0)</f>
        <v/>
      </c>
      <c r="BA31" s="33">
        <f>IFERROR(PARÂMETROS!AX104*PARÂMETROS!E25*PARÂMETROS!$B$4*PARÂMETROS!$B$5*PARÂMETROS!$B$86,0)</f>
        <v/>
      </c>
      <c r="BB31" s="33">
        <f>IFERROR(PARÂMETROS!AY104*PARÂMETROS!E25*PARÂMETROS!$B$4*PARÂMETROS!$B$5*PARÂMETROS!$B$87,0)</f>
        <v/>
      </c>
      <c r="BC31" s="33">
        <f>IFERROR(PARÂMETROS!AZ104*PARÂMETROS!E25*PARÂMETROS!$B$4*PARÂMETROS!$B$5*PARÂMETROS!$B$88,0)</f>
        <v/>
      </c>
      <c r="BD31" s="33">
        <f>IFERROR(PARÂMETROS!BA104*PARÂMETROS!E25*PARÂMETROS!$B$4*PARÂMETROS!$B$5*PARÂMETROS!$B$89,0)</f>
        <v/>
      </c>
      <c r="BE31" s="33">
        <f>IFERROR(PARÂMETROS!BB104*PARÂMETROS!E25*PARÂMETROS!$B$4*PARÂMETROS!$B$5*PARÂMETROS!$B$90,0)</f>
        <v/>
      </c>
      <c r="BF31" s="33">
        <f>IFERROR(PARÂMETROS!BC104*PARÂMETROS!E25*PARÂMETROS!$B$4*PARÂMETROS!$B$5*PARÂMETROS!$B$91,0)</f>
        <v/>
      </c>
    </row>
    <row r="32">
      <c r="A32" s="14" t="inlineStr"/>
      <c r="B32" s="14" t="inlineStr"/>
      <c r="C32" s="35" t="n"/>
      <c r="D32" s="35" t="n"/>
      <c r="E32" s="35" t="n"/>
      <c r="F32" s="14" t="inlineStr">
        <is>
          <t>Acumulado</t>
        </is>
      </c>
      <c r="G32" s="33">
        <f>G31</f>
        <v/>
      </c>
      <c r="H32" s="33">
        <f>G32+H31</f>
        <v/>
      </c>
      <c r="I32" s="33">
        <f>H32+I31</f>
        <v/>
      </c>
      <c r="J32" s="33">
        <f>I32+J31</f>
        <v/>
      </c>
      <c r="K32" s="33">
        <f>J32+K31</f>
        <v/>
      </c>
      <c r="L32" s="33">
        <f>K32+L31</f>
        <v/>
      </c>
      <c r="M32" s="33">
        <f>L32+M31</f>
        <v/>
      </c>
      <c r="N32" s="33">
        <f>M32+N31</f>
        <v/>
      </c>
      <c r="O32" s="33">
        <f>N32+O31</f>
        <v/>
      </c>
      <c r="P32" s="33">
        <f>O32+P31</f>
        <v/>
      </c>
      <c r="Q32" s="33">
        <f>P32+Q31</f>
        <v/>
      </c>
      <c r="R32" s="33">
        <f>Q32+R31</f>
        <v/>
      </c>
      <c r="S32" s="33">
        <f>R32+S31</f>
        <v/>
      </c>
      <c r="T32" s="33">
        <f>S32+T31</f>
        <v/>
      </c>
      <c r="U32" s="33">
        <f>T32+U31</f>
        <v/>
      </c>
      <c r="V32" s="33">
        <f>U32+V31</f>
        <v/>
      </c>
      <c r="W32" s="33">
        <f>V32+W31</f>
        <v/>
      </c>
      <c r="X32" s="33">
        <f>W32+X31</f>
        <v/>
      </c>
      <c r="Y32" s="33">
        <f>X32+Y31</f>
        <v/>
      </c>
      <c r="Z32" s="33">
        <f>Y32+Z31</f>
        <v/>
      </c>
      <c r="AA32" s="33">
        <f>Z32+AA31</f>
        <v/>
      </c>
      <c r="AB32" s="33">
        <f>AA32+AB31</f>
        <v/>
      </c>
      <c r="AC32" s="33">
        <f>AB32+AC31</f>
        <v/>
      </c>
      <c r="AD32" s="33">
        <f>AC32+AD31</f>
        <v/>
      </c>
      <c r="AE32" s="33">
        <f>AD32+AE31</f>
        <v/>
      </c>
      <c r="AF32" s="33">
        <f>AE32+AF31</f>
        <v/>
      </c>
      <c r="AG32" s="33">
        <f>AF32+AG31</f>
        <v/>
      </c>
      <c r="AH32" s="33">
        <f>AG32+AH31</f>
        <v/>
      </c>
      <c r="AI32" s="33">
        <f>AH32+AI31</f>
        <v/>
      </c>
      <c r="AJ32" s="33">
        <f>AI32+AJ31</f>
        <v/>
      </c>
      <c r="AK32" s="33">
        <f>AJ32+AK31</f>
        <v/>
      </c>
      <c r="AL32" s="33">
        <f>AK32+AL31</f>
        <v/>
      </c>
      <c r="AM32" s="33">
        <f>AL32+AM31</f>
        <v/>
      </c>
      <c r="AN32" s="33">
        <f>AM32+AN31</f>
        <v/>
      </c>
      <c r="AO32" s="33">
        <f>AN32+AO31</f>
        <v/>
      </c>
      <c r="AP32" s="33">
        <f>AO32+AP31</f>
        <v/>
      </c>
      <c r="AQ32" s="33">
        <f>AP32+AQ31</f>
        <v/>
      </c>
      <c r="AR32" s="33">
        <f>AQ32+AR31</f>
        <v/>
      </c>
      <c r="AS32" s="33">
        <f>AR32+AS31</f>
        <v/>
      </c>
      <c r="AT32" s="33">
        <f>AS32+AT31</f>
        <v/>
      </c>
      <c r="AU32" s="33">
        <f>AT32+AU31</f>
        <v/>
      </c>
      <c r="AV32" s="33">
        <f>AU32+AV31</f>
        <v/>
      </c>
      <c r="AW32" s="33">
        <f>AV32+AW31</f>
        <v/>
      </c>
      <c r="AX32" s="33">
        <f>AW32+AX31</f>
        <v/>
      </c>
      <c r="AY32" s="33">
        <f>AX32+AY31</f>
        <v/>
      </c>
      <c r="AZ32" s="33">
        <f>AY32+AZ31</f>
        <v/>
      </c>
      <c r="BA32" s="33">
        <f>AZ32+BA31</f>
        <v/>
      </c>
      <c r="BB32" s="33">
        <f>BA32+BB31</f>
        <v/>
      </c>
      <c r="BC32" s="33">
        <f>BB32+BC31</f>
        <v/>
      </c>
      <c r="BD32" s="33">
        <f>BC32+BD31</f>
        <v/>
      </c>
      <c r="BE32" s="33">
        <f>BD32+BE31</f>
        <v/>
      </c>
      <c r="BF32" s="33">
        <f>BE32+BF31</f>
        <v/>
      </c>
    </row>
    <row r="33">
      <c r="A33" s="14" t="inlineStr"/>
      <c r="B33" s="14" t="inlineStr"/>
      <c r="C33" s="35" t="n"/>
      <c r="D33" s="35" t="n"/>
      <c r="E33" s="35" t="n"/>
      <c r="F33" s="14" t="inlineStr">
        <is>
          <t>% Completude</t>
        </is>
      </c>
      <c r="G33" s="34">
        <f>IF(PARÂMETROS!D25&gt;0,G32/PARÂMETROS!D25,0)</f>
        <v/>
      </c>
      <c r="H33" s="34">
        <f>IF(PARÂMETROS!D25&gt;0,H32/PARÂMETROS!D25,0)</f>
        <v/>
      </c>
      <c r="I33" s="34">
        <f>IF(PARÂMETROS!D25&gt;0,I32/PARÂMETROS!D25,0)</f>
        <v/>
      </c>
      <c r="J33" s="34">
        <f>IF(PARÂMETROS!D25&gt;0,J32/PARÂMETROS!D25,0)</f>
        <v/>
      </c>
      <c r="K33" s="34">
        <f>IF(PARÂMETROS!D25&gt;0,K32/PARÂMETROS!D25,0)</f>
        <v/>
      </c>
      <c r="L33" s="34">
        <f>IF(PARÂMETROS!D25&gt;0,L32/PARÂMETROS!D25,0)</f>
        <v/>
      </c>
      <c r="M33" s="34">
        <f>IF(PARÂMETROS!D25&gt;0,M32/PARÂMETROS!D25,0)</f>
        <v/>
      </c>
      <c r="N33" s="34">
        <f>IF(PARÂMETROS!D25&gt;0,N32/PARÂMETROS!D25,0)</f>
        <v/>
      </c>
      <c r="O33" s="34">
        <f>IF(PARÂMETROS!D25&gt;0,O32/PARÂMETROS!D25,0)</f>
        <v/>
      </c>
      <c r="P33" s="34">
        <f>IF(PARÂMETROS!D25&gt;0,P32/PARÂMETROS!D25,0)</f>
        <v/>
      </c>
      <c r="Q33" s="34">
        <f>IF(PARÂMETROS!D25&gt;0,Q32/PARÂMETROS!D25,0)</f>
        <v/>
      </c>
      <c r="R33" s="34">
        <f>IF(PARÂMETROS!D25&gt;0,R32/PARÂMETROS!D25,0)</f>
        <v/>
      </c>
      <c r="S33" s="34">
        <f>IF(PARÂMETROS!D25&gt;0,S32/PARÂMETROS!D25,0)</f>
        <v/>
      </c>
      <c r="T33" s="34">
        <f>IF(PARÂMETROS!D25&gt;0,T32/PARÂMETROS!D25,0)</f>
        <v/>
      </c>
      <c r="U33" s="34">
        <f>IF(PARÂMETROS!D25&gt;0,U32/PARÂMETROS!D25,0)</f>
        <v/>
      </c>
      <c r="V33" s="34">
        <f>IF(PARÂMETROS!D25&gt;0,V32/PARÂMETROS!D25,0)</f>
        <v/>
      </c>
      <c r="W33" s="34">
        <f>IF(PARÂMETROS!D25&gt;0,W32/PARÂMETROS!D25,0)</f>
        <v/>
      </c>
      <c r="X33" s="34">
        <f>IF(PARÂMETROS!D25&gt;0,X32/PARÂMETROS!D25,0)</f>
        <v/>
      </c>
      <c r="Y33" s="34">
        <f>IF(PARÂMETROS!D25&gt;0,Y32/PARÂMETROS!D25,0)</f>
        <v/>
      </c>
      <c r="Z33" s="34">
        <f>IF(PARÂMETROS!D25&gt;0,Z32/PARÂMETROS!D25,0)</f>
        <v/>
      </c>
      <c r="AA33" s="34">
        <f>IF(PARÂMETROS!D25&gt;0,AA32/PARÂMETROS!D25,0)</f>
        <v/>
      </c>
      <c r="AB33" s="34">
        <f>IF(PARÂMETROS!D25&gt;0,AB32/PARÂMETROS!D25,0)</f>
        <v/>
      </c>
      <c r="AC33" s="34">
        <f>IF(PARÂMETROS!D25&gt;0,AC32/PARÂMETROS!D25,0)</f>
        <v/>
      </c>
      <c r="AD33" s="34">
        <f>IF(PARÂMETROS!D25&gt;0,AD32/PARÂMETROS!D25,0)</f>
        <v/>
      </c>
      <c r="AE33" s="34">
        <f>IF(PARÂMETROS!D25&gt;0,AE32/PARÂMETROS!D25,0)</f>
        <v/>
      </c>
      <c r="AF33" s="34">
        <f>IF(PARÂMETROS!D25&gt;0,AF32/PARÂMETROS!D25,0)</f>
        <v/>
      </c>
      <c r="AG33" s="34">
        <f>IF(PARÂMETROS!D25&gt;0,AG32/PARÂMETROS!D25,0)</f>
        <v/>
      </c>
      <c r="AH33" s="34">
        <f>IF(PARÂMETROS!D25&gt;0,AH32/PARÂMETROS!D25,0)</f>
        <v/>
      </c>
      <c r="AI33" s="34">
        <f>IF(PARÂMETROS!D25&gt;0,AI32/PARÂMETROS!D25,0)</f>
        <v/>
      </c>
      <c r="AJ33" s="34">
        <f>IF(PARÂMETROS!D25&gt;0,AJ32/PARÂMETROS!D25,0)</f>
        <v/>
      </c>
      <c r="AK33" s="34">
        <f>IF(PARÂMETROS!D25&gt;0,AK32/PARÂMETROS!D25,0)</f>
        <v/>
      </c>
      <c r="AL33" s="34">
        <f>IF(PARÂMETROS!D25&gt;0,AL32/PARÂMETROS!D25,0)</f>
        <v/>
      </c>
      <c r="AM33" s="34">
        <f>IF(PARÂMETROS!D25&gt;0,AM32/PARÂMETROS!D25,0)</f>
        <v/>
      </c>
      <c r="AN33" s="34">
        <f>IF(PARÂMETROS!D25&gt;0,AN32/PARÂMETROS!D25,0)</f>
        <v/>
      </c>
      <c r="AO33" s="34">
        <f>IF(PARÂMETROS!D25&gt;0,AO32/PARÂMETROS!D25,0)</f>
        <v/>
      </c>
      <c r="AP33" s="34">
        <f>IF(PARÂMETROS!D25&gt;0,AP32/PARÂMETROS!D25,0)</f>
        <v/>
      </c>
      <c r="AQ33" s="34">
        <f>IF(PARÂMETROS!D25&gt;0,AQ32/PARÂMETROS!D25,0)</f>
        <v/>
      </c>
      <c r="AR33" s="34">
        <f>IF(PARÂMETROS!D25&gt;0,AR32/PARÂMETROS!D25,0)</f>
        <v/>
      </c>
      <c r="AS33" s="34">
        <f>IF(PARÂMETROS!D25&gt;0,AS32/PARÂMETROS!D25,0)</f>
        <v/>
      </c>
      <c r="AT33" s="34">
        <f>IF(PARÂMETROS!D25&gt;0,AT32/PARÂMETROS!D25,0)</f>
        <v/>
      </c>
      <c r="AU33" s="34">
        <f>IF(PARÂMETROS!D25&gt;0,AU32/PARÂMETROS!D25,0)</f>
        <v/>
      </c>
      <c r="AV33" s="34">
        <f>IF(PARÂMETROS!D25&gt;0,AV32/PARÂMETROS!D25,0)</f>
        <v/>
      </c>
      <c r="AW33" s="34">
        <f>IF(PARÂMETROS!D25&gt;0,AW32/PARÂMETROS!D25,0)</f>
        <v/>
      </c>
      <c r="AX33" s="34">
        <f>IF(PARÂMETROS!D25&gt;0,AX32/PARÂMETROS!D25,0)</f>
        <v/>
      </c>
      <c r="AY33" s="34">
        <f>IF(PARÂMETROS!D25&gt;0,AY32/PARÂMETROS!D25,0)</f>
        <v/>
      </c>
      <c r="AZ33" s="34">
        <f>IF(PARÂMETROS!D25&gt;0,AZ32/PARÂMETROS!D25,0)</f>
        <v/>
      </c>
      <c r="BA33" s="34">
        <f>IF(PARÂMETROS!D25&gt;0,BA32/PARÂMETROS!D25,0)</f>
        <v/>
      </c>
      <c r="BB33" s="34">
        <f>IF(PARÂMETROS!D25&gt;0,BB32/PARÂMETROS!D25,0)</f>
        <v/>
      </c>
      <c r="BC33" s="34">
        <f>IF(PARÂMETROS!D25&gt;0,BC32/PARÂMETROS!D25,0)</f>
        <v/>
      </c>
      <c r="BD33" s="34">
        <f>IF(PARÂMETROS!D25&gt;0,BD32/PARÂMETROS!D25,0)</f>
        <v/>
      </c>
      <c r="BE33" s="34">
        <f>IF(PARÂMETROS!D25&gt;0,BE32/PARÂMETROS!D25,0)</f>
        <v/>
      </c>
      <c r="BF33" s="34">
        <f>IF(PARÂMETROS!D25&gt;0,BF32/PARÂMETROS!D25,0)</f>
        <v/>
      </c>
    </row>
    <row r="34">
      <c r="A34" s="14" t="inlineStr">
        <is>
          <t>eap-1_10</t>
        </is>
      </c>
      <c r="B34" s="14" t="inlineStr">
        <is>
          <t xml:space="preserve">Compactacao camada final </t>
        </is>
      </c>
      <c r="C34" s="16">
        <f>PARÂMETROS!D26</f>
        <v/>
      </c>
      <c r="D34" s="33">
        <f>SUM(G34:BF34)</f>
        <v/>
      </c>
      <c r="E34" s="34">
        <f>IF(C34&gt;0,(D34-C34)/C34,0)</f>
        <v/>
      </c>
      <c r="F34" s="14" t="inlineStr">
        <is>
          <t>Produção semanal</t>
        </is>
      </c>
      <c r="G34" s="33">
        <f>IFERROR(PARÂMETROS!D105*PARÂMETROS!E26*PARÂMETROS!$B$4*PARÂMETROS!$B$5*PARÂMETROS!$B$40,0)</f>
        <v/>
      </c>
      <c r="H34" s="33">
        <f>IFERROR(PARÂMETROS!E105*PARÂMETROS!E26*PARÂMETROS!$B$4*PARÂMETROS!$B$5*PARÂMETROS!$B$41,0)</f>
        <v/>
      </c>
      <c r="I34" s="33">
        <f>IFERROR(PARÂMETROS!F105*PARÂMETROS!E26*PARÂMETROS!$B$4*PARÂMETROS!$B$5*PARÂMETROS!$B$42,0)</f>
        <v/>
      </c>
      <c r="J34" s="33">
        <f>IFERROR(PARÂMETROS!G105*PARÂMETROS!E26*PARÂMETROS!$B$4*PARÂMETROS!$B$5*PARÂMETROS!$B$43,0)</f>
        <v/>
      </c>
      <c r="K34" s="33">
        <f>IFERROR(PARÂMETROS!H105*PARÂMETROS!E26*PARÂMETROS!$B$4*PARÂMETROS!$B$5*PARÂMETROS!$B$44,0)</f>
        <v/>
      </c>
      <c r="L34" s="33">
        <f>IFERROR(PARÂMETROS!I105*PARÂMETROS!E26*PARÂMETROS!$B$4*PARÂMETROS!$B$5*PARÂMETROS!$B$45,0)</f>
        <v/>
      </c>
      <c r="M34" s="33">
        <f>IFERROR(PARÂMETROS!J105*PARÂMETROS!E26*PARÂMETROS!$B$4*PARÂMETROS!$B$5*PARÂMETROS!$B$46,0)</f>
        <v/>
      </c>
      <c r="N34" s="33">
        <f>IFERROR(PARÂMETROS!K105*PARÂMETROS!E26*PARÂMETROS!$B$4*PARÂMETROS!$B$5*PARÂMETROS!$B$47,0)</f>
        <v/>
      </c>
      <c r="O34" s="33">
        <f>IFERROR(PARÂMETROS!L105*PARÂMETROS!E26*PARÂMETROS!$B$4*PARÂMETROS!$B$5*PARÂMETROS!$B$48,0)</f>
        <v/>
      </c>
      <c r="P34" s="33">
        <f>IFERROR(PARÂMETROS!M105*PARÂMETROS!E26*PARÂMETROS!$B$4*PARÂMETROS!$B$5*PARÂMETROS!$B$49,0)</f>
        <v/>
      </c>
      <c r="Q34" s="33">
        <f>IFERROR(PARÂMETROS!N105*PARÂMETROS!E26*PARÂMETROS!$B$4*PARÂMETROS!$B$5*PARÂMETROS!$B$50,0)</f>
        <v/>
      </c>
      <c r="R34" s="33">
        <f>IFERROR(PARÂMETROS!O105*PARÂMETROS!E26*PARÂMETROS!$B$4*PARÂMETROS!$B$5*PARÂMETROS!$B$51,0)</f>
        <v/>
      </c>
      <c r="S34" s="33">
        <f>IFERROR(PARÂMETROS!P105*PARÂMETROS!E26*PARÂMETROS!$B$4*PARÂMETROS!$B$5*PARÂMETROS!$B$52,0)</f>
        <v/>
      </c>
      <c r="T34" s="33">
        <f>IFERROR(PARÂMETROS!Q105*PARÂMETROS!E26*PARÂMETROS!$B$4*PARÂMETROS!$B$5*PARÂMETROS!$B$53,0)</f>
        <v/>
      </c>
      <c r="U34" s="33">
        <f>IFERROR(PARÂMETROS!R105*PARÂMETROS!E26*PARÂMETROS!$B$4*PARÂMETROS!$B$5*PARÂMETROS!$B$54,0)</f>
        <v/>
      </c>
      <c r="V34" s="33">
        <f>IFERROR(PARÂMETROS!S105*PARÂMETROS!E26*PARÂMETROS!$B$4*PARÂMETROS!$B$5*PARÂMETROS!$B$55,0)</f>
        <v/>
      </c>
      <c r="W34" s="33">
        <f>IFERROR(PARÂMETROS!T105*PARÂMETROS!E26*PARÂMETROS!$B$4*PARÂMETROS!$B$5*PARÂMETROS!$B$56,0)</f>
        <v/>
      </c>
      <c r="X34" s="33">
        <f>IFERROR(PARÂMETROS!U105*PARÂMETROS!E26*PARÂMETROS!$B$4*PARÂMETROS!$B$5*PARÂMETROS!$B$57,0)</f>
        <v/>
      </c>
      <c r="Y34" s="33">
        <f>IFERROR(PARÂMETROS!V105*PARÂMETROS!E26*PARÂMETROS!$B$4*PARÂMETROS!$B$5*PARÂMETROS!$B$58,0)</f>
        <v/>
      </c>
      <c r="Z34" s="33">
        <f>IFERROR(PARÂMETROS!W105*PARÂMETROS!E26*PARÂMETROS!$B$4*PARÂMETROS!$B$5*PARÂMETROS!$B$59,0)</f>
        <v/>
      </c>
      <c r="AA34" s="33">
        <f>IFERROR(PARÂMETROS!X105*PARÂMETROS!E26*PARÂMETROS!$B$4*PARÂMETROS!$B$5*PARÂMETROS!$B$60,0)</f>
        <v/>
      </c>
      <c r="AB34" s="33">
        <f>IFERROR(PARÂMETROS!Y105*PARÂMETROS!E26*PARÂMETROS!$B$4*PARÂMETROS!$B$5*PARÂMETROS!$B$61,0)</f>
        <v/>
      </c>
      <c r="AC34" s="33">
        <f>IFERROR(PARÂMETROS!Z105*PARÂMETROS!E26*PARÂMETROS!$B$4*PARÂMETROS!$B$5*PARÂMETROS!$B$62,0)</f>
        <v/>
      </c>
      <c r="AD34" s="33">
        <f>IFERROR(PARÂMETROS!AA105*PARÂMETROS!E26*PARÂMETROS!$B$4*PARÂMETROS!$B$5*PARÂMETROS!$B$63,0)</f>
        <v/>
      </c>
      <c r="AE34" s="33">
        <f>IFERROR(PARÂMETROS!AB105*PARÂMETROS!E26*PARÂMETROS!$B$4*PARÂMETROS!$B$5*PARÂMETROS!$B$64,0)</f>
        <v/>
      </c>
      <c r="AF34" s="33">
        <f>IFERROR(PARÂMETROS!AC105*PARÂMETROS!E26*PARÂMETROS!$B$4*PARÂMETROS!$B$5*PARÂMETROS!$B$65,0)</f>
        <v/>
      </c>
      <c r="AG34" s="33">
        <f>IFERROR(PARÂMETROS!AD105*PARÂMETROS!E26*PARÂMETROS!$B$4*PARÂMETROS!$B$5*PARÂMETROS!$B$66,0)</f>
        <v/>
      </c>
      <c r="AH34" s="33">
        <f>IFERROR(PARÂMETROS!AE105*PARÂMETROS!E26*PARÂMETROS!$B$4*PARÂMETROS!$B$5*PARÂMETROS!$B$67,0)</f>
        <v/>
      </c>
      <c r="AI34" s="33">
        <f>IFERROR(PARÂMETROS!AF105*PARÂMETROS!E26*PARÂMETROS!$B$4*PARÂMETROS!$B$5*PARÂMETROS!$B$68,0)</f>
        <v/>
      </c>
      <c r="AJ34" s="33">
        <f>IFERROR(PARÂMETROS!AG105*PARÂMETROS!E26*PARÂMETROS!$B$4*PARÂMETROS!$B$5*PARÂMETROS!$B$69,0)</f>
        <v/>
      </c>
      <c r="AK34" s="33">
        <f>IFERROR(PARÂMETROS!AH105*PARÂMETROS!E26*PARÂMETROS!$B$4*PARÂMETROS!$B$5*PARÂMETROS!$B$70,0)</f>
        <v/>
      </c>
      <c r="AL34" s="33">
        <f>IFERROR(PARÂMETROS!AI105*PARÂMETROS!E26*PARÂMETROS!$B$4*PARÂMETROS!$B$5*PARÂMETROS!$B$71,0)</f>
        <v/>
      </c>
      <c r="AM34" s="33">
        <f>IFERROR(PARÂMETROS!AJ105*PARÂMETROS!E26*PARÂMETROS!$B$4*PARÂMETROS!$B$5*PARÂMETROS!$B$72,0)</f>
        <v/>
      </c>
      <c r="AN34" s="33">
        <f>IFERROR(PARÂMETROS!AK105*PARÂMETROS!E26*PARÂMETROS!$B$4*PARÂMETROS!$B$5*PARÂMETROS!$B$73,0)</f>
        <v/>
      </c>
      <c r="AO34" s="33">
        <f>IFERROR(PARÂMETROS!AL105*PARÂMETROS!E26*PARÂMETROS!$B$4*PARÂMETROS!$B$5*PARÂMETROS!$B$74,0)</f>
        <v/>
      </c>
      <c r="AP34" s="33">
        <f>IFERROR(PARÂMETROS!AM105*PARÂMETROS!E26*PARÂMETROS!$B$4*PARÂMETROS!$B$5*PARÂMETROS!$B$75,0)</f>
        <v/>
      </c>
      <c r="AQ34" s="33">
        <f>IFERROR(PARÂMETROS!AN105*PARÂMETROS!E26*PARÂMETROS!$B$4*PARÂMETROS!$B$5*PARÂMETROS!$B$76,0)</f>
        <v/>
      </c>
      <c r="AR34" s="33">
        <f>IFERROR(PARÂMETROS!AO105*PARÂMETROS!E26*PARÂMETROS!$B$4*PARÂMETROS!$B$5*PARÂMETROS!$B$77,0)</f>
        <v/>
      </c>
      <c r="AS34" s="33">
        <f>IFERROR(PARÂMETROS!AP105*PARÂMETROS!E26*PARÂMETROS!$B$4*PARÂMETROS!$B$5*PARÂMETROS!$B$78,0)</f>
        <v/>
      </c>
      <c r="AT34" s="33">
        <f>IFERROR(PARÂMETROS!AQ105*PARÂMETROS!E26*PARÂMETROS!$B$4*PARÂMETROS!$B$5*PARÂMETROS!$B$79,0)</f>
        <v/>
      </c>
      <c r="AU34" s="33">
        <f>IFERROR(PARÂMETROS!AR105*PARÂMETROS!E26*PARÂMETROS!$B$4*PARÂMETROS!$B$5*PARÂMETROS!$B$80,0)</f>
        <v/>
      </c>
      <c r="AV34" s="33">
        <f>IFERROR(PARÂMETROS!AS105*PARÂMETROS!E26*PARÂMETROS!$B$4*PARÂMETROS!$B$5*PARÂMETROS!$B$81,0)</f>
        <v/>
      </c>
      <c r="AW34" s="33">
        <f>IFERROR(PARÂMETROS!AT105*PARÂMETROS!E26*PARÂMETROS!$B$4*PARÂMETROS!$B$5*PARÂMETROS!$B$82,0)</f>
        <v/>
      </c>
      <c r="AX34" s="33">
        <f>IFERROR(PARÂMETROS!AU105*PARÂMETROS!E26*PARÂMETROS!$B$4*PARÂMETROS!$B$5*PARÂMETROS!$B$83,0)</f>
        <v/>
      </c>
      <c r="AY34" s="33">
        <f>IFERROR(PARÂMETROS!AV105*PARÂMETROS!E26*PARÂMETROS!$B$4*PARÂMETROS!$B$5*PARÂMETROS!$B$84,0)</f>
        <v/>
      </c>
      <c r="AZ34" s="33">
        <f>IFERROR(PARÂMETROS!AW105*PARÂMETROS!E26*PARÂMETROS!$B$4*PARÂMETROS!$B$5*PARÂMETROS!$B$85,0)</f>
        <v/>
      </c>
      <c r="BA34" s="33">
        <f>IFERROR(PARÂMETROS!AX105*PARÂMETROS!E26*PARÂMETROS!$B$4*PARÂMETROS!$B$5*PARÂMETROS!$B$86,0)</f>
        <v/>
      </c>
      <c r="BB34" s="33">
        <f>IFERROR(PARÂMETROS!AY105*PARÂMETROS!E26*PARÂMETROS!$B$4*PARÂMETROS!$B$5*PARÂMETROS!$B$87,0)</f>
        <v/>
      </c>
      <c r="BC34" s="33">
        <f>IFERROR(PARÂMETROS!AZ105*PARÂMETROS!E26*PARÂMETROS!$B$4*PARÂMETROS!$B$5*PARÂMETROS!$B$88,0)</f>
        <v/>
      </c>
      <c r="BD34" s="33">
        <f>IFERROR(PARÂMETROS!BA105*PARÂMETROS!E26*PARÂMETROS!$B$4*PARÂMETROS!$B$5*PARÂMETROS!$B$89,0)</f>
        <v/>
      </c>
      <c r="BE34" s="33">
        <f>IFERROR(PARÂMETROS!BB105*PARÂMETROS!E26*PARÂMETROS!$B$4*PARÂMETROS!$B$5*PARÂMETROS!$B$90,0)</f>
        <v/>
      </c>
      <c r="BF34" s="33">
        <f>IFERROR(PARÂMETROS!BC105*PARÂMETROS!E26*PARÂMETROS!$B$4*PARÂMETROS!$B$5*PARÂMETROS!$B$91,0)</f>
        <v/>
      </c>
    </row>
    <row r="35">
      <c r="A35" s="14" t="inlineStr"/>
      <c r="B35" s="14" t="inlineStr"/>
      <c r="C35" s="35" t="n"/>
      <c r="D35" s="35" t="n"/>
      <c r="E35" s="35" t="n"/>
      <c r="F35" s="14" t="inlineStr">
        <is>
          <t>Acumulado</t>
        </is>
      </c>
      <c r="G35" s="33">
        <f>G34</f>
        <v/>
      </c>
      <c r="H35" s="33">
        <f>G35+H34</f>
        <v/>
      </c>
      <c r="I35" s="33">
        <f>H35+I34</f>
        <v/>
      </c>
      <c r="J35" s="33">
        <f>I35+J34</f>
        <v/>
      </c>
      <c r="K35" s="33">
        <f>J35+K34</f>
        <v/>
      </c>
      <c r="L35" s="33">
        <f>K35+L34</f>
        <v/>
      </c>
      <c r="M35" s="33">
        <f>L35+M34</f>
        <v/>
      </c>
      <c r="N35" s="33">
        <f>M35+N34</f>
        <v/>
      </c>
      <c r="O35" s="33">
        <f>N35+O34</f>
        <v/>
      </c>
      <c r="P35" s="33">
        <f>O35+P34</f>
        <v/>
      </c>
      <c r="Q35" s="33">
        <f>P35+Q34</f>
        <v/>
      </c>
      <c r="R35" s="33">
        <f>Q35+R34</f>
        <v/>
      </c>
      <c r="S35" s="33">
        <f>R35+S34</f>
        <v/>
      </c>
      <c r="T35" s="33">
        <f>S35+T34</f>
        <v/>
      </c>
      <c r="U35" s="33">
        <f>T35+U34</f>
        <v/>
      </c>
      <c r="V35" s="33">
        <f>U35+V34</f>
        <v/>
      </c>
      <c r="W35" s="33">
        <f>V35+W34</f>
        <v/>
      </c>
      <c r="X35" s="33">
        <f>W35+X34</f>
        <v/>
      </c>
      <c r="Y35" s="33">
        <f>X35+Y34</f>
        <v/>
      </c>
      <c r="Z35" s="33">
        <f>Y35+Z34</f>
        <v/>
      </c>
      <c r="AA35" s="33">
        <f>Z35+AA34</f>
        <v/>
      </c>
      <c r="AB35" s="33">
        <f>AA35+AB34</f>
        <v/>
      </c>
      <c r="AC35" s="33">
        <f>AB35+AC34</f>
        <v/>
      </c>
      <c r="AD35" s="33">
        <f>AC35+AD34</f>
        <v/>
      </c>
      <c r="AE35" s="33">
        <f>AD35+AE34</f>
        <v/>
      </c>
      <c r="AF35" s="33">
        <f>AE35+AF34</f>
        <v/>
      </c>
      <c r="AG35" s="33">
        <f>AF35+AG34</f>
        <v/>
      </c>
      <c r="AH35" s="33">
        <f>AG35+AH34</f>
        <v/>
      </c>
      <c r="AI35" s="33">
        <f>AH35+AI34</f>
        <v/>
      </c>
      <c r="AJ35" s="33">
        <f>AI35+AJ34</f>
        <v/>
      </c>
      <c r="AK35" s="33">
        <f>AJ35+AK34</f>
        <v/>
      </c>
      <c r="AL35" s="33">
        <f>AK35+AL34</f>
        <v/>
      </c>
      <c r="AM35" s="33">
        <f>AL35+AM34</f>
        <v/>
      </c>
      <c r="AN35" s="33">
        <f>AM35+AN34</f>
        <v/>
      </c>
      <c r="AO35" s="33">
        <f>AN35+AO34</f>
        <v/>
      </c>
      <c r="AP35" s="33">
        <f>AO35+AP34</f>
        <v/>
      </c>
      <c r="AQ35" s="33">
        <f>AP35+AQ34</f>
        <v/>
      </c>
      <c r="AR35" s="33">
        <f>AQ35+AR34</f>
        <v/>
      </c>
      <c r="AS35" s="33">
        <f>AR35+AS34</f>
        <v/>
      </c>
      <c r="AT35" s="33">
        <f>AS35+AT34</f>
        <v/>
      </c>
      <c r="AU35" s="33">
        <f>AT35+AU34</f>
        <v/>
      </c>
      <c r="AV35" s="33">
        <f>AU35+AV34</f>
        <v/>
      </c>
      <c r="AW35" s="33">
        <f>AV35+AW34</f>
        <v/>
      </c>
      <c r="AX35" s="33">
        <f>AW35+AX34</f>
        <v/>
      </c>
      <c r="AY35" s="33">
        <f>AX35+AY34</f>
        <v/>
      </c>
      <c r="AZ35" s="33">
        <f>AY35+AZ34</f>
        <v/>
      </c>
      <c r="BA35" s="33">
        <f>AZ35+BA34</f>
        <v/>
      </c>
      <c r="BB35" s="33">
        <f>BA35+BB34</f>
        <v/>
      </c>
      <c r="BC35" s="33">
        <f>BB35+BC34</f>
        <v/>
      </c>
      <c r="BD35" s="33">
        <f>BC35+BD34</f>
        <v/>
      </c>
      <c r="BE35" s="33">
        <f>BD35+BE34</f>
        <v/>
      </c>
      <c r="BF35" s="33">
        <f>BE35+BF34</f>
        <v/>
      </c>
    </row>
    <row r="36">
      <c r="A36" s="14" t="inlineStr"/>
      <c r="B36" s="14" t="inlineStr"/>
      <c r="C36" s="35" t="n"/>
      <c r="D36" s="35" t="n"/>
      <c r="E36" s="35" t="n"/>
      <c r="F36" s="14" t="inlineStr">
        <is>
          <t>% Completude</t>
        </is>
      </c>
      <c r="G36" s="34">
        <f>IF(PARÂMETROS!D26&gt;0,G35/PARÂMETROS!D26,0)</f>
        <v/>
      </c>
      <c r="H36" s="34">
        <f>IF(PARÂMETROS!D26&gt;0,H35/PARÂMETROS!D26,0)</f>
        <v/>
      </c>
      <c r="I36" s="34">
        <f>IF(PARÂMETROS!D26&gt;0,I35/PARÂMETROS!D26,0)</f>
        <v/>
      </c>
      <c r="J36" s="34">
        <f>IF(PARÂMETROS!D26&gt;0,J35/PARÂMETROS!D26,0)</f>
        <v/>
      </c>
      <c r="K36" s="34">
        <f>IF(PARÂMETROS!D26&gt;0,K35/PARÂMETROS!D26,0)</f>
        <v/>
      </c>
      <c r="L36" s="34">
        <f>IF(PARÂMETROS!D26&gt;0,L35/PARÂMETROS!D26,0)</f>
        <v/>
      </c>
      <c r="M36" s="34">
        <f>IF(PARÂMETROS!D26&gt;0,M35/PARÂMETROS!D26,0)</f>
        <v/>
      </c>
      <c r="N36" s="34">
        <f>IF(PARÂMETROS!D26&gt;0,N35/PARÂMETROS!D26,0)</f>
        <v/>
      </c>
      <c r="O36" s="34">
        <f>IF(PARÂMETROS!D26&gt;0,O35/PARÂMETROS!D26,0)</f>
        <v/>
      </c>
      <c r="P36" s="34">
        <f>IF(PARÂMETROS!D26&gt;0,P35/PARÂMETROS!D26,0)</f>
        <v/>
      </c>
      <c r="Q36" s="34">
        <f>IF(PARÂMETROS!D26&gt;0,Q35/PARÂMETROS!D26,0)</f>
        <v/>
      </c>
      <c r="R36" s="34">
        <f>IF(PARÂMETROS!D26&gt;0,R35/PARÂMETROS!D26,0)</f>
        <v/>
      </c>
      <c r="S36" s="34">
        <f>IF(PARÂMETROS!D26&gt;0,S35/PARÂMETROS!D26,0)</f>
        <v/>
      </c>
      <c r="T36" s="34">
        <f>IF(PARÂMETROS!D26&gt;0,T35/PARÂMETROS!D26,0)</f>
        <v/>
      </c>
      <c r="U36" s="34">
        <f>IF(PARÂMETROS!D26&gt;0,U35/PARÂMETROS!D26,0)</f>
        <v/>
      </c>
      <c r="V36" s="34">
        <f>IF(PARÂMETROS!D26&gt;0,V35/PARÂMETROS!D26,0)</f>
        <v/>
      </c>
      <c r="W36" s="34">
        <f>IF(PARÂMETROS!D26&gt;0,W35/PARÂMETROS!D26,0)</f>
        <v/>
      </c>
      <c r="X36" s="34">
        <f>IF(PARÂMETROS!D26&gt;0,X35/PARÂMETROS!D26,0)</f>
        <v/>
      </c>
      <c r="Y36" s="34">
        <f>IF(PARÂMETROS!D26&gt;0,Y35/PARÂMETROS!D26,0)</f>
        <v/>
      </c>
      <c r="Z36" s="34">
        <f>IF(PARÂMETROS!D26&gt;0,Z35/PARÂMETROS!D26,0)</f>
        <v/>
      </c>
      <c r="AA36" s="34">
        <f>IF(PARÂMETROS!D26&gt;0,AA35/PARÂMETROS!D26,0)</f>
        <v/>
      </c>
      <c r="AB36" s="34">
        <f>IF(PARÂMETROS!D26&gt;0,AB35/PARÂMETROS!D26,0)</f>
        <v/>
      </c>
      <c r="AC36" s="34">
        <f>IF(PARÂMETROS!D26&gt;0,AC35/PARÂMETROS!D26,0)</f>
        <v/>
      </c>
      <c r="AD36" s="34">
        <f>IF(PARÂMETROS!D26&gt;0,AD35/PARÂMETROS!D26,0)</f>
        <v/>
      </c>
      <c r="AE36" s="34">
        <f>IF(PARÂMETROS!D26&gt;0,AE35/PARÂMETROS!D26,0)</f>
        <v/>
      </c>
      <c r="AF36" s="34">
        <f>IF(PARÂMETROS!D26&gt;0,AF35/PARÂMETROS!D26,0)</f>
        <v/>
      </c>
      <c r="AG36" s="34">
        <f>IF(PARÂMETROS!D26&gt;0,AG35/PARÂMETROS!D26,0)</f>
        <v/>
      </c>
      <c r="AH36" s="34">
        <f>IF(PARÂMETROS!D26&gt;0,AH35/PARÂMETROS!D26,0)</f>
        <v/>
      </c>
      <c r="AI36" s="34">
        <f>IF(PARÂMETROS!D26&gt;0,AI35/PARÂMETROS!D26,0)</f>
        <v/>
      </c>
      <c r="AJ36" s="34">
        <f>IF(PARÂMETROS!D26&gt;0,AJ35/PARÂMETROS!D26,0)</f>
        <v/>
      </c>
      <c r="AK36" s="34">
        <f>IF(PARÂMETROS!D26&gt;0,AK35/PARÂMETROS!D26,0)</f>
        <v/>
      </c>
      <c r="AL36" s="34">
        <f>IF(PARÂMETROS!D26&gt;0,AL35/PARÂMETROS!D26,0)</f>
        <v/>
      </c>
      <c r="AM36" s="34">
        <f>IF(PARÂMETROS!D26&gt;0,AM35/PARÂMETROS!D26,0)</f>
        <v/>
      </c>
      <c r="AN36" s="34">
        <f>IF(PARÂMETROS!D26&gt;0,AN35/PARÂMETROS!D26,0)</f>
        <v/>
      </c>
      <c r="AO36" s="34">
        <f>IF(PARÂMETROS!D26&gt;0,AO35/PARÂMETROS!D26,0)</f>
        <v/>
      </c>
      <c r="AP36" s="34">
        <f>IF(PARÂMETROS!D26&gt;0,AP35/PARÂMETROS!D26,0)</f>
        <v/>
      </c>
      <c r="AQ36" s="34">
        <f>IF(PARÂMETROS!D26&gt;0,AQ35/PARÂMETROS!D26,0)</f>
        <v/>
      </c>
      <c r="AR36" s="34">
        <f>IF(PARÂMETROS!D26&gt;0,AR35/PARÂMETROS!D26,0)</f>
        <v/>
      </c>
      <c r="AS36" s="34">
        <f>IF(PARÂMETROS!D26&gt;0,AS35/PARÂMETROS!D26,0)</f>
        <v/>
      </c>
      <c r="AT36" s="34">
        <f>IF(PARÂMETROS!D26&gt;0,AT35/PARÂMETROS!D26,0)</f>
        <v/>
      </c>
      <c r="AU36" s="34">
        <f>IF(PARÂMETROS!D26&gt;0,AU35/PARÂMETROS!D26,0)</f>
        <v/>
      </c>
      <c r="AV36" s="34">
        <f>IF(PARÂMETROS!D26&gt;0,AV35/PARÂMETROS!D26,0)</f>
        <v/>
      </c>
      <c r="AW36" s="34">
        <f>IF(PARÂMETROS!D26&gt;0,AW35/PARÂMETROS!D26,0)</f>
        <v/>
      </c>
      <c r="AX36" s="34">
        <f>IF(PARÂMETROS!D26&gt;0,AX35/PARÂMETROS!D26,0)</f>
        <v/>
      </c>
      <c r="AY36" s="34">
        <f>IF(PARÂMETROS!D26&gt;0,AY35/PARÂMETROS!D26,0)</f>
        <v/>
      </c>
      <c r="AZ36" s="34">
        <f>IF(PARÂMETROS!D26&gt;0,AZ35/PARÂMETROS!D26,0)</f>
        <v/>
      </c>
      <c r="BA36" s="34">
        <f>IF(PARÂMETROS!D26&gt;0,BA35/PARÂMETROS!D26,0)</f>
        <v/>
      </c>
      <c r="BB36" s="34">
        <f>IF(PARÂMETROS!D26&gt;0,BB35/PARÂMETROS!D26,0)</f>
        <v/>
      </c>
      <c r="BC36" s="34">
        <f>IF(PARÂMETROS!D26&gt;0,BC35/PARÂMETROS!D26,0)</f>
        <v/>
      </c>
      <c r="BD36" s="34">
        <f>IF(PARÂMETROS!D26&gt;0,BD35/PARÂMETROS!D26,0)</f>
        <v/>
      </c>
      <c r="BE36" s="34">
        <f>IF(PARÂMETROS!D26&gt;0,BE35/PARÂMETROS!D26,0)</f>
        <v/>
      </c>
      <c r="BF36" s="34">
        <f>IF(PARÂMETROS!D26&gt;0,BF35/PARÂMETROS!D26,0)</f>
        <v/>
      </c>
    </row>
    <row r="39">
      <c r="A39" s="2" t="inlineStr">
        <is>
          <t>CURVA S — PROGRESSÃO ACUMULADA TOTAL (%)</t>
        </is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3" t="n"/>
    </row>
    <row r="40">
      <c r="A40" s="2" t="inlineStr">
        <is>
          <t>Semana</t>
        </is>
      </c>
      <c r="B40" s="2" t="inlineStr">
        <is>
          <t>% Global Acumulado</t>
        </is>
      </c>
    </row>
    <row r="41">
      <c r="A41" s="36" t="inlineStr">
        <is>
          <t>2026-W24</t>
        </is>
      </c>
      <c r="B41" s="32">
        <f>IF((PARÂMETROS!D16+PARÂMETROS!D17+PARÂMETROS!D18+PARÂMETROS!D19+PARÂMETROS!D20+PARÂMETROS!D21+PARÂMETROS!D22+PARÂMETROS!D23+PARÂMETROS!D24+PARÂMETROS!D25+PARÂMETROS!D26)&gt;0,(PARÂMETROS!D16*G6+PARÂMETROS!D17*G9+PARÂMETROS!D18*G12+PARÂMETROS!D19*G15+PARÂMETROS!D20*G18+PARÂMETROS!D21*G21+PARÂMETROS!D22*G24+PARÂMETROS!D23*G27+PARÂMETROS!D24*G30+PARÂMETROS!D25*G33+PARÂMETROS!D26*G36)/(PARÂMETROS!D16+PARÂMETROS!D17+PARÂMETROS!D18+PARÂMETROS!D19+PARÂMETROS!D20+PARÂMETROS!D21+PARÂMETROS!D22+PARÂMETROS!D23+PARÂMETROS!D24+PARÂMETROS!D25+PARÂMETROS!D26),0)</f>
        <v/>
      </c>
    </row>
    <row r="42">
      <c r="A42" s="36" t="inlineStr">
        <is>
          <t>2026-W25</t>
        </is>
      </c>
      <c r="B42" s="32">
        <f>IF((PARÂMETROS!D16+PARÂMETROS!D17+PARÂMETROS!D18+PARÂMETROS!D19+PARÂMETROS!D20+PARÂMETROS!D21+PARÂMETROS!D22+PARÂMETROS!D23+PARÂMETROS!D24+PARÂMETROS!D25+PARÂMETROS!D26)&gt;0,(PARÂMETROS!D16*H6+PARÂMETROS!D17*H9+PARÂMETROS!D18*H12+PARÂMETROS!D19*H15+PARÂMETROS!D20*H18+PARÂMETROS!D21*H21+PARÂMETROS!D22*H24+PARÂMETROS!D23*H27+PARÂMETROS!D24*H30+PARÂMETROS!D25*H33+PARÂMETROS!D26*H36)/(PARÂMETROS!D16+PARÂMETROS!D17+PARÂMETROS!D18+PARÂMETROS!D19+PARÂMETROS!D20+PARÂMETROS!D21+PARÂMETROS!D22+PARÂMETROS!D23+PARÂMETROS!D24+PARÂMETROS!D25+PARÂMETROS!D26),0)</f>
        <v/>
      </c>
    </row>
    <row r="43">
      <c r="A43" s="36" t="inlineStr">
        <is>
          <t>2026-W26</t>
        </is>
      </c>
      <c r="B43" s="32">
        <f>IF((PARÂMETROS!D16+PARÂMETROS!D17+PARÂMETROS!D18+PARÂMETROS!D19+PARÂMETROS!D20+PARÂMETROS!D21+PARÂMETROS!D22+PARÂMETROS!D23+PARÂMETROS!D24+PARÂMETROS!D25+PARÂMETROS!D26)&gt;0,(PARÂMETROS!D16*I6+PARÂMETROS!D17*I9+PARÂMETROS!D18*I12+PARÂMETROS!D19*I15+PARÂMETROS!D20*I18+PARÂMETROS!D21*I21+PARÂMETROS!D22*I24+PARÂMETROS!D23*I27+PARÂMETROS!D24*I30+PARÂMETROS!D25*I33+PARÂMETROS!D26*I36)/(PARÂMETROS!D16+PARÂMETROS!D17+PARÂMETROS!D18+PARÂMETROS!D19+PARÂMETROS!D20+PARÂMETROS!D21+PARÂMETROS!D22+PARÂMETROS!D23+PARÂMETROS!D24+PARÂMETROS!D25+PARÂMETROS!D26),0)</f>
        <v/>
      </c>
    </row>
    <row r="44">
      <c r="A44" s="36" t="inlineStr">
        <is>
          <t>2026-W27</t>
        </is>
      </c>
      <c r="B44" s="32">
        <f>IF((PARÂMETROS!D16+PARÂMETROS!D17+PARÂMETROS!D18+PARÂMETROS!D19+PARÂMETROS!D20+PARÂMETROS!D21+PARÂMETROS!D22+PARÂMETROS!D23+PARÂMETROS!D24+PARÂMETROS!D25+PARÂMETROS!D26)&gt;0,(PARÂMETROS!D16*J6+PARÂMETROS!D17*J9+PARÂMETROS!D18*J12+PARÂMETROS!D19*J15+PARÂMETROS!D20*J18+PARÂMETROS!D21*J21+PARÂMETROS!D22*J24+PARÂMETROS!D23*J27+PARÂMETROS!D24*J30+PARÂMETROS!D25*J33+PARÂMETROS!D26*J36)/(PARÂMETROS!D16+PARÂMETROS!D17+PARÂMETROS!D18+PARÂMETROS!D19+PARÂMETROS!D20+PARÂMETROS!D21+PARÂMETROS!D22+PARÂMETROS!D23+PARÂMETROS!D24+PARÂMETROS!D25+PARÂMETROS!D26),0)</f>
        <v/>
      </c>
    </row>
    <row r="45">
      <c r="A45" s="36" t="inlineStr">
        <is>
          <t>2026-W28</t>
        </is>
      </c>
      <c r="B45" s="32">
        <f>IF((PARÂMETROS!D16+PARÂMETROS!D17+PARÂMETROS!D18+PARÂMETROS!D19+PARÂMETROS!D20+PARÂMETROS!D21+PARÂMETROS!D22+PARÂMETROS!D23+PARÂMETROS!D24+PARÂMETROS!D25+PARÂMETROS!D26)&gt;0,(PARÂMETROS!D16*K6+PARÂMETROS!D17*K9+PARÂMETROS!D18*K12+PARÂMETROS!D19*K15+PARÂMETROS!D20*K18+PARÂMETROS!D21*K21+PARÂMETROS!D22*K24+PARÂMETROS!D23*K27+PARÂMETROS!D24*K30+PARÂMETROS!D25*K33+PARÂMETROS!D26*K36)/(PARÂMETROS!D16+PARÂMETROS!D17+PARÂMETROS!D18+PARÂMETROS!D19+PARÂMETROS!D20+PARÂMETROS!D21+PARÂMETROS!D22+PARÂMETROS!D23+PARÂMETROS!D24+PARÂMETROS!D25+PARÂMETROS!D26),0)</f>
        <v/>
      </c>
    </row>
    <row r="46">
      <c r="A46" s="36" t="inlineStr">
        <is>
          <t>2026-W29</t>
        </is>
      </c>
      <c r="B46" s="32">
        <f>IF((PARÂMETROS!D16+PARÂMETROS!D17+PARÂMETROS!D18+PARÂMETROS!D19+PARÂMETROS!D20+PARÂMETROS!D21+PARÂMETROS!D22+PARÂMETROS!D23+PARÂMETROS!D24+PARÂMETROS!D25+PARÂMETROS!D26)&gt;0,(PARÂMETROS!D16*L6+PARÂMETROS!D17*L9+PARÂMETROS!D18*L12+PARÂMETROS!D19*L15+PARÂMETROS!D20*L18+PARÂMETROS!D21*L21+PARÂMETROS!D22*L24+PARÂMETROS!D23*L27+PARÂMETROS!D24*L30+PARÂMETROS!D25*L33+PARÂMETROS!D26*L36)/(PARÂMETROS!D16+PARÂMETROS!D17+PARÂMETROS!D18+PARÂMETROS!D19+PARÂMETROS!D20+PARÂMETROS!D21+PARÂMETROS!D22+PARÂMETROS!D23+PARÂMETROS!D24+PARÂMETROS!D25+PARÂMETROS!D26),0)</f>
        <v/>
      </c>
    </row>
    <row r="47">
      <c r="A47" s="36" t="inlineStr">
        <is>
          <t>2026-W30</t>
        </is>
      </c>
      <c r="B47" s="32">
        <f>IF((PARÂMETROS!D16+PARÂMETROS!D17+PARÂMETROS!D18+PARÂMETROS!D19+PARÂMETROS!D20+PARÂMETROS!D21+PARÂMETROS!D22+PARÂMETROS!D23+PARÂMETROS!D24+PARÂMETROS!D25+PARÂMETROS!D26)&gt;0,(PARÂMETROS!D16*M6+PARÂMETROS!D17*M9+PARÂMETROS!D18*M12+PARÂMETROS!D19*M15+PARÂMETROS!D20*M18+PARÂMETROS!D21*M21+PARÂMETROS!D22*M24+PARÂMETROS!D23*M27+PARÂMETROS!D24*M30+PARÂMETROS!D25*M33+PARÂMETROS!D26*M36)/(PARÂMETROS!D16+PARÂMETROS!D17+PARÂMETROS!D18+PARÂMETROS!D19+PARÂMETROS!D20+PARÂMETROS!D21+PARÂMETROS!D22+PARÂMETROS!D23+PARÂMETROS!D24+PARÂMETROS!D25+PARÂMETROS!D26),0)</f>
        <v/>
      </c>
    </row>
    <row r="48">
      <c r="A48" s="36" t="inlineStr">
        <is>
          <t>2026-W31</t>
        </is>
      </c>
      <c r="B48" s="32">
        <f>IF((PARÂMETROS!D16+PARÂMETROS!D17+PARÂMETROS!D18+PARÂMETROS!D19+PARÂMETROS!D20+PARÂMETROS!D21+PARÂMETROS!D22+PARÂMETROS!D23+PARÂMETROS!D24+PARÂMETROS!D25+PARÂMETROS!D26)&gt;0,(PARÂMETROS!D16*N6+PARÂMETROS!D17*N9+PARÂMETROS!D18*N12+PARÂMETROS!D19*N15+PARÂMETROS!D20*N18+PARÂMETROS!D21*N21+PARÂMETROS!D22*N24+PARÂMETROS!D23*N27+PARÂMETROS!D24*N30+PARÂMETROS!D25*N33+PARÂMETROS!D26*N36)/(PARÂMETROS!D16+PARÂMETROS!D17+PARÂMETROS!D18+PARÂMETROS!D19+PARÂMETROS!D20+PARÂMETROS!D21+PARÂMETROS!D22+PARÂMETROS!D23+PARÂMETROS!D24+PARÂMETROS!D25+PARÂMETROS!D26),0)</f>
        <v/>
      </c>
    </row>
    <row r="49">
      <c r="A49" s="36" t="inlineStr">
        <is>
          <t>2026-W32</t>
        </is>
      </c>
      <c r="B49" s="32">
        <f>IF((PARÂMETROS!D16+PARÂMETROS!D17+PARÂMETROS!D18+PARÂMETROS!D19+PARÂMETROS!D20+PARÂMETROS!D21+PARÂMETROS!D22+PARÂMETROS!D23+PARÂMETROS!D24+PARÂMETROS!D25+PARÂMETROS!D26)&gt;0,(PARÂMETROS!D16*O6+PARÂMETROS!D17*O9+PARÂMETROS!D18*O12+PARÂMETROS!D19*O15+PARÂMETROS!D20*O18+PARÂMETROS!D21*O21+PARÂMETROS!D22*O24+PARÂMETROS!D23*O27+PARÂMETROS!D24*O30+PARÂMETROS!D25*O33+PARÂMETROS!D26*O36)/(PARÂMETROS!D16+PARÂMETROS!D17+PARÂMETROS!D18+PARÂMETROS!D19+PARÂMETROS!D20+PARÂMETROS!D21+PARÂMETROS!D22+PARÂMETROS!D23+PARÂMETROS!D24+PARÂMETROS!D25+PARÂMETROS!D26),0)</f>
        <v/>
      </c>
    </row>
    <row r="50">
      <c r="A50" s="36" t="inlineStr">
        <is>
          <t>2026-W33</t>
        </is>
      </c>
      <c r="B50" s="32">
        <f>IF((PARÂMETROS!D16+PARÂMETROS!D17+PARÂMETROS!D18+PARÂMETROS!D19+PARÂMETROS!D20+PARÂMETROS!D21+PARÂMETROS!D22+PARÂMETROS!D23+PARÂMETROS!D24+PARÂMETROS!D25+PARÂMETROS!D26)&gt;0,(PARÂMETROS!D16*P6+PARÂMETROS!D17*P9+PARÂMETROS!D18*P12+PARÂMETROS!D19*P15+PARÂMETROS!D20*P18+PARÂMETROS!D21*P21+PARÂMETROS!D22*P24+PARÂMETROS!D23*P27+PARÂMETROS!D24*P30+PARÂMETROS!D25*P33+PARÂMETROS!D26*P36)/(PARÂMETROS!D16+PARÂMETROS!D17+PARÂMETROS!D18+PARÂMETROS!D19+PARÂMETROS!D20+PARÂMETROS!D21+PARÂMETROS!D22+PARÂMETROS!D23+PARÂMETROS!D24+PARÂMETROS!D25+PARÂMETROS!D26),0)</f>
        <v/>
      </c>
    </row>
    <row r="51">
      <c r="A51" s="36" t="inlineStr">
        <is>
          <t>2026-W34</t>
        </is>
      </c>
      <c r="B51" s="32">
        <f>IF((PARÂMETROS!D16+PARÂMETROS!D17+PARÂMETROS!D18+PARÂMETROS!D19+PARÂMETROS!D20+PARÂMETROS!D21+PARÂMETROS!D22+PARÂMETROS!D23+PARÂMETROS!D24+PARÂMETROS!D25+PARÂMETROS!D26)&gt;0,(PARÂMETROS!D16*Q6+PARÂMETROS!D17*Q9+PARÂMETROS!D18*Q12+PARÂMETROS!D19*Q15+PARÂMETROS!D20*Q18+PARÂMETROS!D21*Q21+PARÂMETROS!D22*Q24+PARÂMETROS!D23*Q27+PARÂMETROS!D24*Q30+PARÂMETROS!D25*Q33+PARÂMETROS!D26*Q36)/(PARÂMETROS!D16+PARÂMETROS!D17+PARÂMETROS!D18+PARÂMETROS!D19+PARÂMETROS!D20+PARÂMETROS!D21+PARÂMETROS!D22+PARÂMETROS!D23+PARÂMETROS!D24+PARÂMETROS!D25+PARÂMETROS!D26),0)</f>
        <v/>
      </c>
    </row>
    <row r="52">
      <c r="A52" s="36" t="inlineStr">
        <is>
          <t>2026-W35</t>
        </is>
      </c>
      <c r="B52" s="32">
        <f>IF((PARÂMETROS!D16+PARÂMETROS!D17+PARÂMETROS!D18+PARÂMETROS!D19+PARÂMETROS!D20+PARÂMETROS!D21+PARÂMETROS!D22+PARÂMETROS!D23+PARÂMETROS!D24+PARÂMETROS!D25+PARÂMETROS!D26)&gt;0,(PARÂMETROS!D16*R6+PARÂMETROS!D17*R9+PARÂMETROS!D18*R12+PARÂMETROS!D19*R15+PARÂMETROS!D20*R18+PARÂMETROS!D21*R21+PARÂMETROS!D22*R24+PARÂMETROS!D23*R27+PARÂMETROS!D24*R30+PARÂMETROS!D25*R33+PARÂMETROS!D26*R36)/(PARÂMETROS!D16+PARÂMETROS!D17+PARÂMETROS!D18+PARÂMETROS!D19+PARÂMETROS!D20+PARÂMETROS!D21+PARÂMETROS!D22+PARÂMETROS!D23+PARÂMETROS!D24+PARÂMETROS!D25+PARÂMETROS!D26),0)</f>
        <v/>
      </c>
    </row>
    <row r="53">
      <c r="A53" s="36" t="inlineStr">
        <is>
          <t>2026-W36</t>
        </is>
      </c>
      <c r="B53" s="32">
        <f>IF((PARÂMETROS!D16+PARÂMETROS!D17+PARÂMETROS!D18+PARÂMETROS!D19+PARÂMETROS!D20+PARÂMETROS!D21+PARÂMETROS!D22+PARÂMETROS!D23+PARÂMETROS!D24+PARÂMETROS!D25+PARÂMETROS!D26)&gt;0,(PARÂMETROS!D16*S6+PARÂMETROS!D17*S9+PARÂMETROS!D18*S12+PARÂMETROS!D19*S15+PARÂMETROS!D20*S18+PARÂMETROS!D21*S21+PARÂMETROS!D22*S24+PARÂMETROS!D23*S27+PARÂMETROS!D24*S30+PARÂMETROS!D25*S33+PARÂMETROS!D26*S36)/(PARÂMETROS!D16+PARÂMETROS!D17+PARÂMETROS!D18+PARÂMETROS!D19+PARÂMETROS!D20+PARÂMETROS!D21+PARÂMETROS!D22+PARÂMETROS!D23+PARÂMETROS!D24+PARÂMETROS!D25+PARÂMETROS!D26),0)</f>
        <v/>
      </c>
    </row>
    <row r="54">
      <c r="A54" s="36" t="inlineStr">
        <is>
          <t>2026-W37</t>
        </is>
      </c>
      <c r="B54" s="32">
        <f>IF((PARÂMETROS!D16+PARÂMETROS!D17+PARÂMETROS!D18+PARÂMETROS!D19+PARÂMETROS!D20+PARÂMETROS!D21+PARÂMETROS!D22+PARÂMETROS!D23+PARÂMETROS!D24+PARÂMETROS!D25+PARÂMETROS!D26)&gt;0,(PARÂMETROS!D16*T6+PARÂMETROS!D17*T9+PARÂMETROS!D18*T12+PARÂMETROS!D19*T15+PARÂMETROS!D20*T18+PARÂMETROS!D21*T21+PARÂMETROS!D22*T24+PARÂMETROS!D23*T27+PARÂMETROS!D24*T30+PARÂMETROS!D25*T33+PARÂMETROS!D26*T36)/(PARÂMETROS!D16+PARÂMETROS!D17+PARÂMETROS!D18+PARÂMETROS!D19+PARÂMETROS!D20+PARÂMETROS!D21+PARÂMETROS!D22+PARÂMETROS!D23+PARÂMETROS!D24+PARÂMETROS!D25+PARÂMETROS!D26),0)</f>
        <v/>
      </c>
    </row>
    <row r="55">
      <c r="A55" s="36" t="inlineStr">
        <is>
          <t>2026-W38</t>
        </is>
      </c>
      <c r="B55" s="32">
        <f>IF((PARÂMETROS!D16+PARÂMETROS!D17+PARÂMETROS!D18+PARÂMETROS!D19+PARÂMETROS!D20+PARÂMETROS!D21+PARÂMETROS!D22+PARÂMETROS!D23+PARÂMETROS!D24+PARÂMETROS!D25+PARÂMETROS!D26)&gt;0,(PARÂMETROS!D16*U6+PARÂMETROS!D17*U9+PARÂMETROS!D18*U12+PARÂMETROS!D19*U15+PARÂMETROS!D20*U18+PARÂMETROS!D21*U21+PARÂMETROS!D22*U24+PARÂMETROS!D23*U27+PARÂMETROS!D24*U30+PARÂMETROS!D25*U33+PARÂMETROS!D26*U36)/(PARÂMETROS!D16+PARÂMETROS!D17+PARÂMETROS!D18+PARÂMETROS!D19+PARÂMETROS!D20+PARÂMETROS!D21+PARÂMETROS!D22+PARÂMETROS!D23+PARÂMETROS!D24+PARÂMETROS!D25+PARÂMETROS!D26),0)</f>
        <v/>
      </c>
    </row>
    <row r="56">
      <c r="A56" s="36" t="inlineStr">
        <is>
          <t>2026-W39</t>
        </is>
      </c>
      <c r="B56" s="32">
        <f>IF((PARÂMETROS!D16+PARÂMETROS!D17+PARÂMETROS!D18+PARÂMETROS!D19+PARÂMETROS!D20+PARÂMETROS!D21+PARÂMETROS!D22+PARÂMETROS!D23+PARÂMETROS!D24+PARÂMETROS!D25+PARÂMETROS!D26)&gt;0,(PARÂMETROS!D16*V6+PARÂMETROS!D17*V9+PARÂMETROS!D18*V12+PARÂMETROS!D19*V15+PARÂMETROS!D20*V18+PARÂMETROS!D21*V21+PARÂMETROS!D22*V24+PARÂMETROS!D23*V27+PARÂMETROS!D24*V30+PARÂMETROS!D25*V33+PARÂMETROS!D26*V36)/(PARÂMETROS!D16+PARÂMETROS!D17+PARÂMETROS!D18+PARÂMETROS!D19+PARÂMETROS!D20+PARÂMETROS!D21+PARÂMETROS!D22+PARÂMETROS!D23+PARÂMETROS!D24+PARÂMETROS!D25+PARÂMETROS!D26),0)</f>
        <v/>
      </c>
    </row>
    <row r="57">
      <c r="A57" s="36" t="inlineStr">
        <is>
          <t>2026-W40</t>
        </is>
      </c>
      <c r="B57" s="32">
        <f>IF((PARÂMETROS!D16+PARÂMETROS!D17+PARÂMETROS!D18+PARÂMETROS!D19+PARÂMETROS!D20+PARÂMETROS!D21+PARÂMETROS!D22+PARÂMETROS!D23+PARÂMETROS!D24+PARÂMETROS!D25+PARÂMETROS!D26)&gt;0,(PARÂMETROS!D16*W6+PARÂMETROS!D17*W9+PARÂMETROS!D18*W12+PARÂMETROS!D19*W15+PARÂMETROS!D20*W18+PARÂMETROS!D21*W21+PARÂMETROS!D22*W24+PARÂMETROS!D23*W27+PARÂMETROS!D24*W30+PARÂMETROS!D25*W33+PARÂMETROS!D26*W36)/(PARÂMETROS!D16+PARÂMETROS!D17+PARÂMETROS!D18+PARÂMETROS!D19+PARÂMETROS!D20+PARÂMETROS!D21+PARÂMETROS!D22+PARÂMETROS!D23+PARÂMETROS!D24+PARÂMETROS!D25+PARÂMETROS!D26),0)</f>
        <v/>
      </c>
    </row>
    <row r="58">
      <c r="A58" s="36" t="inlineStr">
        <is>
          <t>2026-W41</t>
        </is>
      </c>
      <c r="B58" s="32">
        <f>IF((PARÂMETROS!D16+PARÂMETROS!D17+PARÂMETROS!D18+PARÂMETROS!D19+PARÂMETROS!D20+PARÂMETROS!D21+PARÂMETROS!D22+PARÂMETROS!D23+PARÂMETROS!D24+PARÂMETROS!D25+PARÂMETROS!D26)&gt;0,(PARÂMETROS!D16*X6+PARÂMETROS!D17*X9+PARÂMETROS!D18*X12+PARÂMETROS!D19*X15+PARÂMETROS!D20*X18+PARÂMETROS!D21*X21+PARÂMETROS!D22*X24+PARÂMETROS!D23*X27+PARÂMETROS!D24*X30+PARÂMETROS!D25*X33+PARÂMETROS!D26*X36)/(PARÂMETROS!D16+PARÂMETROS!D17+PARÂMETROS!D18+PARÂMETROS!D19+PARÂMETROS!D20+PARÂMETROS!D21+PARÂMETROS!D22+PARÂMETROS!D23+PARÂMETROS!D24+PARÂMETROS!D25+PARÂMETROS!D26),0)</f>
        <v/>
      </c>
    </row>
    <row r="59">
      <c r="A59" s="36" t="inlineStr">
        <is>
          <t>2026-W42</t>
        </is>
      </c>
      <c r="B59" s="32">
        <f>IF((PARÂMETROS!D16+PARÂMETROS!D17+PARÂMETROS!D18+PARÂMETROS!D19+PARÂMETROS!D20+PARÂMETROS!D21+PARÂMETROS!D22+PARÂMETROS!D23+PARÂMETROS!D24+PARÂMETROS!D25+PARÂMETROS!D26)&gt;0,(PARÂMETROS!D16*Y6+PARÂMETROS!D17*Y9+PARÂMETROS!D18*Y12+PARÂMETROS!D19*Y15+PARÂMETROS!D20*Y18+PARÂMETROS!D21*Y21+PARÂMETROS!D22*Y24+PARÂMETROS!D23*Y27+PARÂMETROS!D24*Y30+PARÂMETROS!D25*Y33+PARÂMETROS!D26*Y36)/(PARÂMETROS!D16+PARÂMETROS!D17+PARÂMETROS!D18+PARÂMETROS!D19+PARÂMETROS!D20+PARÂMETROS!D21+PARÂMETROS!D22+PARÂMETROS!D23+PARÂMETROS!D24+PARÂMETROS!D25+PARÂMETROS!D26),0)</f>
        <v/>
      </c>
    </row>
    <row r="60">
      <c r="A60" s="36" t="inlineStr">
        <is>
          <t>2026-W43</t>
        </is>
      </c>
      <c r="B60" s="32">
        <f>IF((PARÂMETROS!D16+PARÂMETROS!D17+PARÂMETROS!D18+PARÂMETROS!D19+PARÂMETROS!D20+PARÂMETROS!D21+PARÂMETROS!D22+PARÂMETROS!D23+PARÂMETROS!D24+PARÂMETROS!D25+PARÂMETROS!D26)&gt;0,(PARÂMETROS!D16*Z6+PARÂMETROS!D17*Z9+PARÂMETROS!D18*Z12+PARÂMETROS!D19*Z15+PARÂMETROS!D20*Z18+PARÂMETROS!D21*Z21+PARÂMETROS!D22*Z24+PARÂMETROS!D23*Z27+PARÂMETROS!D24*Z30+PARÂMETROS!D25*Z33+PARÂMETROS!D26*Z36)/(PARÂMETROS!D16+PARÂMETROS!D17+PARÂMETROS!D18+PARÂMETROS!D19+PARÂMETROS!D20+PARÂMETROS!D21+PARÂMETROS!D22+PARÂMETROS!D23+PARÂMETROS!D24+PARÂMETROS!D25+PARÂMETROS!D26),0)</f>
        <v/>
      </c>
    </row>
    <row r="61">
      <c r="A61" s="36" t="inlineStr">
        <is>
          <t>2026-W44</t>
        </is>
      </c>
      <c r="B61" s="32">
        <f>IF((PARÂMETROS!D16+PARÂMETROS!D17+PARÂMETROS!D18+PARÂMETROS!D19+PARÂMETROS!D20+PARÂMETROS!D21+PARÂMETROS!D22+PARÂMETROS!D23+PARÂMETROS!D24+PARÂMETROS!D25+PARÂMETROS!D26)&gt;0,(PARÂMETROS!D16*AA6+PARÂMETROS!D17*AA9+PARÂMETROS!D18*AA12+PARÂMETROS!D19*AA15+PARÂMETROS!D20*AA18+PARÂMETROS!D21*AA21+PARÂMETROS!D22*AA24+PARÂMETROS!D23*AA27+PARÂMETROS!D24*AA30+PARÂMETROS!D25*AA33+PARÂMETROS!D26*AA36)/(PARÂMETROS!D16+PARÂMETROS!D17+PARÂMETROS!D18+PARÂMETROS!D19+PARÂMETROS!D20+PARÂMETROS!D21+PARÂMETROS!D22+PARÂMETROS!D23+PARÂMETROS!D24+PARÂMETROS!D25+PARÂMETROS!D26),0)</f>
        <v/>
      </c>
    </row>
    <row r="62">
      <c r="A62" s="36" t="inlineStr">
        <is>
          <t>2026-W45</t>
        </is>
      </c>
      <c r="B62" s="32">
        <f>IF((PARÂMETROS!D16+PARÂMETROS!D17+PARÂMETROS!D18+PARÂMETROS!D19+PARÂMETROS!D20+PARÂMETROS!D21+PARÂMETROS!D22+PARÂMETROS!D23+PARÂMETROS!D24+PARÂMETROS!D25+PARÂMETROS!D26)&gt;0,(PARÂMETROS!D16*AB6+PARÂMETROS!D17*AB9+PARÂMETROS!D18*AB12+PARÂMETROS!D19*AB15+PARÂMETROS!D20*AB18+PARÂMETROS!D21*AB21+PARÂMETROS!D22*AB24+PARÂMETROS!D23*AB27+PARÂMETROS!D24*AB30+PARÂMETROS!D25*AB33+PARÂMETROS!D26*AB36)/(PARÂMETROS!D16+PARÂMETROS!D17+PARÂMETROS!D18+PARÂMETROS!D19+PARÂMETROS!D20+PARÂMETROS!D21+PARÂMETROS!D22+PARÂMETROS!D23+PARÂMETROS!D24+PARÂMETROS!D25+PARÂMETROS!D26),0)</f>
        <v/>
      </c>
    </row>
    <row r="63">
      <c r="A63" s="36" t="inlineStr">
        <is>
          <t>2026-W46</t>
        </is>
      </c>
      <c r="B63" s="32">
        <f>IF((PARÂMETROS!D16+PARÂMETROS!D17+PARÂMETROS!D18+PARÂMETROS!D19+PARÂMETROS!D20+PARÂMETROS!D21+PARÂMETROS!D22+PARÂMETROS!D23+PARÂMETROS!D24+PARÂMETROS!D25+PARÂMETROS!D26)&gt;0,(PARÂMETROS!D16*AC6+PARÂMETROS!D17*AC9+PARÂMETROS!D18*AC12+PARÂMETROS!D19*AC15+PARÂMETROS!D20*AC18+PARÂMETROS!D21*AC21+PARÂMETROS!D22*AC24+PARÂMETROS!D23*AC27+PARÂMETROS!D24*AC30+PARÂMETROS!D25*AC33+PARÂMETROS!D26*AC36)/(PARÂMETROS!D16+PARÂMETROS!D17+PARÂMETROS!D18+PARÂMETROS!D19+PARÂMETROS!D20+PARÂMETROS!D21+PARÂMETROS!D22+PARÂMETROS!D23+PARÂMETROS!D24+PARÂMETROS!D25+PARÂMETROS!D26),0)</f>
        <v/>
      </c>
    </row>
    <row r="64">
      <c r="A64" s="36" t="inlineStr">
        <is>
          <t>2026-W47</t>
        </is>
      </c>
      <c r="B64" s="32">
        <f>IF((PARÂMETROS!D16+PARÂMETROS!D17+PARÂMETROS!D18+PARÂMETROS!D19+PARÂMETROS!D20+PARÂMETROS!D21+PARÂMETROS!D22+PARÂMETROS!D23+PARÂMETROS!D24+PARÂMETROS!D25+PARÂMETROS!D26)&gt;0,(PARÂMETROS!D16*AD6+PARÂMETROS!D17*AD9+PARÂMETROS!D18*AD12+PARÂMETROS!D19*AD15+PARÂMETROS!D20*AD18+PARÂMETROS!D21*AD21+PARÂMETROS!D22*AD24+PARÂMETROS!D23*AD27+PARÂMETROS!D24*AD30+PARÂMETROS!D25*AD33+PARÂMETROS!D26*AD36)/(PARÂMETROS!D16+PARÂMETROS!D17+PARÂMETROS!D18+PARÂMETROS!D19+PARÂMETROS!D20+PARÂMETROS!D21+PARÂMETROS!D22+PARÂMETROS!D23+PARÂMETROS!D24+PARÂMETROS!D25+PARÂMETROS!D26),0)</f>
        <v/>
      </c>
    </row>
    <row r="65">
      <c r="A65" s="36" t="inlineStr">
        <is>
          <t>2026-W48</t>
        </is>
      </c>
      <c r="B65" s="32">
        <f>IF((PARÂMETROS!D16+PARÂMETROS!D17+PARÂMETROS!D18+PARÂMETROS!D19+PARÂMETROS!D20+PARÂMETROS!D21+PARÂMETROS!D22+PARÂMETROS!D23+PARÂMETROS!D24+PARÂMETROS!D25+PARÂMETROS!D26)&gt;0,(PARÂMETROS!D16*AE6+PARÂMETROS!D17*AE9+PARÂMETROS!D18*AE12+PARÂMETROS!D19*AE15+PARÂMETROS!D20*AE18+PARÂMETROS!D21*AE21+PARÂMETROS!D22*AE24+PARÂMETROS!D23*AE27+PARÂMETROS!D24*AE30+PARÂMETROS!D25*AE33+PARÂMETROS!D26*AE36)/(PARÂMETROS!D16+PARÂMETROS!D17+PARÂMETROS!D18+PARÂMETROS!D19+PARÂMETROS!D20+PARÂMETROS!D21+PARÂMETROS!D22+PARÂMETROS!D23+PARÂMETROS!D24+PARÂMETROS!D25+PARÂMETROS!D26),0)</f>
        <v/>
      </c>
    </row>
    <row r="66">
      <c r="A66" s="36" t="inlineStr">
        <is>
          <t>2026-W49</t>
        </is>
      </c>
      <c r="B66" s="32">
        <f>IF((PARÂMETROS!D16+PARÂMETROS!D17+PARÂMETROS!D18+PARÂMETROS!D19+PARÂMETROS!D20+PARÂMETROS!D21+PARÂMETROS!D22+PARÂMETROS!D23+PARÂMETROS!D24+PARÂMETROS!D25+PARÂMETROS!D26)&gt;0,(PARÂMETROS!D16*AF6+PARÂMETROS!D17*AF9+PARÂMETROS!D18*AF12+PARÂMETROS!D19*AF15+PARÂMETROS!D20*AF18+PARÂMETROS!D21*AF21+PARÂMETROS!D22*AF24+PARÂMETROS!D23*AF27+PARÂMETROS!D24*AF30+PARÂMETROS!D25*AF33+PARÂMETROS!D26*AF36)/(PARÂMETROS!D16+PARÂMETROS!D17+PARÂMETROS!D18+PARÂMETROS!D19+PARÂMETROS!D20+PARÂMETROS!D21+PARÂMETROS!D22+PARÂMETROS!D23+PARÂMETROS!D24+PARÂMETROS!D25+PARÂMETROS!D26),0)</f>
        <v/>
      </c>
    </row>
    <row r="67">
      <c r="A67" s="36" t="inlineStr">
        <is>
          <t>2026-W50</t>
        </is>
      </c>
      <c r="B67" s="32">
        <f>IF((PARÂMETROS!D16+PARÂMETROS!D17+PARÂMETROS!D18+PARÂMETROS!D19+PARÂMETROS!D20+PARÂMETROS!D21+PARÂMETROS!D22+PARÂMETROS!D23+PARÂMETROS!D24+PARÂMETROS!D25+PARÂMETROS!D26)&gt;0,(PARÂMETROS!D16*AG6+PARÂMETROS!D17*AG9+PARÂMETROS!D18*AG12+PARÂMETROS!D19*AG15+PARÂMETROS!D20*AG18+PARÂMETROS!D21*AG21+PARÂMETROS!D22*AG24+PARÂMETROS!D23*AG27+PARÂMETROS!D24*AG30+PARÂMETROS!D25*AG33+PARÂMETROS!D26*AG36)/(PARÂMETROS!D16+PARÂMETROS!D17+PARÂMETROS!D18+PARÂMETROS!D19+PARÂMETROS!D20+PARÂMETROS!D21+PARÂMETROS!D22+PARÂMETROS!D23+PARÂMETROS!D24+PARÂMETROS!D25+PARÂMETROS!D26),0)</f>
        <v/>
      </c>
    </row>
    <row r="68">
      <c r="A68" s="36" t="inlineStr">
        <is>
          <t>2026-W51</t>
        </is>
      </c>
      <c r="B68" s="32">
        <f>IF((PARÂMETROS!D16+PARÂMETROS!D17+PARÂMETROS!D18+PARÂMETROS!D19+PARÂMETROS!D20+PARÂMETROS!D21+PARÂMETROS!D22+PARÂMETROS!D23+PARÂMETROS!D24+PARÂMETROS!D25+PARÂMETROS!D26)&gt;0,(PARÂMETROS!D16*AH6+PARÂMETROS!D17*AH9+PARÂMETROS!D18*AH12+PARÂMETROS!D19*AH15+PARÂMETROS!D20*AH18+PARÂMETROS!D21*AH21+PARÂMETROS!D22*AH24+PARÂMETROS!D23*AH27+PARÂMETROS!D24*AH30+PARÂMETROS!D25*AH33+PARÂMETROS!D26*AH36)/(PARÂMETROS!D16+PARÂMETROS!D17+PARÂMETROS!D18+PARÂMETROS!D19+PARÂMETROS!D20+PARÂMETROS!D21+PARÂMETROS!D22+PARÂMETROS!D23+PARÂMETROS!D24+PARÂMETROS!D25+PARÂMETROS!D26),0)</f>
        <v/>
      </c>
    </row>
    <row r="69">
      <c r="A69" s="36" t="inlineStr">
        <is>
          <t>2026-W52</t>
        </is>
      </c>
      <c r="B69" s="32">
        <f>IF((PARÂMETROS!D16+PARÂMETROS!D17+PARÂMETROS!D18+PARÂMETROS!D19+PARÂMETROS!D20+PARÂMETROS!D21+PARÂMETROS!D22+PARÂMETROS!D23+PARÂMETROS!D24+PARÂMETROS!D25+PARÂMETROS!D26)&gt;0,(PARÂMETROS!D16*AI6+PARÂMETROS!D17*AI9+PARÂMETROS!D18*AI12+PARÂMETROS!D19*AI15+PARÂMETROS!D20*AI18+PARÂMETROS!D21*AI21+PARÂMETROS!D22*AI24+PARÂMETROS!D23*AI27+PARÂMETROS!D24*AI30+PARÂMETROS!D25*AI33+PARÂMETROS!D26*AI36)/(PARÂMETROS!D16+PARÂMETROS!D17+PARÂMETROS!D18+PARÂMETROS!D19+PARÂMETROS!D20+PARÂMETROS!D21+PARÂMETROS!D22+PARÂMETROS!D23+PARÂMETROS!D24+PARÂMETROS!D25+PARÂMETROS!D26),0)</f>
        <v/>
      </c>
    </row>
    <row r="70">
      <c r="A70" s="36" t="inlineStr">
        <is>
          <t>2026-W53</t>
        </is>
      </c>
      <c r="B70" s="32">
        <f>IF((PARÂMETROS!D16+PARÂMETROS!D17+PARÂMETROS!D18+PARÂMETROS!D19+PARÂMETROS!D20+PARÂMETROS!D21+PARÂMETROS!D22+PARÂMETROS!D23+PARÂMETROS!D24+PARÂMETROS!D25+PARÂMETROS!D26)&gt;0,(PARÂMETROS!D16*AJ6+PARÂMETROS!D17*AJ9+PARÂMETROS!D18*AJ12+PARÂMETROS!D19*AJ15+PARÂMETROS!D20*AJ18+PARÂMETROS!D21*AJ21+PARÂMETROS!D22*AJ24+PARÂMETROS!D23*AJ27+PARÂMETROS!D24*AJ30+PARÂMETROS!D25*AJ33+PARÂMETROS!D26*AJ36)/(PARÂMETROS!D16+PARÂMETROS!D17+PARÂMETROS!D18+PARÂMETROS!D19+PARÂMETROS!D20+PARÂMETROS!D21+PARÂMETROS!D22+PARÂMETROS!D23+PARÂMETROS!D24+PARÂMETROS!D25+PARÂMETROS!D26),0)</f>
        <v/>
      </c>
    </row>
    <row r="71">
      <c r="A71" s="36" t="inlineStr">
        <is>
          <t>2027-W01</t>
        </is>
      </c>
      <c r="B71" s="32">
        <f>IF((PARÂMETROS!D16+PARÂMETROS!D17+PARÂMETROS!D18+PARÂMETROS!D19+PARÂMETROS!D20+PARÂMETROS!D21+PARÂMETROS!D22+PARÂMETROS!D23+PARÂMETROS!D24+PARÂMETROS!D25+PARÂMETROS!D26)&gt;0,(PARÂMETROS!D16*AK6+PARÂMETROS!D17*AK9+PARÂMETROS!D18*AK12+PARÂMETROS!D19*AK15+PARÂMETROS!D20*AK18+PARÂMETROS!D21*AK21+PARÂMETROS!D22*AK24+PARÂMETROS!D23*AK27+PARÂMETROS!D24*AK30+PARÂMETROS!D25*AK33+PARÂMETROS!D26*AK36)/(PARÂMETROS!D16+PARÂMETROS!D17+PARÂMETROS!D18+PARÂMETROS!D19+PARÂMETROS!D20+PARÂMETROS!D21+PARÂMETROS!D22+PARÂMETROS!D23+PARÂMETROS!D24+PARÂMETROS!D25+PARÂMETROS!D26),0)</f>
        <v/>
      </c>
    </row>
    <row r="72">
      <c r="A72" s="36" t="inlineStr">
        <is>
          <t>2027-W02</t>
        </is>
      </c>
      <c r="B72" s="32">
        <f>IF((PARÂMETROS!D16+PARÂMETROS!D17+PARÂMETROS!D18+PARÂMETROS!D19+PARÂMETROS!D20+PARÂMETROS!D21+PARÂMETROS!D22+PARÂMETROS!D23+PARÂMETROS!D24+PARÂMETROS!D25+PARÂMETROS!D26)&gt;0,(PARÂMETROS!D16*AL6+PARÂMETROS!D17*AL9+PARÂMETROS!D18*AL12+PARÂMETROS!D19*AL15+PARÂMETROS!D20*AL18+PARÂMETROS!D21*AL21+PARÂMETROS!D22*AL24+PARÂMETROS!D23*AL27+PARÂMETROS!D24*AL30+PARÂMETROS!D25*AL33+PARÂMETROS!D26*AL36)/(PARÂMETROS!D16+PARÂMETROS!D17+PARÂMETROS!D18+PARÂMETROS!D19+PARÂMETROS!D20+PARÂMETROS!D21+PARÂMETROS!D22+PARÂMETROS!D23+PARÂMETROS!D24+PARÂMETROS!D25+PARÂMETROS!D26),0)</f>
        <v/>
      </c>
    </row>
    <row r="73">
      <c r="A73" s="36" t="inlineStr">
        <is>
          <t>2027-W03</t>
        </is>
      </c>
      <c r="B73" s="32">
        <f>IF((PARÂMETROS!D16+PARÂMETROS!D17+PARÂMETROS!D18+PARÂMETROS!D19+PARÂMETROS!D20+PARÂMETROS!D21+PARÂMETROS!D22+PARÂMETROS!D23+PARÂMETROS!D24+PARÂMETROS!D25+PARÂMETROS!D26)&gt;0,(PARÂMETROS!D16*AM6+PARÂMETROS!D17*AM9+PARÂMETROS!D18*AM12+PARÂMETROS!D19*AM15+PARÂMETROS!D20*AM18+PARÂMETROS!D21*AM21+PARÂMETROS!D22*AM24+PARÂMETROS!D23*AM27+PARÂMETROS!D24*AM30+PARÂMETROS!D25*AM33+PARÂMETROS!D26*AM36)/(PARÂMETROS!D16+PARÂMETROS!D17+PARÂMETROS!D18+PARÂMETROS!D19+PARÂMETROS!D20+PARÂMETROS!D21+PARÂMETROS!D22+PARÂMETROS!D23+PARÂMETROS!D24+PARÂMETROS!D25+PARÂMETROS!D26),0)</f>
        <v/>
      </c>
    </row>
    <row r="74">
      <c r="A74" s="36" t="inlineStr">
        <is>
          <t>2027-W04</t>
        </is>
      </c>
      <c r="B74" s="32">
        <f>IF((PARÂMETROS!D16+PARÂMETROS!D17+PARÂMETROS!D18+PARÂMETROS!D19+PARÂMETROS!D20+PARÂMETROS!D21+PARÂMETROS!D22+PARÂMETROS!D23+PARÂMETROS!D24+PARÂMETROS!D25+PARÂMETROS!D26)&gt;0,(PARÂMETROS!D16*AN6+PARÂMETROS!D17*AN9+PARÂMETROS!D18*AN12+PARÂMETROS!D19*AN15+PARÂMETROS!D20*AN18+PARÂMETROS!D21*AN21+PARÂMETROS!D22*AN24+PARÂMETROS!D23*AN27+PARÂMETROS!D24*AN30+PARÂMETROS!D25*AN33+PARÂMETROS!D26*AN36)/(PARÂMETROS!D16+PARÂMETROS!D17+PARÂMETROS!D18+PARÂMETROS!D19+PARÂMETROS!D20+PARÂMETROS!D21+PARÂMETROS!D22+PARÂMETROS!D23+PARÂMETROS!D24+PARÂMETROS!D25+PARÂMETROS!D26),0)</f>
        <v/>
      </c>
    </row>
    <row r="75">
      <c r="A75" s="36" t="inlineStr">
        <is>
          <t>2027-W05</t>
        </is>
      </c>
      <c r="B75" s="32">
        <f>IF((PARÂMETROS!D16+PARÂMETROS!D17+PARÂMETROS!D18+PARÂMETROS!D19+PARÂMETROS!D20+PARÂMETROS!D21+PARÂMETROS!D22+PARÂMETROS!D23+PARÂMETROS!D24+PARÂMETROS!D25+PARÂMETROS!D26)&gt;0,(PARÂMETROS!D16*AO6+PARÂMETROS!D17*AO9+PARÂMETROS!D18*AO12+PARÂMETROS!D19*AO15+PARÂMETROS!D20*AO18+PARÂMETROS!D21*AO21+PARÂMETROS!D22*AO24+PARÂMETROS!D23*AO27+PARÂMETROS!D24*AO30+PARÂMETROS!D25*AO33+PARÂMETROS!D26*AO36)/(PARÂMETROS!D16+PARÂMETROS!D17+PARÂMETROS!D18+PARÂMETROS!D19+PARÂMETROS!D20+PARÂMETROS!D21+PARÂMETROS!D22+PARÂMETROS!D23+PARÂMETROS!D24+PARÂMETROS!D25+PARÂMETROS!D26),0)</f>
        <v/>
      </c>
    </row>
    <row r="76">
      <c r="A76" s="36" t="inlineStr">
        <is>
          <t>2027-W06</t>
        </is>
      </c>
      <c r="B76" s="32">
        <f>IF((PARÂMETROS!D16+PARÂMETROS!D17+PARÂMETROS!D18+PARÂMETROS!D19+PARÂMETROS!D20+PARÂMETROS!D21+PARÂMETROS!D22+PARÂMETROS!D23+PARÂMETROS!D24+PARÂMETROS!D25+PARÂMETROS!D26)&gt;0,(PARÂMETROS!D16*AP6+PARÂMETROS!D17*AP9+PARÂMETROS!D18*AP12+PARÂMETROS!D19*AP15+PARÂMETROS!D20*AP18+PARÂMETROS!D21*AP21+PARÂMETROS!D22*AP24+PARÂMETROS!D23*AP27+PARÂMETROS!D24*AP30+PARÂMETROS!D25*AP33+PARÂMETROS!D26*AP36)/(PARÂMETROS!D16+PARÂMETROS!D17+PARÂMETROS!D18+PARÂMETROS!D19+PARÂMETROS!D20+PARÂMETROS!D21+PARÂMETROS!D22+PARÂMETROS!D23+PARÂMETROS!D24+PARÂMETROS!D25+PARÂMETROS!D26),0)</f>
        <v/>
      </c>
    </row>
    <row r="77">
      <c r="A77" s="36" t="inlineStr">
        <is>
          <t>2027-W07</t>
        </is>
      </c>
      <c r="B77" s="32">
        <f>IF((PARÂMETROS!D16+PARÂMETROS!D17+PARÂMETROS!D18+PARÂMETROS!D19+PARÂMETROS!D20+PARÂMETROS!D21+PARÂMETROS!D22+PARÂMETROS!D23+PARÂMETROS!D24+PARÂMETROS!D25+PARÂMETROS!D26)&gt;0,(PARÂMETROS!D16*AQ6+PARÂMETROS!D17*AQ9+PARÂMETROS!D18*AQ12+PARÂMETROS!D19*AQ15+PARÂMETROS!D20*AQ18+PARÂMETROS!D21*AQ21+PARÂMETROS!D22*AQ24+PARÂMETROS!D23*AQ27+PARÂMETROS!D24*AQ30+PARÂMETROS!D25*AQ33+PARÂMETROS!D26*AQ36)/(PARÂMETROS!D16+PARÂMETROS!D17+PARÂMETROS!D18+PARÂMETROS!D19+PARÂMETROS!D20+PARÂMETROS!D21+PARÂMETROS!D22+PARÂMETROS!D23+PARÂMETROS!D24+PARÂMETROS!D25+PARÂMETROS!D26),0)</f>
        <v/>
      </c>
    </row>
    <row r="78">
      <c r="A78" s="36" t="inlineStr">
        <is>
          <t>2027-W08</t>
        </is>
      </c>
      <c r="B78" s="32">
        <f>IF((PARÂMETROS!D16+PARÂMETROS!D17+PARÂMETROS!D18+PARÂMETROS!D19+PARÂMETROS!D20+PARÂMETROS!D21+PARÂMETROS!D22+PARÂMETROS!D23+PARÂMETROS!D24+PARÂMETROS!D25+PARÂMETROS!D26)&gt;0,(PARÂMETROS!D16*AR6+PARÂMETROS!D17*AR9+PARÂMETROS!D18*AR12+PARÂMETROS!D19*AR15+PARÂMETROS!D20*AR18+PARÂMETROS!D21*AR21+PARÂMETROS!D22*AR24+PARÂMETROS!D23*AR27+PARÂMETROS!D24*AR30+PARÂMETROS!D25*AR33+PARÂMETROS!D26*AR36)/(PARÂMETROS!D16+PARÂMETROS!D17+PARÂMETROS!D18+PARÂMETROS!D19+PARÂMETROS!D20+PARÂMETROS!D21+PARÂMETROS!D22+PARÂMETROS!D23+PARÂMETROS!D24+PARÂMETROS!D25+PARÂMETROS!D26),0)</f>
        <v/>
      </c>
    </row>
    <row r="79">
      <c r="A79" s="36" t="inlineStr">
        <is>
          <t>2027-W09</t>
        </is>
      </c>
      <c r="B79" s="32">
        <f>IF((PARÂMETROS!D16+PARÂMETROS!D17+PARÂMETROS!D18+PARÂMETROS!D19+PARÂMETROS!D20+PARÂMETROS!D21+PARÂMETROS!D22+PARÂMETROS!D23+PARÂMETROS!D24+PARÂMETROS!D25+PARÂMETROS!D26)&gt;0,(PARÂMETROS!D16*AS6+PARÂMETROS!D17*AS9+PARÂMETROS!D18*AS12+PARÂMETROS!D19*AS15+PARÂMETROS!D20*AS18+PARÂMETROS!D21*AS21+PARÂMETROS!D22*AS24+PARÂMETROS!D23*AS27+PARÂMETROS!D24*AS30+PARÂMETROS!D25*AS33+PARÂMETROS!D26*AS36)/(PARÂMETROS!D16+PARÂMETROS!D17+PARÂMETROS!D18+PARÂMETROS!D19+PARÂMETROS!D20+PARÂMETROS!D21+PARÂMETROS!D22+PARÂMETROS!D23+PARÂMETROS!D24+PARÂMETROS!D25+PARÂMETROS!D26),0)</f>
        <v/>
      </c>
    </row>
    <row r="80">
      <c r="A80" s="36" t="inlineStr">
        <is>
          <t>2027-W10</t>
        </is>
      </c>
      <c r="B80" s="32">
        <f>IF((PARÂMETROS!D16+PARÂMETROS!D17+PARÂMETROS!D18+PARÂMETROS!D19+PARÂMETROS!D20+PARÂMETROS!D21+PARÂMETROS!D22+PARÂMETROS!D23+PARÂMETROS!D24+PARÂMETROS!D25+PARÂMETROS!D26)&gt;0,(PARÂMETROS!D16*AT6+PARÂMETROS!D17*AT9+PARÂMETROS!D18*AT12+PARÂMETROS!D19*AT15+PARÂMETROS!D20*AT18+PARÂMETROS!D21*AT21+PARÂMETROS!D22*AT24+PARÂMETROS!D23*AT27+PARÂMETROS!D24*AT30+PARÂMETROS!D25*AT33+PARÂMETROS!D26*AT36)/(PARÂMETROS!D16+PARÂMETROS!D17+PARÂMETROS!D18+PARÂMETROS!D19+PARÂMETROS!D20+PARÂMETROS!D21+PARÂMETROS!D22+PARÂMETROS!D23+PARÂMETROS!D24+PARÂMETROS!D25+PARÂMETROS!D26),0)</f>
        <v/>
      </c>
    </row>
    <row r="81">
      <c r="A81" s="36" t="inlineStr">
        <is>
          <t>2027-W11</t>
        </is>
      </c>
      <c r="B81" s="32">
        <f>IF((PARÂMETROS!D16+PARÂMETROS!D17+PARÂMETROS!D18+PARÂMETROS!D19+PARÂMETROS!D20+PARÂMETROS!D21+PARÂMETROS!D22+PARÂMETROS!D23+PARÂMETROS!D24+PARÂMETROS!D25+PARÂMETROS!D26)&gt;0,(PARÂMETROS!D16*AU6+PARÂMETROS!D17*AU9+PARÂMETROS!D18*AU12+PARÂMETROS!D19*AU15+PARÂMETROS!D20*AU18+PARÂMETROS!D21*AU21+PARÂMETROS!D22*AU24+PARÂMETROS!D23*AU27+PARÂMETROS!D24*AU30+PARÂMETROS!D25*AU33+PARÂMETROS!D26*AU36)/(PARÂMETROS!D16+PARÂMETROS!D17+PARÂMETROS!D18+PARÂMETROS!D19+PARÂMETROS!D20+PARÂMETROS!D21+PARÂMETROS!D22+PARÂMETROS!D23+PARÂMETROS!D24+PARÂMETROS!D25+PARÂMETROS!D26),0)</f>
        <v/>
      </c>
    </row>
    <row r="82">
      <c r="A82" s="36" t="inlineStr">
        <is>
          <t>2027-W12</t>
        </is>
      </c>
      <c r="B82" s="32">
        <f>IF((PARÂMETROS!D16+PARÂMETROS!D17+PARÂMETROS!D18+PARÂMETROS!D19+PARÂMETROS!D20+PARÂMETROS!D21+PARÂMETROS!D22+PARÂMETROS!D23+PARÂMETROS!D24+PARÂMETROS!D25+PARÂMETROS!D26)&gt;0,(PARÂMETROS!D16*AV6+PARÂMETROS!D17*AV9+PARÂMETROS!D18*AV12+PARÂMETROS!D19*AV15+PARÂMETROS!D20*AV18+PARÂMETROS!D21*AV21+PARÂMETROS!D22*AV24+PARÂMETROS!D23*AV27+PARÂMETROS!D24*AV30+PARÂMETROS!D25*AV33+PARÂMETROS!D26*AV36)/(PARÂMETROS!D16+PARÂMETROS!D17+PARÂMETROS!D18+PARÂMETROS!D19+PARÂMETROS!D20+PARÂMETROS!D21+PARÂMETROS!D22+PARÂMETROS!D23+PARÂMETROS!D24+PARÂMETROS!D25+PARÂMETROS!D26),0)</f>
        <v/>
      </c>
    </row>
    <row r="83">
      <c r="A83" s="36" t="inlineStr">
        <is>
          <t>2027-W13</t>
        </is>
      </c>
      <c r="B83" s="32">
        <f>IF((PARÂMETROS!D16+PARÂMETROS!D17+PARÂMETROS!D18+PARÂMETROS!D19+PARÂMETROS!D20+PARÂMETROS!D21+PARÂMETROS!D22+PARÂMETROS!D23+PARÂMETROS!D24+PARÂMETROS!D25+PARÂMETROS!D26)&gt;0,(PARÂMETROS!D16*AW6+PARÂMETROS!D17*AW9+PARÂMETROS!D18*AW12+PARÂMETROS!D19*AW15+PARÂMETROS!D20*AW18+PARÂMETROS!D21*AW21+PARÂMETROS!D22*AW24+PARÂMETROS!D23*AW27+PARÂMETROS!D24*AW30+PARÂMETROS!D25*AW33+PARÂMETROS!D26*AW36)/(PARÂMETROS!D16+PARÂMETROS!D17+PARÂMETROS!D18+PARÂMETROS!D19+PARÂMETROS!D20+PARÂMETROS!D21+PARÂMETROS!D22+PARÂMETROS!D23+PARÂMETROS!D24+PARÂMETROS!D25+PARÂMETROS!D26),0)</f>
        <v/>
      </c>
    </row>
    <row r="84">
      <c r="A84" s="36" t="inlineStr">
        <is>
          <t>2027-W14</t>
        </is>
      </c>
      <c r="B84" s="32">
        <f>IF((PARÂMETROS!D16+PARÂMETROS!D17+PARÂMETROS!D18+PARÂMETROS!D19+PARÂMETROS!D20+PARÂMETROS!D21+PARÂMETROS!D22+PARÂMETROS!D23+PARÂMETROS!D24+PARÂMETROS!D25+PARÂMETROS!D26)&gt;0,(PARÂMETROS!D16*AX6+PARÂMETROS!D17*AX9+PARÂMETROS!D18*AX12+PARÂMETROS!D19*AX15+PARÂMETROS!D20*AX18+PARÂMETROS!D21*AX21+PARÂMETROS!D22*AX24+PARÂMETROS!D23*AX27+PARÂMETROS!D24*AX30+PARÂMETROS!D25*AX33+PARÂMETROS!D26*AX36)/(PARÂMETROS!D16+PARÂMETROS!D17+PARÂMETROS!D18+PARÂMETROS!D19+PARÂMETROS!D20+PARÂMETROS!D21+PARÂMETROS!D22+PARÂMETROS!D23+PARÂMETROS!D24+PARÂMETROS!D25+PARÂMETROS!D26),0)</f>
        <v/>
      </c>
    </row>
    <row r="85">
      <c r="A85" s="36" t="inlineStr">
        <is>
          <t>2027-W15</t>
        </is>
      </c>
      <c r="B85" s="32">
        <f>IF((PARÂMETROS!D16+PARÂMETROS!D17+PARÂMETROS!D18+PARÂMETROS!D19+PARÂMETROS!D20+PARÂMETROS!D21+PARÂMETROS!D22+PARÂMETROS!D23+PARÂMETROS!D24+PARÂMETROS!D25+PARÂMETROS!D26)&gt;0,(PARÂMETROS!D16*AY6+PARÂMETROS!D17*AY9+PARÂMETROS!D18*AY12+PARÂMETROS!D19*AY15+PARÂMETROS!D20*AY18+PARÂMETROS!D21*AY21+PARÂMETROS!D22*AY24+PARÂMETROS!D23*AY27+PARÂMETROS!D24*AY30+PARÂMETROS!D25*AY33+PARÂMETROS!D26*AY36)/(PARÂMETROS!D16+PARÂMETROS!D17+PARÂMETROS!D18+PARÂMETROS!D19+PARÂMETROS!D20+PARÂMETROS!D21+PARÂMETROS!D22+PARÂMETROS!D23+PARÂMETROS!D24+PARÂMETROS!D25+PARÂMETROS!D26),0)</f>
        <v/>
      </c>
    </row>
    <row r="86">
      <c r="A86" s="36" t="inlineStr">
        <is>
          <t>2027-W16</t>
        </is>
      </c>
      <c r="B86" s="32">
        <f>IF((PARÂMETROS!D16+PARÂMETROS!D17+PARÂMETROS!D18+PARÂMETROS!D19+PARÂMETROS!D20+PARÂMETROS!D21+PARÂMETROS!D22+PARÂMETROS!D23+PARÂMETROS!D24+PARÂMETROS!D25+PARÂMETROS!D26)&gt;0,(PARÂMETROS!D16*AZ6+PARÂMETROS!D17*AZ9+PARÂMETROS!D18*AZ12+PARÂMETROS!D19*AZ15+PARÂMETROS!D20*AZ18+PARÂMETROS!D21*AZ21+PARÂMETROS!D22*AZ24+PARÂMETROS!D23*AZ27+PARÂMETROS!D24*AZ30+PARÂMETROS!D25*AZ33+PARÂMETROS!D26*AZ36)/(PARÂMETROS!D16+PARÂMETROS!D17+PARÂMETROS!D18+PARÂMETROS!D19+PARÂMETROS!D20+PARÂMETROS!D21+PARÂMETROS!D22+PARÂMETROS!D23+PARÂMETROS!D24+PARÂMETROS!D25+PARÂMETROS!D26),0)</f>
        <v/>
      </c>
    </row>
    <row r="87">
      <c r="A87" s="36" t="inlineStr">
        <is>
          <t>2027-W17</t>
        </is>
      </c>
      <c r="B87" s="32">
        <f>IF((PARÂMETROS!D16+PARÂMETROS!D17+PARÂMETROS!D18+PARÂMETROS!D19+PARÂMETROS!D20+PARÂMETROS!D21+PARÂMETROS!D22+PARÂMETROS!D23+PARÂMETROS!D24+PARÂMETROS!D25+PARÂMETROS!D26)&gt;0,(PARÂMETROS!D16*BA6+PARÂMETROS!D17*BA9+PARÂMETROS!D18*BA12+PARÂMETROS!D19*BA15+PARÂMETROS!D20*BA18+PARÂMETROS!D21*BA21+PARÂMETROS!D22*BA24+PARÂMETROS!D23*BA27+PARÂMETROS!D24*BA30+PARÂMETROS!D25*BA33+PARÂMETROS!D26*BA36)/(PARÂMETROS!D16+PARÂMETROS!D17+PARÂMETROS!D18+PARÂMETROS!D19+PARÂMETROS!D20+PARÂMETROS!D21+PARÂMETROS!D22+PARÂMETROS!D23+PARÂMETROS!D24+PARÂMETROS!D25+PARÂMETROS!D26),0)</f>
        <v/>
      </c>
    </row>
    <row r="88">
      <c r="A88" s="36" t="inlineStr">
        <is>
          <t>2027-W18</t>
        </is>
      </c>
      <c r="B88" s="32">
        <f>IF((PARÂMETROS!D16+PARÂMETROS!D17+PARÂMETROS!D18+PARÂMETROS!D19+PARÂMETROS!D20+PARÂMETROS!D21+PARÂMETROS!D22+PARÂMETROS!D23+PARÂMETROS!D24+PARÂMETROS!D25+PARÂMETROS!D26)&gt;0,(PARÂMETROS!D16*BB6+PARÂMETROS!D17*BB9+PARÂMETROS!D18*BB12+PARÂMETROS!D19*BB15+PARÂMETROS!D20*BB18+PARÂMETROS!D21*BB21+PARÂMETROS!D22*BB24+PARÂMETROS!D23*BB27+PARÂMETROS!D24*BB30+PARÂMETROS!D25*BB33+PARÂMETROS!D26*BB36)/(PARÂMETROS!D16+PARÂMETROS!D17+PARÂMETROS!D18+PARÂMETROS!D19+PARÂMETROS!D20+PARÂMETROS!D21+PARÂMETROS!D22+PARÂMETROS!D23+PARÂMETROS!D24+PARÂMETROS!D25+PARÂMETROS!D26),0)</f>
        <v/>
      </c>
    </row>
    <row r="89">
      <c r="A89" s="36" t="inlineStr">
        <is>
          <t>2027-W19</t>
        </is>
      </c>
      <c r="B89" s="32">
        <f>IF((PARÂMETROS!D16+PARÂMETROS!D17+PARÂMETROS!D18+PARÂMETROS!D19+PARÂMETROS!D20+PARÂMETROS!D21+PARÂMETROS!D22+PARÂMETROS!D23+PARÂMETROS!D24+PARÂMETROS!D25+PARÂMETROS!D26)&gt;0,(PARÂMETROS!D16*BC6+PARÂMETROS!D17*BC9+PARÂMETROS!D18*BC12+PARÂMETROS!D19*BC15+PARÂMETROS!D20*BC18+PARÂMETROS!D21*BC21+PARÂMETROS!D22*BC24+PARÂMETROS!D23*BC27+PARÂMETROS!D24*BC30+PARÂMETROS!D25*BC33+PARÂMETROS!D26*BC36)/(PARÂMETROS!D16+PARÂMETROS!D17+PARÂMETROS!D18+PARÂMETROS!D19+PARÂMETROS!D20+PARÂMETROS!D21+PARÂMETROS!D22+PARÂMETROS!D23+PARÂMETROS!D24+PARÂMETROS!D25+PARÂMETROS!D26),0)</f>
        <v/>
      </c>
    </row>
    <row r="90">
      <c r="A90" s="36" t="inlineStr">
        <is>
          <t>2027-W20</t>
        </is>
      </c>
      <c r="B90" s="32">
        <f>IF((PARÂMETROS!D16+PARÂMETROS!D17+PARÂMETROS!D18+PARÂMETROS!D19+PARÂMETROS!D20+PARÂMETROS!D21+PARÂMETROS!D22+PARÂMETROS!D23+PARÂMETROS!D24+PARÂMETROS!D25+PARÂMETROS!D26)&gt;0,(PARÂMETROS!D16*BD6+PARÂMETROS!D17*BD9+PARÂMETROS!D18*BD12+PARÂMETROS!D19*BD15+PARÂMETROS!D20*BD18+PARÂMETROS!D21*BD21+PARÂMETROS!D22*BD24+PARÂMETROS!D23*BD27+PARÂMETROS!D24*BD30+PARÂMETROS!D25*BD33+PARÂMETROS!D26*BD36)/(PARÂMETROS!D16+PARÂMETROS!D17+PARÂMETROS!D18+PARÂMETROS!D19+PARÂMETROS!D20+PARÂMETROS!D21+PARÂMETROS!D22+PARÂMETROS!D23+PARÂMETROS!D24+PARÂMETROS!D25+PARÂMETROS!D26),0)</f>
        <v/>
      </c>
    </row>
    <row r="91">
      <c r="A91" s="36" t="inlineStr">
        <is>
          <t>2027-W21</t>
        </is>
      </c>
      <c r="B91" s="32">
        <f>IF((PARÂMETROS!D16+PARÂMETROS!D17+PARÂMETROS!D18+PARÂMETROS!D19+PARÂMETROS!D20+PARÂMETROS!D21+PARÂMETROS!D22+PARÂMETROS!D23+PARÂMETROS!D24+PARÂMETROS!D25+PARÂMETROS!D26)&gt;0,(PARÂMETROS!D16*BE6+PARÂMETROS!D17*BE9+PARÂMETROS!D18*BE12+PARÂMETROS!D19*BE15+PARÂMETROS!D20*BE18+PARÂMETROS!D21*BE21+PARÂMETROS!D22*BE24+PARÂMETROS!D23*BE27+PARÂMETROS!D24*BE30+PARÂMETROS!D25*BE33+PARÂMETROS!D26*BE36)/(PARÂMETROS!D16+PARÂMETROS!D17+PARÂMETROS!D18+PARÂMETROS!D19+PARÂMETROS!D20+PARÂMETROS!D21+PARÂMETROS!D22+PARÂMETROS!D23+PARÂMETROS!D24+PARÂMETROS!D25+PARÂMETROS!D26),0)</f>
        <v/>
      </c>
    </row>
    <row r="92">
      <c r="A92" s="36" t="inlineStr">
        <is>
          <t>2027-W22</t>
        </is>
      </c>
      <c r="B92" s="32">
        <f>IF((PARÂMETROS!D16+PARÂMETROS!D17+PARÂMETROS!D18+PARÂMETROS!D19+PARÂMETROS!D20+PARÂMETROS!D21+PARÂMETROS!D22+PARÂMETROS!D23+PARÂMETROS!D24+PARÂMETROS!D25+PARÂMETROS!D26)&gt;0,(PARÂMETROS!D16*BF6+PARÂMETROS!D17*BF9+PARÂMETROS!D18*BF12+PARÂMETROS!D19*BF15+PARÂMETROS!D20*BF18+PARÂMETROS!D21*BF21+PARÂMETROS!D22*BF24+PARÂMETROS!D23*BF27+PARÂMETROS!D24*BF30+PARÂMETROS!D25*BF33+PARÂMETROS!D26*BF36)/(PARÂMETROS!D16+PARÂMETROS!D17+PARÂMETROS!D18+PARÂMETROS!D19+PARÂMETROS!D20+PARÂMETROS!D21+PARÂMETROS!D22+PARÂMETROS!D23+PARÂMETROS!D24+PARÂMETROS!D25+PARÂMETROS!D26),0)</f>
        <v/>
      </c>
    </row>
  </sheetData>
  <mergeCells count="4">
    <mergeCell ref="A3:F3"/>
    <mergeCell ref="A39:BG39"/>
    <mergeCell ref="A1:BF1"/>
    <mergeCell ref="A39:BB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INDIRETOS — FÓRMULAS SOBRE PARÂMETROS</t>
        </is>
      </c>
    </row>
    <row r="2">
      <c r="A2" s="2" t="inlineStr">
        <is>
          <t>Categoria</t>
        </is>
      </c>
      <c r="B2" s="2" t="inlineStr">
        <is>
          <t>Custo Mensal</t>
        </is>
      </c>
      <c r="C2" s="2" t="inlineStr">
        <is>
          <t>Permanência (mes.)</t>
        </is>
      </c>
      <c r="D2" s="2" t="inlineStr">
        <is>
          <t>Total s/BDI</t>
        </is>
      </c>
      <c r="E2" s="2" t="inlineStr">
        <is>
          <t>BDI Indireto</t>
        </is>
      </c>
      <c r="F2" s="2" t="inlineStr">
        <is>
          <t>Total c/BDI</t>
        </is>
      </c>
    </row>
    <row r="3">
      <c r="A3" s="37">
        <f>PARÂMETROS!A31</f>
        <v/>
      </c>
      <c r="B3" s="22">
        <f>PARÂMETROS!B31</f>
        <v/>
      </c>
      <c r="C3" s="23">
        <f>PARÂMETROS!C31</f>
        <v/>
      </c>
      <c r="D3" s="22">
        <f>B3*C3</f>
        <v/>
      </c>
      <c r="E3" s="32">
        <f>PARÂMETROS!$B$12</f>
        <v/>
      </c>
      <c r="F3" s="22">
        <f>D3*(1+E3)</f>
        <v/>
      </c>
    </row>
    <row r="4">
      <c r="A4" s="37">
        <f>PARÂMETROS!A32</f>
        <v/>
      </c>
      <c r="B4" s="22">
        <f>PARÂMETROS!B32</f>
        <v/>
      </c>
      <c r="C4" s="23">
        <f>PARÂMETROS!C32</f>
        <v/>
      </c>
      <c r="D4" s="22">
        <f>B4*C4</f>
        <v/>
      </c>
      <c r="E4" s="32">
        <f>PARÂMETROS!$B$12</f>
        <v/>
      </c>
      <c r="F4" s="22">
        <f>D4*(1+E4)</f>
        <v/>
      </c>
    </row>
    <row r="5">
      <c r="A5" s="37">
        <f>PARÂMETROS!A33</f>
        <v/>
      </c>
      <c r="B5" s="22">
        <f>PARÂMETROS!B33</f>
        <v/>
      </c>
      <c r="C5" s="23">
        <f>PARÂMETROS!C33</f>
        <v/>
      </c>
      <c r="D5" s="22">
        <f>B5*C5</f>
        <v/>
      </c>
      <c r="E5" s="32">
        <f>PARÂMETROS!$B$12</f>
        <v/>
      </c>
      <c r="F5" s="22">
        <f>D5*(1+E5)</f>
        <v/>
      </c>
    </row>
    <row r="6">
      <c r="A6" s="37">
        <f>PARÂMETROS!A34</f>
        <v/>
      </c>
      <c r="B6" s="22">
        <f>PARÂMETROS!B34</f>
        <v/>
      </c>
      <c r="C6" s="23">
        <f>PARÂMETROS!C34</f>
        <v/>
      </c>
      <c r="D6" s="22">
        <f>B6*C6</f>
        <v/>
      </c>
      <c r="E6" s="32">
        <f>PARÂMETROS!$B$12</f>
        <v/>
      </c>
      <c r="F6" s="22">
        <f>D6*(1+E6)</f>
        <v/>
      </c>
    </row>
    <row r="7">
      <c r="A7" s="37">
        <f>PARÂMETROS!A35</f>
        <v/>
      </c>
      <c r="B7" s="22">
        <f>PARÂMETROS!B35</f>
        <v/>
      </c>
      <c r="C7" s="23">
        <f>PARÂMETROS!C35</f>
        <v/>
      </c>
      <c r="D7" s="22">
        <f>B7*C7</f>
        <v/>
      </c>
      <c r="E7" s="32">
        <f>PARÂMETROS!$B$12</f>
        <v/>
      </c>
      <c r="F7" s="22">
        <f>D7*(1+E7)</f>
        <v/>
      </c>
    </row>
    <row r="8">
      <c r="A8" s="24" t="inlineStr">
        <is>
          <t>TOTAL</t>
        </is>
      </c>
      <c r="B8" s="25" t="n"/>
      <c r="C8" s="25" t="n"/>
      <c r="D8" s="38">
        <f>SUM(D3:D7)</f>
        <v/>
      </c>
      <c r="E8" s="25" t="n"/>
      <c r="F8" s="38">
        <f>SUM(F3:F7)</f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CONSOLIDAÇÃO FINANCEIRA — FÓRMULAS CROSS-SHEET</t>
        </is>
      </c>
    </row>
    <row r="2">
      <c r="A2" s="2" t="inlineStr">
        <is>
          <t>Indicador</t>
        </is>
      </c>
      <c r="B2" s="2" t="inlineStr">
        <is>
          <t>Concilium (R$)</t>
        </is>
      </c>
      <c r="C2" s="2" t="inlineStr">
        <is>
          <t>Referência (R$)</t>
        </is>
      </c>
      <c r="D2" s="2" t="inlineStr">
        <is>
          <t>Delta (R$)</t>
        </is>
      </c>
      <c r="E2" s="2" t="inlineStr">
        <is>
          <t>Delta (%)</t>
        </is>
      </c>
    </row>
    <row r="4">
      <c r="A4" s="39" t="inlineStr">
        <is>
          <t>DIRETO</t>
        </is>
      </c>
    </row>
    <row r="5">
      <c r="A5" s="40" t="inlineStr">
        <is>
          <t xml:space="preserve">  s/BDI (catálogo)</t>
        </is>
      </c>
      <c r="B5" s="22">
        <f>ORÇAMENTO!I14</f>
        <v/>
      </c>
      <c r="C5" s="41" t="n">
        <v>46771429.82</v>
      </c>
      <c r="D5" s="22">
        <f>B5-C5</f>
        <v/>
      </c>
      <c r="E5" s="32">
        <f>IF(C5&lt;&gt;0,(B5-C5)/C5,0)</f>
        <v/>
      </c>
    </row>
    <row r="6">
      <c r="A6" s="40" t="inlineStr">
        <is>
          <t xml:space="preserve">  c/BDI (catálogo)</t>
        </is>
      </c>
      <c r="B6" s="22">
        <f>ORÇAMENTO!J14</f>
        <v/>
      </c>
      <c r="C6" s="41" t="n">
        <v>76753980.59</v>
      </c>
      <c r="D6" s="22">
        <f>B6-C6</f>
        <v/>
      </c>
      <c r="E6" s="32">
        <f>IF(C6&lt;&gt;0,(B6-C6)/C6,0)</f>
        <v/>
      </c>
    </row>
    <row r="7">
      <c r="A7" s="40" t="inlineStr">
        <is>
          <t xml:space="preserve">  Custo equipes (running)</t>
        </is>
      </c>
      <c r="B7" s="22">
        <f>'CUSTOS DIR.'!I14</f>
        <v/>
      </c>
    </row>
    <row r="9">
      <c r="A9" s="39" t="inlineStr">
        <is>
          <t>INDIRETO</t>
        </is>
      </c>
    </row>
    <row r="10">
      <c r="A10" s="40" t="inlineStr">
        <is>
          <t xml:space="preserve">  s/BDI</t>
        </is>
      </c>
      <c r="B10" s="22">
        <f>INDIRETOS!D8</f>
        <v/>
      </c>
    </row>
    <row r="11">
      <c r="A11" s="40" t="inlineStr">
        <is>
          <t xml:space="preserve">  c/BDI</t>
        </is>
      </c>
      <c r="B11" s="22">
        <f>INDIRETOS!F8</f>
        <v/>
      </c>
    </row>
    <row r="13">
      <c r="A13" s="40" t="inlineStr">
        <is>
          <t>CUSTO TOTAL (catálogo)</t>
        </is>
      </c>
      <c r="B13" s="22">
        <f>B5+B10</f>
        <v/>
      </c>
      <c r="C13" s="41" t="n">
        <v>66275959.85</v>
      </c>
      <c r="D13" s="22">
        <f>B13-C13</f>
        <v/>
      </c>
      <c r="E13" s="32">
        <f>IF(C13&lt;&gt;0,(B13-C13)/C13,0)</f>
        <v/>
      </c>
    </row>
    <row r="14">
      <c r="A14" s="40" t="inlineStr">
        <is>
          <t>PREÇO DE VENDA</t>
        </is>
      </c>
      <c r="B14" s="22">
        <f>B6+B11</f>
        <v/>
      </c>
      <c r="C14" s="41" t="n">
        <v>76753980.59</v>
      </c>
      <c r="D14" s="22">
        <f>B14-C14</f>
        <v/>
      </c>
      <c r="E14" s="32">
        <f>IF(C14&lt;&gt;0,(B14-C14)/C14,0)</f>
        <v/>
      </c>
    </row>
    <row r="16">
      <c r="A16" s="40" t="inlineStr">
        <is>
          <t>MARGEM</t>
        </is>
      </c>
      <c r="B16" s="32">
        <f>IF(B14&gt;0,(B14-B13)/B14,0)</f>
        <v/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4" customWidth="1" min="15" max="15"/>
  </cols>
  <sheetData>
    <row r="1">
      <c r="A1" s="1" t="inlineStr">
        <is>
          <t>FLUXO DE CAIXA MENSAL — RECEITA E DESPESA (FÓRMULAS)</t>
        </is>
      </c>
    </row>
    <row r="2">
      <c r="C2" s="42" t="inlineStr">
        <is>
          <t>2026-06</t>
        </is>
      </c>
      <c r="D2" s="42" t="inlineStr">
        <is>
          <t>2026-07</t>
        </is>
      </c>
      <c r="E2" s="42" t="inlineStr">
        <is>
          <t>2026-08</t>
        </is>
      </c>
      <c r="F2" s="42" t="inlineStr">
        <is>
          <t>2026-09</t>
        </is>
      </c>
      <c r="G2" s="42" t="inlineStr">
        <is>
          <t>2026-10</t>
        </is>
      </c>
      <c r="H2" s="42" t="inlineStr">
        <is>
          <t>2026-11</t>
        </is>
      </c>
      <c r="I2" s="42" t="inlineStr">
        <is>
          <t>2026-12</t>
        </is>
      </c>
      <c r="J2" s="42" t="inlineStr">
        <is>
          <t>2027-01</t>
        </is>
      </c>
      <c r="K2" s="42" t="inlineStr">
        <is>
          <t>2027-02</t>
        </is>
      </c>
      <c r="L2" s="42" t="inlineStr">
        <is>
          <t>2027-03</t>
        </is>
      </c>
      <c r="M2" s="42" t="inlineStr">
        <is>
          <t>2027-04</t>
        </is>
      </c>
      <c r="N2" s="42" t="inlineStr">
        <is>
          <t>2027-05</t>
        </is>
      </c>
      <c r="O2" s="43" t="inlineStr">
        <is>
          <t>TOTAL</t>
        </is>
      </c>
    </row>
    <row r="3">
      <c r="A3" s="44" t="inlineStr">
        <is>
          <t>RECEITA (cron. × P.U. c/BDI)</t>
        </is>
      </c>
      <c r="C3" s="45" t="n">
        <v>9662535.09</v>
      </c>
      <c r="D3" s="45" t="n">
        <v>8781698.449999999</v>
      </c>
      <c r="E3" s="45" t="n">
        <v>8957201.720000001</v>
      </c>
      <c r="F3" s="45" t="n">
        <v>5252999.82</v>
      </c>
      <c r="G3" s="45" t="n">
        <v>4843614.25</v>
      </c>
      <c r="H3" s="45" t="n">
        <v>5479042.6</v>
      </c>
      <c r="I3" s="45" t="n">
        <v>2719441.96</v>
      </c>
      <c r="J3" s="45" t="n">
        <v>2173481.05</v>
      </c>
      <c r="K3" s="45" t="n">
        <v>1944970.43</v>
      </c>
      <c r="L3" s="45" t="n">
        <v>1955979.23</v>
      </c>
      <c r="M3" s="45" t="n">
        <v>1112905.72</v>
      </c>
      <c r="N3" s="45" t="n">
        <v>1796.54</v>
      </c>
      <c r="O3" s="46">
        <f>SUM(C3:N3)</f>
        <v/>
      </c>
    </row>
    <row r="4">
      <c r="A4" s="44" t="inlineStr">
        <is>
          <t>CUSTO DIRETO (equipes)</t>
        </is>
      </c>
      <c r="C4" s="45" t="n">
        <v>2762159.7</v>
      </c>
      <c r="D4" s="45" t="n">
        <v>2397614.4</v>
      </c>
      <c r="E4" s="45" t="n">
        <v>2308890.17</v>
      </c>
      <c r="F4" s="45" t="n">
        <v>2308890.17</v>
      </c>
      <c r="G4" s="45" t="n">
        <v>2308890.17</v>
      </c>
      <c r="H4" s="45" t="n">
        <v>2308890.17</v>
      </c>
      <c r="I4" s="45" t="n">
        <v>1815206.97</v>
      </c>
      <c r="J4" s="45" t="n">
        <v>1815206.97</v>
      </c>
      <c r="K4" s="45" t="n">
        <v>1815206.97</v>
      </c>
      <c r="L4" s="45" t="n">
        <v>1815206.97</v>
      </c>
      <c r="M4" s="45" t="n">
        <v>1815206.97</v>
      </c>
      <c r="N4" s="45" t="n">
        <v>1611133.35</v>
      </c>
      <c r="O4" s="46">
        <f>SUM(C4:N4)</f>
        <v/>
      </c>
    </row>
    <row r="5">
      <c r="A5" s="44" t="inlineStr">
        <is>
          <t>CUSTO INDIRETO (mensal)</t>
        </is>
      </c>
      <c r="C5" s="45" t="n">
        <v>1506782.49</v>
      </c>
      <c r="D5" s="45" t="n">
        <v>1506782.49</v>
      </c>
      <c r="E5" s="45" t="n">
        <v>1506782.49</v>
      </c>
      <c r="F5" s="45" t="n">
        <v>1506782.49</v>
      </c>
      <c r="G5" s="45" t="n">
        <v>1506782.49</v>
      </c>
      <c r="H5" s="45" t="n">
        <v>1506782.49</v>
      </c>
      <c r="I5" s="45" t="n">
        <v>1506782.49</v>
      </c>
      <c r="J5" s="45" t="n">
        <v>1506782.49</v>
      </c>
      <c r="K5" s="45" t="n">
        <v>1506782.49</v>
      </c>
      <c r="L5" s="45" t="n">
        <v>1506782.49</v>
      </c>
      <c r="M5" s="45" t="n">
        <v>1506782.49</v>
      </c>
      <c r="N5" s="45" t="n">
        <v>1506782.49</v>
      </c>
      <c r="O5" s="46">
        <f>SUM(C5:N5)</f>
        <v/>
      </c>
    </row>
    <row r="6">
      <c r="A6" s="44" t="inlineStr">
        <is>
          <t>SALDO MENSAL</t>
        </is>
      </c>
      <c r="C6" s="46">
        <f>C3-C4-C5</f>
        <v/>
      </c>
      <c r="D6" s="46">
        <f>D3-D4-D5</f>
        <v/>
      </c>
      <c r="E6" s="46">
        <f>E3-E4-E5</f>
        <v/>
      </c>
      <c r="F6" s="46">
        <f>F3-F4-F5</f>
        <v/>
      </c>
      <c r="G6" s="46">
        <f>G3-G4-G5</f>
        <v/>
      </c>
      <c r="H6" s="46">
        <f>H3-H4-H5</f>
        <v/>
      </c>
      <c r="I6" s="46">
        <f>I3-I4-I5</f>
        <v/>
      </c>
      <c r="J6" s="46">
        <f>J3-J4-J5</f>
        <v/>
      </c>
      <c r="K6" s="46">
        <f>K3-K4-K5</f>
        <v/>
      </c>
      <c r="L6" s="46">
        <f>L3-L4-L5</f>
        <v/>
      </c>
      <c r="M6" s="46">
        <f>M3-M4-M5</f>
        <v/>
      </c>
      <c r="N6" s="46">
        <f>N3-N4-N5</f>
        <v/>
      </c>
      <c r="O6" s="46">
        <f>SUM(C6:N6)</f>
        <v/>
      </c>
    </row>
    <row r="7">
      <c r="A7" s="44" t="inlineStr">
        <is>
          <t>SALDO ACUMULADO</t>
        </is>
      </c>
      <c r="C7" s="46">
        <f>C6</f>
        <v/>
      </c>
      <c r="D7" s="46">
        <f>C7+D6</f>
        <v/>
      </c>
      <c r="E7" s="46">
        <f>D7+E6</f>
        <v/>
      </c>
      <c r="F7" s="46">
        <f>E7+F6</f>
        <v/>
      </c>
      <c r="G7" s="46">
        <f>F7+G6</f>
        <v/>
      </c>
      <c r="H7" s="46">
        <f>G7+H6</f>
        <v/>
      </c>
      <c r="I7" s="46">
        <f>H7+I6</f>
        <v/>
      </c>
      <c r="J7" s="46">
        <f>I7+J6</f>
        <v/>
      </c>
      <c r="K7" s="46">
        <f>J7+K6</f>
        <v/>
      </c>
      <c r="L7" s="46">
        <f>K7+L6</f>
        <v/>
      </c>
      <c r="M7" s="46">
        <f>L7+M6</f>
        <v/>
      </c>
      <c r="N7" s="46">
        <f>M7+N6</f>
        <v/>
      </c>
    </row>
  </sheetData>
  <mergeCells count="1">
    <mergeCell ref="A1:P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1" t="inlineStr">
        <is>
          <t>REFERÊNCIA — VALORES CALCULADOS PELO CONCILIUM</t>
        </is>
      </c>
    </row>
    <row r="2">
      <c r="A2" s="2" t="inlineStr">
        <is>
          <t>Indicador</t>
        </is>
      </c>
      <c r="B2" s="2" t="inlineStr">
        <is>
          <t>Valor calculado (R$)</t>
        </is>
      </c>
      <c r="C2" s="2" t="inlineStr">
        <is>
          <t>Base de cálculo</t>
        </is>
      </c>
    </row>
    <row r="3">
      <c r="A3" s="12" t="inlineStr">
        <is>
          <t>Custo Direto — Catálogo (s/BDI)</t>
        </is>
      </c>
      <c r="B3" s="41" t="n">
        <v>46771429.82</v>
      </c>
      <c r="C3" s="4" t="inlineStr">
        <is>
          <t>Σ(qtd × P.U.s/BDI)</t>
        </is>
      </c>
    </row>
    <row r="4">
      <c r="A4" s="12" t="inlineStr">
        <is>
          <t>Custo Direto — Equipes (running cost)</t>
        </is>
      </c>
      <c r="B4" s="41" t="n">
        <v>74540391.38</v>
      </c>
      <c r="C4" s="4" t="inlineStr">
        <is>
          <t>Σ(fixo_mensal × permanência)</t>
        </is>
      </c>
    </row>
    <row r="5">
      <c r="A5" s="12" t="inlineStr">
        <is>
          <t>Custo Indireto</t>
        </is>
      </c>
      <c r="B5" s="41" t="n">
        <v>19504530.03</v>
      </c>
      <c r="C5" s="4" t="inlineStr">
        <is>
          <t>Σ por categoria</t>
        </is>
      </c>
    </row>
    <row r="6">
      <c r="A6" s="12" t="inlineStr">
        <is>
          <t>Custo Total (catálogo + indireto)</t>
        </is>
      </c>
      <c r="B6" s="41" t="n">
        <v>66275959.85</v>
      </c>
      <c r="C6" s="4" t="inlineStr">
        <is>
          <t>direto_cat + indireto</t>
        </is>
      </c>
    </row>
    <row r="7">
      <c r="A7" s="12" t="inlineStr">
        <is>
          <t>Preço de Venda (catálogo c/BDI + indireto)</t>
        </is>
      </c>
      <c r="B7" s="41" t="n">
        <v>76753980.59</v>
      </c>
      <c r="C7" s="4" t="inlineStr">
        <is>
          <t>Σ(qtd×P.U.c/BDI) + ind×(1+BDI_ind)</t>
        </is>
      </c>
    </row>
    <row r="8">
      <c r="A8" s="12" t="inlineStr">
        <is>
          <t>Margem</t>
        </is>
      </c>
      <c r="B8" s="47" t="n">
        <v>0.1365143626357425</v>
      </c>
      <c r="C8" s="4" t="inlineStr">
        <is>
          <t>(preco_venda - custo_total) / preco_venda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2026-05-13T18:25:26Z</dcterms:created>
  <dcterms:modified xsi:type="dcterms:W3CDTF">2026-05-13T18:25:27Z</dcterms:modified>
</cp:coreProperties>
</file>