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DI" sheetId="1" state="visible" r:id="rId1"/>
    <sheet name="DIRETOS.DET" sheetId="2" state="visible" r:id="rId2"/>
    <sheet name="DIRETOS.RES" sheetId="3" state="visible" r:id="rId3"/>
    <sheet name="INDIRETOS.DET" sheetId="4" state="visible" r:id="rId4"/>
    <sheet name="INDIRETOS.RES" sheetId="5" state="visible" r:id="rId5"/>
    <sheet name="PLANEJAMENTO" sheetId="6" state="visible" r:id="rId6"/>
    <sheet name="CRONOGRAMA.DET" sheetId="7" state="visible" r:id="rId7"/>
    <sheet name="CRONOGRAMA.RES" sheetId="8" state="visible" r:id="rId8"/>
    <sheet name="EQUIPE" sheetId="9" state="visible" r:id="rId9"/>
    <sheet name="EQUILIBRIO" sheetId="10" state="visible" r:id="rId10"/>
    <sheet name="RESULTADO" sheetId="11" state="visible" r:id="rId11"/>
    <sheet name="ANALISE.FC_CAIXA" sheetId="12" state="visible" r:id="rId12"/>
    <sheet name="HIST.EQUIPAMENTOS" sheetId="13" state="visible" r:id="rId13"/>
    <sheet name="HIST.MAO_OBRA" sheetId="14" state="visible" r:id="rId14"/>
  </sheets>
  <definedNames>
    <definedName name="TOTAL_DIRETO">'DIRETOS.DET'!$I$99</definedName>
    <definedName name="DIRETOS_RES_SEM_BDI">'DIRETOS.RES'!$I$15</definedName>
    <definedName name="DIRETOS_RES_COM_BDI">'DIRETOS.RES'!$N$15</definedName>
    <definedName name="TOTAL_ADM">'INDIRETOS.DET'!$H$5</definedName>
    <definedName name="TOTAL_TOP">'INDIRETOS.DET'!$H$8</definedName>
    <definedName name="TOTAL_LAB">'INDIRETOS.DET'!$H$11</definedName>
    <definedName name="TOTAL_QSMS">'INDIRETOS.DET'!$H$14</definedName>
    <definedName name="TOTAL_MOB">'INDIRETOS.DET'!$H$17</definedName>
    <definedName name="TOTAL_INDIRETO">'INDIRETOS.DET'!$H$19</definedName>
    <definedName name="TOTAL_SEM_BDI">PLANEJAMENTO!$M$15</definedName>
    <definedName name="TOTAL_COM_BDI">PLANEJAMENTO!$N$15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R$ #,##0.00"/>
    <numFmt numFmtId="166" formatCode="#,##0.##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color rgb="001A3A5C"/>
      <sz val="10"/>
    </font>
    <font>
      <name val="Calibri"/>
      <b val="1"/>
      <color rgb="00C05C18"/>
      <sz val="10"/>
    </font>
    <font>
      <name val="Calibri"/>
      <color rgb="001A202C"/>
      <sz val="10"/>
    </font>
    <font>
      <name val="Calibri"/>
      <b val="1"/>
      <color rgb="00276749"/>
      <sz val="10"/>
    </font>
    <font>
      <name val="Calibri"/>
      <color rgb="00C05C18"/>
      <sz val="10"/>
    </font>
    <font>
      <name val="Calibri"/>
      <b val="1"/>
      <color rgb="001A202C"/>
      <sz val="10"/>
    </font>
    <font>
      <name val="Calibri"/>
      <b val="1"/>
      <color rgb="00FFFFFF"/>
      <sz val="11"/>
    </font>
    <font>
      <name val="Calibri"/>
      <b val="1"/>
      <color rgb="0092400E"/>
      <sz val="10"/>
    </font>
    <font>
      <name val="Calibri"/>
      <color rgb="001A3A5C"/>
      <sz val="10"/>
    </font>
    <font>
      <name val="Calibri"/>
      <b val="1"/>
      <color rgb="009B1C1C"/>
      <sz val="10"/>
    </font>
    <font>
      <name val="Calibri"/>
      <b val="1"/>
      <color rgb="00276749"/>
      <sz val="14"/>
    </font>
    <font>
      <name val="Calibri"/>
      <color rgb="009B1C1C"/>
      <sz val="10"/>
    </font>
    <font>
      <name val="Calibri"/>
      <color rgb="002B6CB0"/>
      <sz val="10"/>
    </font>
    <font>
      <name val="Calibri"/>
      <color rgb="00276749"/>
      <sz val="10"/>
    </font>
    <font>
      <name val="Calibri"/>
      <i val="1"/>
      <color rgb="00555555"/>
      <sz val="9"/>
    </font>
  </fonts>
  <fills count="14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FFFFFF"/>
        <bgColor rgb="00FFFFFF"/>
      </patternFill>
    </fill>
    <fill>
      <patternFill patternType="solid">
        <fgColor rgb="00F0F5FA"/>
        <bgColor rgb="00F0F5FA"/>
      </patternFill>
    </fill>
    <fill>
      <patternFill patternType="solid">
        <fgColor rgb="00F7FAFC"/>
        <bgColor rgb="00F7FAFC"/>
      </patternFill>
    </fill>
    <fill>
      <patternFill patternType="solid">
        <fgColor rgb="00F5E6D8"/>
        <bgColor rgb="00F5E6D8"/>
      </patternFill>
    </fill>
    <fill>
      <patternFill patternType="solid">
        <fgColor rgb="002B6CB0"/>
        <bgColor rgb="002B6CB0"/>
      </patternFill>
    </fill>
    <fill>
      <patternFill patternType="solid">
        <fgColor rgb="00FFFF33"/>
        <bgColor rgb="00FFFF33"/>
      </patternFill>
    </fill>
    <fill>
      <patternFill patternType="solid">
        <fgColor rgb="00FFA500"/>
        <bgColor rgb="00FFA500"/>
      </patternFill>
    </fill>
    <fill>
      <patternFill patternType="solid">
        <fgColor rgb="00FEF3C7"/>
        <bgColor rgb="00FEF3C7"/>
      </patternFill>
    </fill>
    <fill>
      <patternFill patternType="solid">
        <fgColor rgb="00EAD9C3"/>
        <bgColor rgb="00EAD9C3"/>
      </patternFill>
    </fill>
    <fill>
      <patternFill patternType="solid">
        <fgColor rgb="00FADDDD"/>
        <bgColor rgb="00FADDDD"/>
      </patternFill>
    </fill>
    <fill>
      <patternFill patternType="solid">
        <fgColor rgb="00DCEEE5"/>
        <bgColor rgb="00DCEEE5"/>
      </patternFill>
    </fill>
  </fills>
  <borders count="6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/>
      <right/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/>
      <diagonal/>
    </border>
    <border>
      <left/>
      <right style="thin">
        <color rgb="00CBD5E0"/>
      </right>
      <top style="thin">
        <color rgb="00CBD5E0"/>
      </top>
      <bottom style="thin">
        <color rgb="00CBD5E0"/>
      </bottom>
      <diagonal/>
    </border>
    <border>
      <left/>
      <right/>
      <top style="thin">
        <color rgb="00CBD5E0"/>
      </top>
      <bottom style="thin">
        <color rgb="00CBD5E0"/>
      </bottom>
      <diagonal/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0" fillId="6" borderId="1" pivotButton="0" quotePrefix="0" xfId="0"/>
    <xf numFmtId="165" fontId="4" fillId="6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right" vertical="center"/>
    </xf>
    <xf numFmtId="165" fontId="2" fillId="2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/>
    </xf>
    <xf numFmtId="166" fontId="0" fillId="3" borderId="1" applyAlignment="1" pivotButton="0" quotePrefix="0" xfId="0">
      <alignment horizontal="right" vertical="center"/>
    </xf>
    <xf numFmtId="4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left" vertical="center"/>
    </xf>
    <xf numFmtId="166" fontId="0" fillId="4" borderId="1" applyAlignment="1" pivotButton="0" quotePrefix="0" xfId="0">
      <alignment horizontal="right" vertical="center"/>
    </xf>
    <xf numFmtId="4" fontId="0" fillId="4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2" borderId="1" pivotButton="0" quotePrefix="0" xfId="0"/>
    <xf numFmtId="0" fontId="8" fillId="5" borderId="1" applyAlignment="1" pivotButton="0" quotePrefix="0" xfId="0">
      <alignment horizontal="left" vertical="center"/>
    </xf>
    <xf numFmtId="0" fontId="0" fillId="0" borderId="4" pivotButton="0" quotePrefix="0" xfId="0"/>
    <xf numFmtId="165" fontId="8" fillId="5" borderId="1" applyAlignment="1" pivotButton="0" quotePrefix="0" xfId="0">
      <alignment horizontal="right" vertical="center"/>
    </xf>
    <xf numFmtId="0" fontId="0" fillId="0" borderId="5" pivotButton="0" quotePrefix="0" xfId="0"/>
    <xf numFmtId="164" fontId="0" fillId="5" borderId="1" applyAlignment="1" pivotButton="0" quotePrefix="0" xfId="0">
      <alignment horizontal="right" vertical="center"/>
    </xf>
    <xf numFmtId="0" fontId="0" fillId="8" borderId="1" applyAlignment="1" pivotButton="0" quotePrefix="0" xfId="0">
      <alignment horizontal="left" vertical="center"/>
    </xf>
    <xf numFmtId="166" fontId="0" fillId="8" borderId="1" applyAlignment="1" pivotButton="0" quotePrefix="0" xfId="0">
      <alignment horizontal="right" vertical="center"/>
    </xf>
    <xf numFmtId="4" fontId="0" fillId="8" borderId="1" applyAlignment="1" pivotButton="0" quotePrefix="0" xfId="0">
      <alignment horizontal="right" vertical="center"/>
    </xf>
    <xf numFmtId="0" fontId="0" fillId="9" borderId="1" applyAlignment="1" pivotButton="0" quotePrefix="0" xfId="0">
      <alignment horizontal="left" vertical="center"/>
    </xf>
    <xf numFmtId="166" fontId="0" fillId="9" borderId="1" applyAlignment="1" pivotButton="0" quotePrefix="0" xfId="0">
      <alignment horizontal="right" vertical="center"/>
    </xf>
    <xf numFmtId="4" fontId="0" fillId="9" borderId="1" applyAlignment="1" pivotButton="0" quotePrefix="0" xfId="0">
      <alignment horizontal="right" vertical="center"/>
    </xf>
    <xf numFmtId="0" fontId="0" fillId="10" borderId="1" pivotButton="0" quotePrefix="0" xfId="0"/>
    <xf numFmtId="0" fontId="10" fillId="10" borderId="1" applyAlignment="1" pivotButton="0" quotePrefix="0" xfId="0">
      <alignment horizontal="left" vertical="center"/>
    </xf>
    <xf numFmtId="9" fontId="5" fillId="1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left" vertical="center"/>
    </xf>
    <xf numFmtId="1" fontId="0" fillId="6" borderId="1" applyAlignment="1" pivotButton="0" quotePrefix="0" xfId="0">
      <alignment horizontal="right" vertical="center"/>
    </xf>
    <xf numFmtId="0" fontId="0" fillId="6" borderId="1" applyAlignment="1" pivotButton="0" quotePrefix="0" xfId="0">
      <alignment horizontal="right" vertical="center"/>
    </xf>
    <xf numFmtId="0" fontId="11" fillId="3" borderId="1" applyAlignment="1" pivotButton="0" quotePrefix="0" xfId="0">
      <alignment horizontal="left" vertical="center"/>
    </xf>
    <xf numFmtId="1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10" fontId="0" fillId="3" borderId="1" applyAlignment="1" pivotButton="0" quotePrefix="0" xfId="0">
      <alignment horizontal="right" vertical="center"/>
    </xf>
    <xf numFmtId="0" fontId="8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right" vertical="center"/>
    </xf>
    <xf numFmtId="0" fontId="11" fillId="11" borderId="1" applyAlignment="1" pivotButton="0" quotePrefix="0" xfId="0">
      <alignment horizontal="left" vertical="center"/>
    </xf>
    <xf numFmtId="1" fontId="0" fillId="11" borderId="1" applyAlignment="1" pivotButton="0" quotePrefix="0" xfId="0">
      <alignment horizontal="right" vertical="center"/>
    </xf>
    <xf numFmtId="0" fontId="0" fillId="11" borderId="1" applyAlignment="1" pivotButton="0" quotePrefix="0" xfId="0">
      <alignment horizontal="right" vertical="center"/>
    </xf>
    <xf numFmtId="0" fontId="11" fillId="4" borderId="1" applyAlignment="1" pivotButton="0" quotePrefix="0" xfId="0">
      <alignment horizontal="left" vertical="center"/>
    </xf>
    <xf numFmtId="1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right" vertical="center"/>
    </xf>
    <xf numFmtId="10" fontId="0" fillId="4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/>
    </xf>
    <xf numFmtId="165" fontId="5" fillId="12" borderId="1" applyAlignment="1" pivotButton="0" quotePrefix="0" xfId="0">
      <alignment horizontal="right" vertical="center"/>
    </xf>
    <xf numFmtId="165" fontId="12" fillId="12" borderId="1" applyAlignment="1" pivotButton="0" quotePrefix="0" xfId="0">
      <alignment horizontal="right" vertical="center"/>
    </xf>
    <xf numFmtId="0" fontId="12" fillId="12" borderId="1" applyAlignment="1" pivotButton="0" quotePrefix="0" xfId="0">
      <alignment horizontal="center" vertical="center"/>
    </xf>
    <xf numFmtId="165" fontId="6" fillId="3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0" fontId="8" fillId="3" borderId="1" applyAlignment="1" pivotButton="0" quotePrefix="0" xfId="0">
      <alignment horizontal="left" vertical="center"/>
    </xf>
    <xf numFmtId="165" fontId="8" fillId="3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/>
    </xf>
    <xf numFmtId="0" fontId="13" fillId="13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65" fontId="14" fillId="4" borderId="1" applyAlignment="1" pivotButton="0" quotePrefix="0" xfId="0">
      <alignment horizontal="right" vertical="center"/>
    </xf>
    <xf numFmtId="165" fontId="0" fillId="3" borderId="1" applyAlignment="1" pivotButton="0" quotePrefix="0" xfId="0">
      <alignment horizontal="right" vertical="center"/>
    </xf>
    <xf numFmtId="0" fontId="15" fillId="3" borderId="1" applyAlignment="1" pivotButton="0" quotePrefix="0" xfId="0">
      <alignment horizontal="left" vertical="center"/>
    </xf>
    <xf numFmtId="165" fontId="0" fillId="4" borderId="1" applyAlignment="1" pivotButton="0" quotePrefix="0" xfId="0">
      <alignment horizontal="right" vertical="center"/>
    </xf>
    <xf numFmtId="0" fontId="15" fillId="4" borderId="1" applyAlignment="1" pivotButton="0" quotePrefix="0" xfId="0">
      <alignment horizontal="left" vertical="center"/>
    </xf>
    <xf numFmtId="165" fontId="14" fillId="12" borderId="1" applyAlignment="1" pivotButton="0" quotePrefix="0" xfId="0">
      <alignment horizontal="right" vertical="center"/>
    </xf>
    <xf numFmtId="165" fontId="16" fillId="13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165" fontId="6" fillId="2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/>
    </xf>
    <xf numFmtId="165" fontId="6" fillId="13" borderId="1" applyAlignment="1" pivotButton="0" quotePrefix="0" xfId="0">
      <alignment horizontal="right" vertical="center"/>
    </xf>
    <xf numFmtId="0" fontId="17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right" vertical="center"/>
    </xf>
    <xf numFmtId="1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2" customWidth="1" min="12" max="12"/>
    <col width="12" customWidth="1" min="13" max="13"/>
  </cols>
  <sheetData>
    <row r="1">
      <c r="A1" s="1" t="inlineStr">
        <is>
          <t>BDI — BONIFICAÇÕES E DESPESAS INDIRETAS (FÓRMULA TCU AC.2622/2013)</t>
        </is>
      </c>
    </row>
    <row r="2">
      <c r="A2" s="2" t="inlineStr">
        <is>
          <t>Categoria</t>
        </is>
      </c>
      <c r="B2" s="2" t="inlineStr">
        <is>
          <t>AC (%)</t>
        </is>
      </c>
      <c r="C2" s="2" t="inlineStr">
        <is>
          <t>DF (%)</t>
        </is>
      </c>
      <c r="D2" s="2" t="inlineStr">
        <is>
          <t>R (%)</t>
        </is>
      </c>
      <c r="E2" s="2" t="inlineStr">
        <is>
          <t>CR (%)</t>
        </is>
      </c>
      <c r="F2" s="2" t="inlineStr">
        <is>
          <t>Lucro L (%)</t>
        </is>
      </c>
      <c r="G2" s="2" t="inlineStr">
        <is>
          <t>COFINS (%)</t>
        </is>
      </c>
      <c r="H2" s="2" t="inlineStr">
        <is>
          <t>ISS (%)</t>
        </is>
      </c>
      <c r="I2" s="2" t="inlineStr">
        <is>
          <t>PIS (%)</t>
        </is>
      </c>
      <c r="J2" s="2" t="inlineStr">
        <is>
          <t>CSSL (%)</t>
        </is>
      </c>
      <c r="K2" s="2" t="inlineStr">
        <is>
          <t>IR (%)</t>
        </is>
      </c>
      <c r="L2" s="2" t="inlineStr">
        <is>
          <t>T=Tributos (%)</t>
        </is>
      </c>
      <c r="M2" s="2" t="inlineStr">
        <is>
          <t>BDI Total (%)</t>
        </is>
      </c>
    </row>
    <row r="3">
      <c r="A3" s="3" t="inlineStr">
        <is>
          <t>MÃO DE OBRA</t>
        </is>
      </c>
      <c r="B3" s="4" t="n">
        <v>5</v>
      </c>
      <c r="C3" s="4" t="n">
        <v>1.5</v>
      </c>
      <c r="D3" s="4" t="n">
        <v>1</v>
      </c>
      <c r="E3" s="4" t="n">
        <v>0</v>
      </c>
      <c r="F3" s="4" t="n">
        <v>9</v>
      </c>
      <c r="G3" s="4" t="n">
        <v>3</v>
      </c>
      <c r="H3" s="4" t="n">
        <v>5</v>
      </c>
      <c r="I3" s="4" t="n">
        <v>0.65</v>
      </c>
      <c r="J3" s="4" t="n">
        <v>1.99</v>
      </c>
      <c r="K3" s="4" t="n">
        <v>2.74</v>
      </c>
      <c r="L3" s="4" t="n">
        <v>13.38</v>
      </c>
      <c r="M3" s="5" t="n">
        <v>34.5</v>
      </c>
    </row>
    <row r="4">
      <c r="A4" s="6" t="inlineStr">
        <is>
          <t>MATERIAL</t>
        </is>
      </c>
      <c r="B4" s="7" t="n">
        <v>5</v>
      </c>
      <c r="C4" s="7" t="n">
        <v>0</v>
      </c>
      <c r="D4" s="7" t="n">
        <v>0</v>
      </c>
      <c r="E4" s="7" t="n">
        <v>0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8" t="n">
        <v>5</v>
      </c>
    </row>
    <row r="5">
      <c r="A5" s="3" t="inlineStr">
        <is>
          <t>SERVIÇOS</t>
        </is>
      </c>
      <c r="B5" s="4" t="n">
        <v>5</v>
      </c>
      <c r="C5" s="4" t="n">
        <v>1.5</v>
      </c>
      <c r="D5" s="4" t="n">
        <v>1</v>
      </c>
      <c r="E5" s="4" t="n">
        <v>0</v>
      </c>
      <c r="F5" s="4" t="n">
        <v>9</v>
      </c>
      <c r="G5" s="4" t="n">
        <v>3</v>
      </c>
      <c r="H5" s="4" t="n">
        <v>5</v>
      </c>
      <c r="I5" s="4" t="n">
        <v>0.65</v>
      </c>
      <c r="J5" s="4" t="n">
        <v>1.99</v>
      </c>
      <c r="K5" s="4" t="n">
        <v>2.74</v>
      </c>
      <c r="L5" s="4" t="n">
        <v>13.38</v>
      </c>
      <c r="M5" s="5" t="n">
        <v>34.5</v>
      </c>
    </row>
    <row r="6">
      <c r="A6" s="6" t="inlineStr">
        <is>
          <t>INDIRETO</t>
        </is>
      </c>
      <c r="B6" s="7" t="n">
        <v>4</v>
      </c>
      <c r="C6" s="7" t="n">
        <v>0</v>
      </c>
      <c r="D6" s="7" t="n">
        <v>0</v>
      </c>
      <c r="E6" s="7" t="n">
        <v>0</v>
      </c>
      <c r="F6" s="7" t="n">
        <v>2</v>
      </c>
      <c r="G6" s="7" t="n">
        <v>3</v>
      </c>
      <c r="H6" s="7" t="n">
        <v>5</v>
      </c>
      <c r="I6" s="7" t="n">
        <v>0.65</v>
      </c>
      <c r="J6" s="7" t="n">
        <v>1.99</v>
      </c>
      <c r="K6" s="7" t="n">
        <v>2.74</v>
      </c>
      <c r="L6" s="7" t="n">
        <v>13.38</v>
      </c>
      <c r="M6" s="8" t="n">
        <v>22.37</v>
      </c>
    </row>
    <row r="7">
      <c r="A7" s="3" t="inlineStr">
        <is>
          <t>DIESEL</t>
        </is>
      </c>
      <c r="B7" s="4" t="n">
        <v>4</v>
      </c>
      <c r="C7" s="4" t="n">
        <v>0</v>
      </c>
      <c r="D7" s="4" t="n">
        <v>0</v>
      </c>
      <c r="E7" s="4" t="n">
        <v>0</v>
      </c>
      <c r="F7" s="4" t="n">
        <v>5</v>
      </c>
      <c r="G7" s="4" t="n">
        <v>3</v>
      </c>
      <c r="H7" s="4" t="n">
        <v>5</v>
      </c>
      <c r="I7" s="4" t="n">
        <v>0.65</v>
      </c>
      <c r="J7" s="4" t="n">
        <v>1.99</v>
      </c>
      <c r="K7" s="4" t="n">
        <v>2.74</v>
      </c>
      <c r="L7" s="4" t="n">
        <v>13.38</v>
      </c>
      <c r="M7" s="5" t="n">
        <v>25.84</v>
      </c>
    </row>
    <row r="9">
      <c r="A9" s="9" t="inlineStr">
        <is>
          <t>Fórmula: BDI = (1 + AC + DF + R + CR + L) / (1 - T) - 1  |  T = COFINS+ISS+PIS+CSSL+IR</t>
        </is>
      </c>
    </row>
  </sheetData>
  <mergeCells count="2">
    <mergeCell ref="A1:M1"/>
    <mergeCell ref="A9:M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4" customWidth="1" min="3" max="3"/>
    <col width="8" customWidth="1" min="4" max="4"/>
    <col width="8" customWidth="1" min="5" max="5"/>
    <col width="21" customWidth="1" min="6" max="6"/>
    <col width="22" customWidth="1" min="7" max="7"/>
    <col width="15" customWidth="1" min="8" max="8"/>
    <col width="42" customWidth="1" min="9" max="9"/>
  </cols>
  <sheetData>
    <row r="1">
      <c r="A1" s="1" t="inlineStr">
        <is>
          <t>DIRETOS — EQUIPES E RECURSOS</t>
        </is>
      </c>
    </row>
    <row r="2">
      <c r="A2" s="2" t="inlineStr">
        <is>
          <t>Tipo</t>
        </is>
      </c>
      <c r="B2" s="2" t="inlineStr">
        <is>
          <t>Código</t>
        </is>
      </c>
      <c r="C2" s="2" t="inlineStr">
        <is>
          <t>Descrição</t>
        </is>
      </c>
      <c r="D2" s="2" t="inlineStr">
        <is>
          <t>Papel</t>
        </is>
      </c>
      <c r="E2" s="2" t="inlineStr">
        <is>
          <t>Qtd</t>
        </is>
      </c>
      <c r="F2" s="2" t="inlineStr">
        <is>
          <t>Custo Unit/Mês (R$)</t>
        </is>
      </c>
      <c r="G2" s="2" t="inlineStr">
        <is>
          <t>Custo Total/Mês (R$)</t>
        </is>
      </c>
      <c r="H2" s="2" t="inlineStr">
        <is>
          <t>Perm. (meses)</t>
        </is>
      </c>
      <c r="I2" s="2" t="inlineStr">
        <is>
          <t>Custo Total (R$)</t>
        </is>
      </c>
    </row>
    <row r="3">
      <c r="A3" s="9" t="inlineStr">
        <is>
          <t>eap-1_0 — Desmatamento e limpeza de area vegetada</t>
        </is>
      </c>
    </row>
    <row r="4">
      <c r="A4" s="10" t="inlineStr">
        <is>
          <t>MÃO DE OBRA</t>
        </is>
      </c>
      <c r="B4" s="10" t="inlineStr">
        <is>
          <t>P0040</t>
        </is>
      </c>
      <c r="C4" s="10" t="inlineStr">
        <is>
          <t>Operador de Escavadeira</t>
        </is>
      </c>
      <c r="D4" s="11" t="inlineStr">
        <is>
          <t>DIRETO</t>
        </is>
      </c>
      <c r="E4" s="12" t="n">
        <v>1</v>
      </c>
      <c r="F4" s="13" t="n">
        <v>10300</v>
      </c>
      <c r="G4" s="13">
        <f>E4*F4</f>
        <v/>
      </c>
      <c r="H4" s="12" t="n">
        <v>5.75</v>
      </c>
      <c r="I4" s="13">
        <f>G4*H4</f>
        <v/>
      </c>
    </row>
    <row r="5">
      <c r="A5" s="10" t="inlineStr">
        <is>
          <t>MÃO DE OBRA</t>
        </is>
      </c>
      <c r="B5" s="10" t="inlineStr">
        <is>
          <t>P0048</t>
        </is>
      </c>
      <c r="C5" s="10" t="inlineStr">
        <is>
          <t>Operador de Trator de Esteiras</t>
        </is>
      </c>
      <c r="D5" s="11" t="inlineStr">
        <is>
          <t>DIRETO</t>
        </is>
      </c>
      <c r="E5" s="12" t="n">
        <v>6</v>
      </c>
      <c r="F5" s="13" t="n">
        <v>10300</v>
      </c>
      <c r="G5" s="13">
        <f>E5*F5</f>
        <v/>
      </c>
      <c r="H5" s="12" t="n">
        <v>5.75</v>
      </c>
      <c r="I5" s="13">
        <f>G5*H5</f>
        <v/>
      </c>
    </row>
    <row r="6">
      <c r="A6" s="10" t="inlineStr">
        <is>
          <t>MÃO DE OBRA</t>
        </is>
      </c>
      <c r="B6" s="10" t="inlineStr">
        <is>
          <t>P0062</t>
        </is>
      </c>
      <c r="C6" s="10" t="inlineStr">
        <is>
          <t>Operador de motosserra</t>
        </is>
      </c>
      <c r="D6" s="11" t="inlineStr">
        <is>
          <t>DIRETO</t>
        </is>
      </c>
      <c r="E6" s="12" t="n">
        <v>6</v>
      </c>
      <c r="F6" s="13" t="n">
        <v>7307.65</v>
      </c>
      <c r="G6" s="13">
        <f>E6*F6</f>
        <v/>
      </c>
      <c r="H6" s="12" t="n">
        <v>5.75</v>
      </c>
      <c r="I6" s="13">
        <f>G6*H6</f>
        <v/>
      </c>
    </row>
    <row r="7">
      <c r="A7" s="10" t="inlineStr">
        <is>
          <t>MÃO DE OBRA</t>
        </is>
      </c>
      <c r="B7" s="10" t="inlineStr">
        <is>
          <t>P0001</t>
        </is>
      </c>
      <c r="C7" s="10" t="inlineStr">
        <is>
          <t>Ajudante</t>
        </is>
      </c>
      <c r="D7" s="11" t="inlineStr">
        <is>
          <t>DIRETO</t>
        </is>
      </c>
      <c r="E7" s="12" t="n">
        <v>6</v>
      </c>
      <c r="F7" s="13" t="n">
        <v>4209.32</v>
      </c>
      <c r="G7" s="13">
        <f>E7*F7</f>
        <v/>
      </c>
      <c r="H7" s="12" t="n">
        <v>5.75</v>
      </c>
      <c r="I7" s="13">
        <f>G7*H7</f>
        <v/>
      </c>
    </row>
    <row r="8">
      <c r="A8" s="10" t="inlineStr">
        <is>
          <t>MÃO DE OBRA</t>
        </is>
      </c>
      <c r="B8" s="10" t="inlineStr">
        <is>
          <t>P0079</t>
        </is>
      </c>
      <c r="C8" s="10" t="inlineStr">
        <is>
          <t>SINALEIRO</t>
        </is>
      </c>
      <c r="D8" s="11" t="inlineStr">
        <is>
          <t>DIRETO</t>
        </is>
      </c>
      <c r="E8" s="12" t="n">
        <v>6</v>
      </c>
      <c r="F8" s="13" t="n">
        <v>6341.17</v>
      </c>
      <c r="G8" s="13">
        <f>E8*F8</f>
        <v/>
      </c>
      <c r="H8" s="12" t="n">
        <v>5.75</v>
      </c>
      <c r="I8" s="13">
        <f>G8*H8</f>
        <v/>
      </c>
    </row>
    <row r="9">
      <c r="A9" s="10" t="inlineStr">
        <is>
          <t>MÃO DE OBRA</t>
        </is>
      </c>
      <c r="B9" s="10" t="inlineStr">
        <is>
          <t>P0065</t>
        </is>
      </c>
      <c r="C9" s="10" t="inlineStr">
        <is>
          <t>Encarregado de Frente</t>
        </is>
      </c>
      <c r="D9" s="11" t="inlineStr">
        <is>
          <t>DIRETO</t>
        </is>
      </c>
      <c r="E9" s="12" t="n">
        <v>1</v>
      </c>
      <c r="F9" s="13" t="n">
        <v>7500</v>
      </c>
      <c r="G9" s="13">
        <f>E9*F9</f>
        <v/>
      </c>
      <c r="H9" s="12" t="n">
        <v>5.75</v>
      </c>
      <c r="I9" s="13">
        <f>G9*H9</f>
        <v/>
      </c>
    </row>
    <row r="10">
      <c r="A10" s="10" t="inlineStr">
        <is>
          <t>MÃO DE OBRA</t>
        </is>
      </c>
      <c r="B10" s="10" t="inlineStr">
        <is>
          <t>P0072</t>
        </is>
      </c>
      <c r="C10" s="10" t="inlineStr">
        <is>
          <t>Apontador</t>
        </is>
      </c>
      <c r="D10" s="11" t="inlineStr">
        <is>
          <t>DIRETO</t>
        </is>
      </c>
      <c r="E10" s="12" t="n">
        <v>1</v>
      </c>
      <c r="F10" s="13" t="n">
        <v>6341.17</v>
      </c>
      <c r="G10" s="13">
        <f>E10*F10</f>
        <v/>
      </c>
      <c r="H10" s="12" t="n">
        <v>5.75</v>
      </c>
      <c r="I10" s="13">
        <f>G10*H10</f>
        <v/>
      </c>
    </row>
    <row r="11">
      <c r="A11" s="10" t="inlineStr">
        <is>
          <t>EQUIPAMENTO</t>
        </is>
      </c>
      <c r="B11" s="10" t="inlineStr">
        <is>
          <t>EQ-E0016</t>
        </is>
      </c>
      <c r="C11" s="10" t="inlineStr">
        <is>
          <t>Escavadeira Hidráulica 22t</t>
        </is>
      </c>
      <c r="D11" s="14" t="inlineStr">
        <is>
          <t>—</t>
        </is>
      </c>
      <c r="E11" s="12" t="n">
        <v>1</v>
      </c>
      <c r="F11" s="13" t="n">
        <v>35639.3</v>
      </c>
      <c r="G11" s="13">
        <f>E11*F11</f>
        <v/>
      </c>
      <c r="H11" s="12" t="n">
        <v>5.75</v>
      </c>
      <c r="I11" s="13">
        <f>G11*H11</f>
        <v/>
      </c>
    </row>
    <row r="12">
      <c r="A12" s="10" t="inlineStr">
        <is>
          <t>EQUIPAMENTO</t>
        </is>
      </c>
      <c r="B12" s="10" t="inlineStr">
        <is>
          <t>EQ-E0035</t>
        </is>
      </c>
      <c r="C12" s="10" t="inlineStr">
        <is>
          <t>Trator de esteiras 20T</t>
        </is>
      </c>
      <c r="D12" s="14" t="inlineStr">
        <is>
          <t>—</t>
        </is>
      </c>
      <c r="E12" s="12" t="n">
        <v>6</v>
      </c>
      <c r="F12" s="13" t="n">
        <v>21683.2</v>
      </c>
      <c r="G12" s="13">
        <f>E12*F12</f>
        <v/>
      </c>
      <c r="H12" s="12" t="n">
        <v>5.75</v>
      </c>
      <c r="I12" s="13">
        <f>G12*H12</f>
        <v/>
      </c>
    </row>
    <row r="13">
      <c r="A13" s="15" t="inlineStr">
        <is>
          <t>COMBUSTÍVEL</t>
        </is>
      </c>
      <c r="B13" s="10" t="inlineStr">
        <is>
          <t>EQ-E0035</t>
        </is>
      </c>
      <c r="C13" s="10" t="inlineStr">
        <is>
          <t>Diesel S-10 (18.0 L/h)</t>
        </is>
      </c>
      <c r="D13" s="14" t="inlineStr">
        <is>
          <t>—</t>
        </is>
      </c>
      <c r="E13" s="12" t="n">
        <v>6</v>
      </c>
      <c r="F13" s="13" t="n">
        <v>22957.71</v>
      </c>
      <c r="G13" s="13">
        <f>E13*F13</f>
        <v/>
      </c>
      <c r="H13" s="12" t="n">
        <v>5.75</v>
      </c>
      <c r="I13" s="13">
        <f>G13*H13</f>
        <v/>
      </c>
    </row>
    <row r="14">
      <c r="A14" s="16" t="inlineStr">
        <is>
          <t>Subtotal eap-1_0</t>
        </is>
      </c>
      <c r="B14" s="17" t="n"/>
      <c r="C14" s="17" t="n"/>
      <c r="D14" s="17" t="n"/>
      <c r="E14" s="17" t="n"/>
      <c r="F14" s="17" t="n"/>
      <c r="G14" s="18">
        <f>SUM(G4:G13)</f>
        <v/>
      </c>
      <c r="H14" s="19" t="n">
        <v>5.75</v>
      </c>
      <c r="I14" s="18">
        <f>SUM(I4:I13)</f>
        <v/>
      </c>
    </row>
    <row r="15">
      <c r="A15" s="9" t="inlineStr">
        <is>
          <t>eap-1_1 — Esc/carg/transp 1aCat DMT&lt;=2000m</t>
        </is>
      </c>
    </row>
    <row r="16">
      <c r="A16" s="20" t="inlineStr">
        <is>
          <t>MÃO DE OBRA</t>
        </is>
      </c>
      <c r="B16" s="20" t="inlineStr">
        <is>
          <t>P0040</t>
        </is>
      </c>
      <c r="C16" s="20" t="inlineStr">
        <is>
          <t>Operador de Escavadeira</t>
        </is>
      </c>
      <c r="D16" s="21" t="inlineStr">
        <is>
          <t>DIRETO</t>
        </is>
      </c>
      <c r="E16" s="22" t="n">
        <v>1</v>
      </c>
      <c r="F16" s="23" t="n">
        <v>10300</v>
      </c>
      <c r="G16" s="23">
        <f>E16*F16</f>
        <v/>
      </c>
      <c r="H16" s="22" t="n">
        <v>10.35</v>
      </c>
      <c r="I16" s="23">
        <f>G16*H16</f>
        <v/>
      </c>
    </row>
    <row r="17">
      <c r="A17" s="20" t="inlineStr">
        <is>
          <t>MÃO DE OBRA</t>
        </is>
      </c>
      <c r="B17" s="20" t="inlineStr">
        <is>
          <t>P0001</t>
        </is>
      </c>
      <c r="C17" s="20" t="inlineStr">
        <is>
          <t>Ajudante</t>
        </is>
      </c>
      <c r="D17" s="21" t="inlineStr">
        <is>
          <t>DIRETO</t>
        </is>
      </c>
      <c r="E17" s="22" t="n">
        <v>1</v>
      </c>
      <c r="F17" s="23" t="n">
        <v>4209.32</v>
      </c>
      <c r="G17" s="23">
        <f>E17*F17</f>
        <v/>
      </c>
      <c r="H17" s="22" t="n">
        <v>10.35</v>
      </c>
      <c r="I17" s="23">
        <f>G17*H17</f>
        <v/>
      </c>
    </row>
    <row r="18">
      <c r="A18" s="20" t="inlineStr">
        <is>
          <t>MÃO DE OBRA</t>
        </is>
      </c>
      <c r="B18" s="20" t="inlineStr">
        <is>
          <t>P0065</t>
        </is>
      </c>
      <c r="C18" s="20" t="inlineStr">
        <is>
          <t>Encarregado de Frente</t>
        </is>
      </c>
      <c r="D18" s="21" t="inlineStr">
        <is>
          <t>DIRETO</t>
        </is>
      </c>
      <c r="E18" s="22" t="n">
        <v>1</v>
      </c>
      <c r="F18" s="23" t="n">
        <v>7500</v>
      </c>
      <c r="G18" s="23">
        <f>E18*F18</f>
        <v/>
      </c>
      <c r="H18" s="22" t="n">
        <v>10.35</v>
      </c>
      <c r="I18" s="23">
        <f>G18*H18</f>
        <v/>
      </c>
    </row>
    <row r="19">
      <c r="A19" s="20" t="inlineStr">
        <is>
          <t>MÃO DE OBRA</t>
        </is>
      </c>
      <c r="B19" s="20" t="inlineStr">
        <is>
          <t>P0032</t>
        </is>
      </c>
      <c r="C19" s="20" t="inlineStr">
        <is>
          <t>Motorista de Caminhão Basculante</t>
        </is>
      </c>
      <c r="D19" s="21" t="inlineStr">
        <is>
          <t>DIRETO</t>
        </is>
      </c>
      <c r="E19" s="22" t="n">
        <v>7</v>
      </c>
      <c r="F19" s="23" t="n">
        <v>6341.17</v>
      </c>
      <c r="G19" s="23">
        <f>E19*F19</f>
        <v/>
      </c>
      <c r="H19" s="22" t="n">
        <v>10.35</v>
      </c>
      <c r="I19" s="23">
        <f>G19*H19</f>
        <v/>
      </c>
    </row>
    <row r="20">
      <c r="A20" s="20" t="inlineStr">
        <is>
          <t>EQUIPAMENTO</t>
        </is>
      </c>
      <c r="B20" s="20" t="inlineStr">
        <is>
          <t>EQ-E0016</t>
        </is>
      </c>
      <c r="C20" s="20" t="inlineStr">
        <is>
          <t>Escavadeira Hidráulica 22t</t>
        </is>
      </c>
      <c r="D20" s="24" t="inlineStr">
        <is>
          <t>—</t>
        </is>
      </c>
      <c r="E20" s="22" t="n">
        <v>1</v>
      </c>
      <c r="F20" s="23" t="n">
        <v>35639.3</v>
      </c>
      <c r="G20" s="23">
        <f>E20*F20</f>
        <v/>
      </c>
      <c r="H20" s="22" t="n">
        <v>10.35</v>
      </c>
      <c r="I20" s="23">
        <f>G20*H20</f>
        <v/>
      </c>
    </row>
    <row r="21">
      <c r="A21" s="16" t="inlineStr">
        <is>
          <t>Subtotal eap-1_1</t>
        </is>
      </c>
      <c r="B21" s="17" t="n"/>
      <c r="C21" s="17" t="n"/>
      <c r="D21" s="17" t="n"/>
      <c r="E21" s="17" t="n"/>
      <c r="F21" s="17" t="n"/>
      <c r="G21" s="18">
        <f>SUM(G16:G20)</f>
        <v/>
      </c>
      <c r="H21" s="19" t="n">
        <v>10.35</v>
      </c>
      <c r="I21" s="18">
        <f>SUM(I16:I20)</f>
        <v/>
      </c>
    </row>
    <row r="22">
      <c r="A22" s="9" t="inlineStr">
        <is>
          <t>eap-1_2 — Esc/carg/transp 1aCat DMT&lt;=3000m</t>
        </is>
      </c>
    </row>
    <row r="23">
      <c r="A23" s="10" t="inlineStr">
        <is>
          <t>MÃO DE OBRA</t>
        </is>
      </c>
      <c r="B23" s="10" t="inlineStr">
        <is>
          <t>P0040</t>
        </is>
      </c>
      <c r="C23" s="10" t="inlineStr">
        <is>
          <t>Operador de Escavadeira</t>
        </is>
      </c>
      <c r="D23" s="11" t="inlineStr">
        <is>
          <t>DIRETO</t>
        </is>
      </c>
      <c r="E23" s="12" t="n">
        <v>1</v>
      </c>
      <c r="F23" s="13" t="n">
        <v>10300</v>
      </c>
      <c r="G23" s="13">
        <f>E23*F23</f>
        <v/>
      </c>
      <c r="H23" s="12" t="n">
        <v>10.35</v>
      </c>
      <c r="I23" s="13">
        <f>G23*H23</f>
        <v/>
      </c>
    </row>
    <row r="24">
      <c r="A24" s="10" t="inlineStr">
        <is>
          <t>MÃO DE OBRA</t>
        </is>
      </c>
      <c r="B24" s="10" t="inlineStr">
        <is>
          <t>P0032</t>
        </is>
      </c>
      <c r="C24" s="10" t="inlineStr">
        <is>
          <t>Motorista de Caminhão Basculante</t>
        </is>
      </c>
      <c r="D24" s="11" t="inlineStr">
        <is>
          <t>DIRETO</t>
        </is>
      </c>
      <c r="E24" s="12" t="n">
        <v>7</v>
      </c>
      <c r="F24" s="13" t="n">
        <v>6341.17</v>
      </c>
      <c r="G24" s="13">
        <f>E24*F24</f>
        <v/>
      </c>
      <c r="H24" s="12" t="n">
        <v>10.35</v>
      </c>
      <c r="I24" s="13">
        <f>G24*H24</f>
        <v/>
      </c>
    </row>
    <row r="25">
      <c r="A25" s="10" t="inlineStr">
        <is>
          <t>MÃO DE OBRA</t>
        </is>
      </c>
      <c r="B25" s="10" t="inlineStr">
        <is>
          <t>P0001</t>
        </is>
      </c>
      <c r="C25" s="10" t="inlineStr">
        <is>
          <t>Ajudante</t>
        </is>
      </c>
      <c r="D25" s="11" t="inlineStr">
        <is>
          <t>DIRETO</t>
        </is>
      </c>
      <c r="E25" s="12" t="n">
        <v>1</v>
      </c>
      <c r="F25" s="13" t="n">
        <v>4209.32</v>
      </c>
      <c r="G25" s="13">
        <f>E25*F25</f>
        <v/>
      </c>
      <c r="H25" s="12" t="n">
        <v>10.35</v>
      </c>
      <c r="I25" s="13">
        <f>G25*H25</f>
        <v/>
      </c>
    </row>
    <row r="26">
      <c r="A26" s="10" t="inlineStr">
        <is>
          <t>MÃO DE OBRA</t>
        </is>
      </c>
      <c r="B26" s="10" t="inlineStr">
        <is>
          <t>P0065</t>
        </is>
      </c>
      <c r="C26" s="10" t="inlineStr">
        <is>
          <t>Encarregado de Frente</t>
        </is>
      </c>
      <c r="D26" s="11" t="inlineStr">
        <is>
          <t>DIRETO</t>
        </is>
      </c>
      <c r="E26" s="12" t="n">
        <v>1</v>
      </c>
      <c r="F26" s="13" t="n">
        <v>7500</v>
      </c>
      <c r="G26" s="13">
        <f>E26*F26</f>
        <v/>
      </c>
      <c r="H26" s="12" t="n">
        <v>10.35</v>
      </c>
      <c r="I26" s="13">
        <f>G26*H26</f>
        <v/>
      </c>
    </row>
    <row r="27">
      <c r="A27" s="10" t="inlineStr">
        <is>
          <t>EQUIPAMENTO</t>
        </is>
      </c>
      <c r="B27" s="10" t="inlineStr">
        <is>
          <t>EQ-E0016</t>
        </is>
      </c>
      <c r="C27" s="10" t="inlineStr">
        <is>
          <t>Escavadeira Hidráulica 22t</t>
        </is>
      </c>
      <c r="D27" s="14" t="inlineStr">
        <is>
          <t>—</t>
        </is>
      </c>
      <c r="E27" s="12" t="n">
        <v>1</v>
      </c>
      <c r="F27" s="13" t="n">
        <v>35639.3</v>
      </c>
      <c r="G27" s="13">
        <f>E27*F27</f>
        <v/>
      </c>
      <c r="H27" s="12" t="n">
        <v>10.35</v>
      </c>
      <c r="I27" s="13">
        <f>G27*H27</f>
        <v/>
      </c>
    </row>
    <row r="28">
      <c r="A28" s="16" t="inlineStr">
        <is>
          <t>Subtotal eap-1_2</t>
        </is>
      </c>
      <c r="B28" s="17" t="n"/>
      <c r="C28" s="17" t="n"/>
      <c r="D28" s="17" t="n"/>
      <c r="E28" s="17" t="n"/>
      <c r="F28" s="17" t="n"/>
      <c r="G28" s="18">
        <f>SUM(G23:G27)</f>
        <v/>
      </c>
      <c r="H28" s="19" t="n">
        <v>10.35</v>
      </c>
      <c r="I28" s="18">
        <f>SUM(I23:I27)</f>
        <v/>
      </c>
    </row>
    <row r="29">
      <c r="A29" s="9" t="inlineStr">
        <is>
          <t>eap-1_3 — Esc/carg/transp 2aCat DMT&lt;=2000m</t>
        </is>
      </c>
    </row>
    <row r="30">
      <c r="A30" s="20" t="inlineStr">
        <is>
          <t>MÃO DE OBRA</t>
        </is>
      </c>
      <c r="B30" s="20" t="inlineStr">
        <is>
          <t>P0040</t>
        </is>
      </c>
      <c r="C30" s="20" t="inlineStr">
        <is>
          <t>Operador de Escavadeira</t>
        </is>
      </c>
      <c r="D30" s="21" t="inlineStr">
        <is>
          <t>DIRETO</t>
        </is>
      </c>
      <c r="E30" s="22" t="n">
        <v>2</v>
      </c>
      <c r="F30" s="23" t="n">
        <v>10300</v>
      </c>
      <c r="G30" s="23">
        <f>E30*F30</f>
        <v/>
      </c>
      <c r="H30" s="22" t="n">
        <v>11.73</v>
      </c>
      <c r="I30" s="23">
        <f>G30*H30</f>
        <v/>
      </c>
    </row>
    <row r="31">
      <c r="A31" s="20" t="inlineStr">
        <is>
          <t>MÃO DE OBRA</t>
        </is>
      </c>
      <c r="B31" s="20" t="inlineStr">
        <is>
          <t>P0032</t>
        </is>
      </c>
      <c r="C31" s="20" t="inlineStr">
        <is>
          <t>Motorista de Caminhão Basculante</t>
        </is>
      </c>
      <c r="D31" s="21" t="inlineStr">
        <is>
          <t>DIRETO</t>
        </is>
      </c>
      <c r="E31" s="22" t="n">
        <v>11</v>
      </c>
      <c r="F31" s="23" t="n">
        <v>6341.17</v>
      </c>
      <c r="G31" s="23">
        <f>E31*F31</f>
        <v/>
      </c>
      <c r="H31" s="22" t="n">
        <v>11.73</v>
      </c>
      <c r="I31" s="23">
        <f>G31*H31</f>
        <v/>
      </c>
    </row>
    <row r="32">
      <c r="A32" s="20" t="inlineStr">
        <is>
          <t>MÃO DE OBRA</t>
        </is>
      </c>
      <c r="B32" s="20" t="inlineStr">
        <is>
          <t>P0001</t>
        </is>
      </c>
      <c r="C32" s="20" t="inlineStr">
        <is>
          <t>Ajudante</t>
        </is>
      </c>
      <c r="D32" s="21" t="inlineStr">
        <is>
          <t>DIRETO</t>
        </is>
      </c>
      <c r="E32" s="22" t="n">
        <v>2</v>
      </c>
      <c r="F32" s="23" t="n">
        <v>4209.32</v>
      </c>
      <c r="G32" s="23">
        <f>E32*F32</f>
        <v/>
      </c>
      <c r="H32" s="22" t="n">
        <v>11.73</v>
      </c>
      <c r="I32" s="23">
        <f>G32*H32</f>
        <v/>
      </c>
    </row>
    <row r="33">
      <c r="A33" s="20" t="inlineStr">
        <is>
          <t>MÃO DE OBRA</t>
        </is>
      </c>
      <c r="B33" s="20" t="inlineStr">
        <is>
          <t>P0065</t>
        </is>
      </c>
      <c r="C33" s="20" t="inlineStr">
        <is>
          <t>Encarregado de Frente</t>
        </is>
      </c>
      <c r="D33" s="21" t="inlineStr">
        <is>
          <t>DIRETO</t>
        </is>
      </c>
      <c r="E33" s="22" t="n">
        <v>1</v>
      </c>
      <c r="F33" s="23" t="n">
        <v>7500</v>
      </c>
      <c r="G33" s="23">
        <f>E33*F33</f>
        <v/>
      </c>
      <c r="H33" s="22" t="n">
        <v>11.73</v>
      </c>
      <c r="I33" s="23">
        <f>G33*H33</f>
        <v/>
      </c>
    </row>
    <row r="34">
      <c r="A34" s="20" t="inlineStr">
        <is>
          <t>EQUIPAMENTO</t>
        </is>
      </c>
      <c r="B34" s="20" t="inlineStr">
        <is>
          <t>EQ-E0016</t>
        </is>
      </c>
      <c r="C34" s="20" t="inlineStr">
        <is>
          <t>Escavadeira Hidráulica 22t</t>
        </is>
      </c>
      <c r="D34" s="24" t="inlineStr">
        <is>
          <t>—</t>
        </is>
      </c>
      <c r="E34" s="22" t="n">
        <v>2</v>
      </c>
      <c r="F34" s="23" t="n">
        <v>35639.3</v>
      </c>
      <c r="G34" s="23">
        <f>E34*F34</f>
        <v/>
      </c>
      <c r="H34" s="22" t="n">
        <v>11.73</v>
      </c>
      <c r="I34" s="23">
        <f>G34*H34</f>
        <v/>
      </c>
    </row>
    <row r="35">
      <c r="A35" s="16" t="inlineStr">
        <is>
          <t>Subtotal eap-1_3</t>
        </is>
      </c>
      <c r="B35" s="17" t="n"/>
      <c r="C35" s="17" t="n"/>
      <c r="D35" s="17" t="n"/>
      <c r="E35" s="17" t="n"/>
      <c r="F35" s="17" t="n"/>
      <c r="G35" s="18">
        <f>SUM(G30:G34)</f>
        <v/>
      </c>
      <c r="H35" s="19" t="n">
        <v>11.73</v>
      </c>
      <c r="I35" s="18">
        <f>SUM(I30:I34)</f>
        <v/>
      </c>
    </row>
    <row r="36">
      <c r="A36" s="9" t="inlineStr">
        <is>
          <t>eap-1_4 — Esc/carg/transp 2aCat DMT&lt;=3000m</t>
        </is>
      </c>
    </row>
    <row r="37">
      <c r="A37" s="10" t="inlineStr">
        <is>
          <t>MÃO DE OBRA</t>
        </is>
      </c>
      <c r="B37" s="10" t="inlineStr">
        <is>
          <t>P0040</t>
        </is>
      </c>
      <c r="C37" s="10" t="inlineStr">
        <is>
          <t>Operador de Escavadeira</t>
        </is>
      </c>
      <c r="D37" s="11" t="inlineStr">
        <is>
          <t>DIRETO</t>
        </is>
      </c>
      <c r="E37" s="12" t="n">
        <v>2</v>
      </c>
      <c r="F37" s="13" t="n">
        <v>10300</v>
      </c>
      <c r="G37" s="13">
        <f>E37*F37</f>
        <v/>
      </c>
      <c r="H37" s="12" t="n">
        <v>11.73</v>
      </c>
      <c r="I37" s="13">
        <f>G37*H37</f>
        <v/>
      </c>
    </row>
    <row r="38">
      <c r="A38" s="10" t="inlineStr">
        <is>
          <t>MÃO DE OBRA</t>
        </is>
      </c>
      <c r="B38" s="10" t="inlineStr">
        <is>
          <t>P0032</t>
        </is>
      </c>
      <c r="C38" s="10" t="inlineStr">
        <is>
          <t>Motorista de Caminhão Basculante</t>
        </is>
      </c>
      <c r="D38" s="11" t="inlineStr">
        <is>
          <t>DIRETO</t>
        </is>
      </c>
      <c r="E38" s="12" t="n">
        <v>11</v>
      </c>
      <c r="F38" s="13" t="n">
        <v>6341.17</v>
      </c>
      <c r="G38" s="13">
        <f>E38*F38</f>
        <v/>
      </c>
      <c r="H38" s="12" t="n">
        <v>11.73</v>
      </c>
      <c r="I38" s="13">
        <f>G38*H38</f>
        <v/>
      </c>
    </row>
    <row r="39">
      <c r="A39" s="10" t="inlineStr">
        <is>
          <t>MÃO DE OBRA</t>
        </is>
      </c>
      <c r="B39" s="10" t="inlineStr">
        <is>
          <t>P0001</t>
        </is>
      </c>
      <c r="C39" s="10" t="inlineStr">
        <is>
          <t>Ajudante</t>
        </is>
      </c>
      <c r="D39" s="11" t="inlineStr">
        <is>
          <t>DIRETO</t>
        </is>
      </c>
      <c r="E39" s="12" t="n">
        <v>2</v>
      </c>
      <c r="F39" s="13" t="n">
        <v>4209.32</v>
      </c>
      <c r="G39" s="13">
        <f>E39*F39</f>
        <v/>
      </c>
      <c r="H39" s="12" t="n">
        <v>11.73</v>
      </c>
      <c r="I39" s="13">
        <f>G39*H39</f>
        <v/>
      </c>
    </row>
    <row r="40">
      <c r="A40" s="10" t="inlineStr">
        <is>
          <t>MÃO DE OBRA</t>
        </is>
      </c>
      <c r="B40" s="10" t="inlineStr">
        <is>
          <t>P0065</t>
        </is>
      </c>
      <c r="C40" s="10" t="inlineStr">
        <is>
          <t>Encarregado de Frente</t>
        </is>
      </c>
      <c r="D40" s="11" t="inlineStr">
        <is>
          <t>DIRETO</t>
        </is>
      </c>
      <c r="E40" s="12" t="n">
        <v>1</v>
      </c>
      <c r="F40" s="13" t="n">
        <v>7500</v>
      </c>
      <c r="G40" s="13">
        <f>E40*F40</f>
        <v/>
      </c>
      <c r="H40" s="12" t="n">
        <v>11.73</v>
      </c>
      <c r="I40" s="13">
        <f>G40*H40</f>
        <v/>
      </c>
    </row>
    <row r="41">
      <c r="A41" s="10" t="inlineStr">
        <is>
          <t>EQUIPAMENTO</t>
        </is>
      </c>
      <c r="B41" s="10" t="inlineStr">
        <is>
          <t>EQ-E0016</t>
        </is>
      </c>
      <c r="C41" s="10" t="inlineStr">
        <is>
          <t>Escavadeira Hidráulica 22t</t>
        </is>
      </c>
      <c r="D41" s="14" t="inlineStr">
        <is>
          <t>—</t>
        </is>
      </c>
      <c r="E41" s="12" t="n">
        <v>2</v>
      </c>
      <c r="F41" s="13" t="n">
        <v>35639.3</v>
      </c>
      <c r="G41" s="13">
        <f>E41*F41</f>
        <v/>
      </c>
      <c r="H41" s="12" t="n">
        <v>11.73</v>
      </c>
      <c r="I41" s="13">
        <f>G41*H41</f>
        <v/>
      </c>
    </row>
    <row r="42">
      <c r="A42" s="16" t="inlineStr">
        <is>
          <t>Subtotal eap-1_4</t>
        </is>
      </c>
      <c r="B42" s="17" t="n"/>
      <c r="C42" s="17" t="n"/>
      <c r="D42" s="17" t="n"/>
      <c r="E42" s="17" t="n"/>
      <c r="F42" s="17" t="n"/>
      <c r="G42" s="18">
        <f>SUM(G37:G41)</f>
        <v/>
      </c>
      <c r="H42" s="19" t="n">
        <v>11.73</v>
      </c>
      <c r="I42" s="18">
        <f>SUM(I37:I41)</f>
        <v/>
      </c>
    </row>
    <row r="43">
      <c r="A43" s="9" t="inlineStr">
        <is>
          <t>eap-1_5 — Esc/carg/transp 3aCat DMT&lt;=2000m</t>
        </is>
      </c>
    </row>
    <row r="44">
      <c r="A44" s="20" t="inlineStr">
        <is>
          <t>MÃO DE OBRA</t>
        </is>
      </c>
      <c r="B44" s="20" t="inlineStr">
        <is>
          <t>P0040</t>
        </is>
      </c>
      <c r="C44" s="20" t="inlineStr">
        <is>
          <t>Operador de Escavadeira</t>
        </is>
      </c>
      <c r="D44" s="21" t="inlineStr">
        <is>
          <t>DIRETO</t>
        </is>
      </c>
      <c r="E44" s="22" t="n">
        <v>4</v>
      </c>
      <c r="F44" s="23" t="n">
        <v>10300</v>
      </c>
      <c r="G44" s="23">
        <f>E44*F44</f>
        <v/>
      </c>
      <c r="H44" s="22" t="n">
        <v>11.27</v>
      </c>
      <c r="I44" s="23">
        <f>G44*H44</f>
        <v/>
      </c>
    </row>
    <row r="45">
      <c r="A45" s="20" t="inlineStr">
        <is>
          <t>MÃO DE OBRA</t>
        </is>
      </c>
      <c r="B45" s="20" t="inlineStr">
        <is>
          <t>P0032</t>
        </is>
      </c>
      <c r="C45" s="20" t="inlineStr">
        <is>
          <t>Motorista de Caminhão Basculante</t>
        </is>
      </c>
      <c r="D45" s="21" t="inlineStr">
        <is>
          <t>DIRETO</t>
        </is>
      </c>
      <c r="E45" s="22" t="n">
        <v>25</v>
      </c>
      <c r="F45" s="23" t="n">
        <v>6341.17</v>
      </c>
      <c r="G45" s="23">
        <f>E45*F45</f>
        <v/>
      </c>
      <c r="H45" s="22" t="n">
        <v>11.27</v>
      </c>
      <c r="I45" s="23">
        <f>G45*H45</f>
        <v/>
      </c>
    </row>
    <row r="46">
      <c r="A46" s="20" t="inlineStr">
        <is>
          <t>MÃO DE OBRA</t>
        </is>
      </c>
      <c r="B46" s="20" t="inlineStr">
        <is>
          <t>P0001</t>
        </is>
      </c>
      <c r="C46" s="20" t="inlineStr">
        <is>
          <t>Ajudante</t>
        </is>
      </c>
      <c r="D46" s="21" t="inlineStr">
        <is>
          <t>DIRETO</t>
        </is>
      </c>
      <c r="E46" s="22" t="n">
        <v>4</v>
      </c>
      <c r="F46" s="23" t="n">
        <v>4209.32</v>
      </c>
      <c r="G46" s="23">
        <f>E46*F46</f>
        <v/>
      </c>
      <c r="H46" s="22" t="n">
        <v>11.27</v>
      </c>
      <c r="I46" s="23">
        <f>G46*H46</f>
        <v/>
      </c>
    </row>
    <row r="47">
      <c r="A47" s="20" t="inlineStr">
        <is>
          <t>EQUIPAMENTO</t>
        </is>
      </c>
      <c r="B47" s="20" t="inlineStr">
        <is>
          <t>EQ-E0016</t>
        </is>
      </c>
      <c r="C47" s="20" t="inlineStr">
        <is>
          <t>Escavadeira Hidráulica 22t</t>
        </is>
      </c>
      <c r="D47" s="24" t="inlineStr">
        <is>
          <t>—</t>
        </is>
      </c>
      <c r="E47" s="22" t="n">
        <v>4</v>
      </c>
      <c r="F47" s="23" t="n">
        <v>35639.3</v>
      </c>
      <c r="G47" s="23">
        <f>E47*F47</f>
        <v/>
      </c>
      <c r="H47" s="22" t="n">
        <v>11.27</v>
      </c>
      <c r="I47" s="23">
        <f>G47*H47</f>
        <v/>
      </c>
    </row>
    <row r="48">
      <c r="A48" s="16" t="inlineStr">
        <is>
          <t>Subtotal eap-1_5</t>
        </is>
      </c>
      <c r="B48" s="17" t="n"/>
      <c r="C48" s="17" t="n"/>
      <c r="D48" s="17" t="n"/>
      <c r="E48" s="17" t="n"/>
      <c r="F48" s="17" t="n"/>
      <c r="G48" s="18">
        <f>SUM(G44:G47)</f>
        <v/>
      </c>
      <c r="H48" s="19" t="n">
        <v>11.27</v>
      </c>
      <c r="I48" s="18">
        <f>SUM(I44:I47)</f>
        <v/>
      </c>
    </row>
    <row r="49">
      <c r="A49" s="9" t="inlineStr">
        <is>
          <t>eap-1_6 — Esc/carg/transp 3aCat DMT&lt;=3000m</t>
        </is>
      </c>
    </row>
    <row r="50">
      <c r="A50" s="10" t="inlineStr">
        <is>
          <t>MÃO DE OBRA</t>
        </is>
      </c>
      <c r="B50" s="10" t="inlineStr">
        <is>
          <t>P0040</t>
        </is>
      </c>
      <c r="C50" s="10" t="inlineStr">
        <is>
          <t>Operador de Escavadeira</t>
        </is>
      </c>
      <c r="D50" s="11" t="inlineStr">
        <is>
          <t>DIRETO</t>
        </is>
      </c>
      <c r="E50" s="12" t="n">
        <v>4</v>
      </c>
      <c r="F50" s="13" t="n">
        <v>10300</v>
      </c>
      <c r="G50" s="13">
        <f>E50*F50</f>
        <v/>
      </c>
      <c r="H50" s="12" t="n">
        <v>11.27</v>
      </c>
      <c r="I50" s="13">
        <f>G50*H50</f>
        <v/>
      </c>
    </row>
    <row r="51">
      <c r="A51" s="10" t="inlineStr">
        <is>
          <t>MÃO DE OBRA</t>
        </is>
      </c>
      <c r="B51" s="10" t="inlineStr">
        <is>
          <t>P0032</t>
        </is>
      </c>
      <c r="C51" s="10" t="inlineStr">
        <is>
          <t>Motorista de Caminhão Basculante</t>
        </is>
      </c>
      <c r="D51" s="11" t="inlineStr">
        <is>
          <t>DIRETO</t>
        </is>
      </c>
      <c r="E51" s="12" t="n">
        <v>25</v>
      </c>
      <c r="F51" s="13" t="n">
        <v>6341.17</v>
      </c>
      <c r="G51" s="13">
        <f>E51*F51</f>
        <v/>
      </c>
      <c r="H51" s="12" t="n">
        <v>11.27</v>
      </c>
      <c r="I51" s="13">
        <f>G51*H51</f>
        <v/>
      </c>
    </row>
    <row r="52">
      <c r="A52" s="10" t="inlineStr">
        <is>
          <t>MÃO DE OBRA</t>
        </is>
      </c>
      <c r="B52" s="10" t="inlineStr">
        <is>
          <t>P0001</t>
        </is>
      </c>
      <c r="C52" s="10" t="inlineStr">
        <is>
          <t>Ajudante</t>
        </is>
      </c>
      <c r="D52" s="11" t="inlineStr">
        <is>
          <t>DIRETO</t>
        </is>
      </c>
      <c r="E52" s="12" t="n">
        <v>4</v>
      </c>
      <c r="F52" s="13" t="n">
        <v>4209.32</v>
      </c>
      <c r="G52" s="13">
        <f>E52*F52</f>
        <v/>
      </c>
      <c r="H52" s="12" t="n">
        <v>11.27</v>
      </c>
      <c r="I52" s="13">
        <f>G52*H52</f>
        <v/>
      </c>
    </row>
    <row r="53">
      <c r="A53" s="10" t="inlineStr">
        <is>
          <t>EQUIPAMENTO</t>
        </is>
      </c>
      <c r="B53" s="10" t="inlineStr">
        <is>
          <t>EQ-E0016</t>
        </is>
      </c>
      <c r="C53" s="10" t="inlineStr">
        <is>
          <t>Escavadeira Hidráulica 22t</t>
        </is>
      </c>
      <c r="D53" s="14" t="inlineStr">
        <is>
          <t>—</t>
        </is>
      </c>
      <c r="E53" s="12" t="n">
        <v>4</v>
      </c>
      <c r="F53" s="13" t="n">
        <v>35639.3</v>
      </c>
      <c r="G53" s="13">
        <f>E53*F53</f>
        <v/>
      </c>
      <c r="H53" s="12" t="n">
        <v>11.27</v>
      </c>
      <c r="I53" s="13">
        <f>G53*H53</f>
        <v/>
      </c>
    </row>
    <row r="54">
      <c r="A54" s="16" t="inlineStr">
        <is>
          <t>Subtotal eap-1_6</t>
        </is>
      </c>
      <c r="B54" s="17" t="n"/>
      <c r="C54" s="17" t="n"/>
      <c r="D54" s="17" t="n"/>
      <c r="E54" s="17" t="n"/>
      <c r="F54" s="17" t="n"/>
      <c r="G54" s="18">
        <f>SUM(G50:G53)</f>
        <v/>
      </c>
      <c r="H54" s="19" t="n">
        <v>11.27</v>
      </c>
      <c r="I54" s="18">
        <f>SUM(I50:I53)</f>
        <v/>
      </c>
    </row>
    <row r="55">
      <c r="A55" s="9" t="inlineStr">
        <is>
          <t>eap-1_7 — Compactacao aterros 100% Proctor Normal</t>
        </is>
      </c>
    </row>
    <row r="56">
      <c r="A56" s="20" t="inlineStr">
        <is>
          <t>MÃO DE OBRA</t>
        </is>
      </c>
      <c r="B56" s="20" t="inlineStr">
        <is>
          <t>P0043</t>
        </is>
      </c>
      <c r="C56" s="20" t="inlineStr">
        <is>
          <t>Operador de Motoniveladora</t>
        </is>
      </c>
      <c r="D56" s="21" t="inlineStr">
        <is>
          <t>DIRETO</t>
        </is>
      </c>
      <c r="E56" s="22" t="n">
        <v>3</v>
      </c>
      <c r="F56" s="23" t="n">
        <v>10300</v>
      </c>
      <c r="G56" s="23">
        <f>E56*F56</f>
        <v/>
      </c>
      <c r="H56" s="22" t="n">
        <v>11.73</v>
      </c>
      <c r="I56" s="23">
        <f>G56*H56</f>
        <v/>
      </c>
    </row>
    <row r="57">
      <c r="A57" s="20" t="inlineStr">
        <is>
          <t>MÃO DE OBRA</t>
        </is>
      </c>
      <c r="B57" s="20" t="inlineStr">
        <is>
          <t>P0049</t>
        </is>
      </c>
      <c r="C57" s="20" t="inlineStr">
        <is>
          <t>Operador de Trator de Pneu</t>
        </is>
      </c>
      <c r="D57" s="21" t="inlineStr">
        <is>
          <t>DIRETO</t>
        </is>
      </c>
      <c r="E57" s="22" t="n">
        <v>3</v>
      </c>
      <c r="F57" s="23" t="n">
        <v>6341.17</v>
      </c>
      <c r="G57" s="23">
        <f>E57*F57</f>
        <v/>
      </c>
      <c r="H57" s="22" t="n">
        <v>11.73</v>
      </c>
      <c r="I57" s="23">
        <f>G57*H57</f>
        <v/>
      </c>
    </row>
    <row r="58">
      <c r="A58" s="20" t="inlineStr">
        <is>
          <t>MÃO DE OBRA</t>
        </is>
      </c>
      <c r="B58" s="20" t="inlineStr">
        <is>
          <t>P0033</t>
        </is>
      </c>
      <c r="C58" s="20" t="inlineStr">
        <is>
          <t>Motorista de Caminhão Pipa</t>
        </is>
      </c>
      <c r="D58" s="21" t="inlineStr">
        <is>
          <t>DIRETO</t>
        </is>
      </c>
      <c r="E58" s="22" t="n">
        <v>3</v>
      </c>
      <c r="F58" s="23" t="n">
        <v>6341.17</v>
      </c>
      <c r="G58" s="23">
        <f>E58*F58</f>
        <v/>
      </c>
      <c r="H58" s="22" t="n">
        <v>11.73</v>
      </c>
      <c r="I58" s="23">
        <f>G58*H58</f>
        <v/>
      </c>
    </row>
    <row r="59">
      <c r="A59" s="20" t="inlineStr">
        <is>
          <t>MÃO DE OBRA</t>
        </is>
      </c>
      <c r="B59" s="20" t="inlineStr">
        <is>
          <t>P0046</t>
        </is>
      </c>
      <c r="C59" s="20" t="inlineStr">
        <is>
          <t>Operador de Rolo Compactador</t>
        </is>
      </c>
      <c r="D59" s="21" t="inlineStr">
        <is>
          <t>DIRETO</t>
        </is>
      </c>
      <c r="E59" s="22" t="n">
        <v>6</v>
      </c>
      <c r="F59" s="23" t="n">
        <v>6341.17</v>
      </c>
      <c r="G59" s="23">
        <f>E59*F59</f>
        <v/>
      </c>
      <c r="H59" s="22" t="n">
        <v>11.73</v>
      </c>
      <c r="I59" s="23">
        <f>G59*H59</f>
        <v/>
      </c>
    </row>
    <row r="60">
      <c r="A60" s="20" t="inlineStr">
        <is>
          <t>MÃO DE OBRA</t>
        </is>
      </c>
      <c r="B60" s="20" t="inlineStr">
        <is>
          <t>P0001</t>
        </is>
      </c>
      <c r="C60" s="20" t="inlineStr">
        <is>
          <t>Ajudante</t>
        </is>
      </c>
      <c r="D60" s="21" t="inlineStr">
        <is>
          <t>DIRETO</t>
        </is>
      </c>
      <c r="E60" s="22" t="n">
        <v>6</v>
      </c>
      <c r="F60" s="23" t="n">
        <v>4209.32</v>
      </c>
      <c r="G60" s="23">
        <f>E60*F60</f>
        <v/>
      </c>
      <c r="H60" s="22" t="n">
        <v>11.73</v>
      </c>
      <c r="I60" s="23">
        <f>G60*H60</f>
        <v/>
      </c>
    </row>
    <row r="61">
      <c r="A61" s="20" t="inlineStr">
        <is>
          <t>MÃO DE OBRA</t>
        </is>
      </c>
      <c r="B61" s="20" t="inlineStr">
        <is>
          <t>P0029</t>
        </is>
      </c>
      <c r="C61" s="20" t="inlineStr">
        <is>
          <t>Gredista</t>
        </is>
      </c>
      <c r="D61" s="21" t="inlineStr">
        <is>
          <t>DIRETO</t>
        </is>
      </c>
      <c r="E61" s="22" t="n">
        <v>3</v>
      </c>
      <c r="F61" s="23" t="n">
        <v>6341.17</v>
      </c>
      <c r="G61" s="23">
        <f>E61*F61</f>
        <v/>
      </c>
      <c r="H61" s="22" t="n">
        <v>11.73</v>
      </c>
      <c r="I61" s="23">
        <f>G61*H61</f>
        <v/>
      </c>
    </row>
    <row r="62">
      <c r="A62" s="20" t="inlineStr">
        <is>
          <t>MÃO DE OBRA</t>
        </is>
      </c>
      <c r="B62" s="20" t="inlineStr">
        <is>
          <t>P0065</t>
        </is>
      </c>
      <c r="C62" s="20" t="inlineStr">
        <is>
          <t>Encarregado de Frente</t>
        </is>
      </c>
      <c r="D62" s="21" t="inlineStr">
        <is>
          <t>DIRETO</t>
        </is>
      </c>
      <c r="E62" s="22" t="n">
        <v>2</v>
      </c>
      <c r="F62" s="23" t="n">
        <v>7500</v>
      </c>
      <c r="G62" s="23">
        <f>E62*F62</f>
        <v/>
      </c>
      <c r="H62" s="22" t="n">
        <v>11.73</v>
      </c>
      <c r="I62" s="23">
        <f>G62*H62</f>
        <v/>
      </c>
    </row>
    <row r="63">
      <c r="A63" s="20" t="inlineStr">
        <is>
          <t>EQUIPAMENTO</t>
        </is>
      </c>
      <c r="B63" s="20" t="inlineStr">
        <is>
          <t>EQ-E0028</t>
        </is>
      </c>
      <c r="C63" s="20" t="inlineStr">
        <is>
          <t>Motoniveladora 120HP</t>
        </is>
      </c>
      <c r="D63" s="24" t="inlineStr">
        <is>
          <t>—</t>
        </is>
      </c>
      <c r="E63" s="22" t="n">
        <v>3</v>
      </c>
      <c r="F63" s="23" t="n">
        <v>36664.32</v>
      </c>
      <c r="G63" s="23">
        <f>E63*F63</f>
        <v/>
      </c>
      <c r="H63" s="22" t="n">
        <v>11.73</v>
      </c>
      <c r="I63" s="23">
        <f>G63*H63</f>
        <v/>
      </c>
    </row>
    <row r="64">
      <c r="A64" s="25" t="inlineStr">
        <is>
          <t>COMBUSTÍVEL</t>
        </is>
      </c>
      <c r="B64" s="20" t="inlineStr">
        <is>
          <t>EQ-E0028</t>
        </is>
      </c>
      <c r="C64" s="20" t="inlineStr">
        <is>
          <t>Diesel S-10 (9.0 L/h)</t>
        </is>
      </c>
      <c r="D64" s="24" t="inlineStr">
        <is>
          <t>—</t>
        </is>
      </c>
      <c r="E64" s="22" t="n">
        <v>3</v>
      </c>
      <c r="F64" s="23" t="n">
        <v>11478.86</v>
      </c>
      <c r="G64" s="23">
        <f>E64*F64</f>
        <v/>
      </c>
      <c r="H64" s="22" t="n">
        <v>11.73</v>
      </c>
      <c r="I64" s="23">
        <f>G64*H64</f>
        <v/>
      </c>
    </row>
    <row r="65">
      <c r="A65" s="20" t="inlineStr">
        <is>
          <t>EQUIPAMENTO</t>
        </is>
      </c>
      <c r="B65" s="20" t="inlineStr">
        <is>
          <t>EQ-E0034</t>
        </is>
      </c>
      <c r="C65" s="20" t="inlineStr">
        <is>
          <t>Trator de pneus com grade</t>
        </is>
      </c>
      <c r="D65" s="24" t="inlineStr">
        <is>
          <t>—</t>
        </is>
      </c>
      <c r="E65" s="22" t="n">
        <v>3</v>
      </c>
      <c r="F65" s="23" t="n">
        <v>7744</v>
      </c>
      <c r="G65" s="23">
        <f>E65*F65</f>
        <v/>
      </c>
      <c r="H65" s="22" t="n">
        <v>11.73</v>
      </c>
      <c r="I65" s="23">
        <f>G65*H65</f>
        <v/>
      </c>
    </row>
    <row r="66">
      <c r="A66" s="25" t="inlineStr">
        <is>
          <t>COMBUSTÍVEL</t>
        </is>
      </c>
      <c r="B66" s="20" t="inlineStr">
        <is>
          <t>EQ-E0034</t>
        </is>
      </c>
      <c r="C66" s="20" t="inlineStr">
        <is>
          <t>Diesel S-10 (8.0 L/h)</t>
        </is>
      </c>
      <c r="D66" s="24" t="inlineStr">
        <is>
          <t>—</t>
        </is>
      </c>
      <c r="E66" s="22" t="n">
        <v>3</v>
      </c>
      <c r="F66" s="23" t="n">
        <v>10203.43</v>
      </c>
      <c r="G66" s="23">
        <f>E66*F66</f>
        <v/>
      </c>
      <c r="H66" s="22" t="n">
        <v>11.73</v>
      </c>
      <c r="I66" s="23">
        <f>G66*H66</f>
        <v/>
      </c>
    </row>
    <row r="67">
      <c r="A67" s="16" t="inlineStr">
        <is>
          <t>Subtotal eap-1_7</t>
        </is>
      </c>
      <c r="B67" s="17" t="n"/>
      <c r="C67" s="17" t="n"/>
      <c r="D67" s="17" t="n"/>
      <c r="E67" s="17" t="n"/>
      <c r="F67" s="17" t="n"/>
      <c r="G67" s="18">
        <f>SUM(G56:G66)</f>
        <v/>
      </c>
      <c r="H67" s="19" t="n">
        <v>11.73</v>
      </c>
      <c r="I67" s="18">
        <f>SUM(I56:I66)</f>
        <v/>
      </c>
    </row>
    <row r="68">
      <c r="A68" s="9" t="inlineStr">
        <is>
          <t>eap-1_8 — Compactacao aterros 100% Proctor Intermediario</t>
        </is>
      </c>
    </row>
    <row r="69">
      <c r="A69" s="10" t="inlineStr">
        <is>
          <t>MÃO DE OBRA</t>
        </is>
      </c>
      <c r="B69" s="10" t="inlineStr">
        <is>
          <t>P0043</t>
        </is>
      </c>
      <c r="C69" s="10" t="inlineStr">
        <is>
          <t>Operador de Motoniveladora</t>
        </is>
      </c>
      <c r="D69" s="11" t="inlineStr">
        <is>
          <t>DIRETO</t>
        </is>
      </c>
      <c r="E69" s="12" t="n">
        <v>3</v>
      </c>
      <c r="F69" s="13" t="n">
        <v>10300</v>
      </c>
      <c r="G69" s="13">
        <f>E69*F69</f>
        <v/>
      </c>
      <c r="H69" s="12" t="n">
        <v>0.6899999999999999</v>
      </c>
      <c r="I69" s="13">
        <f>G69*H69</f>
        <v/>
      </c>
    </row>
    <row r="70">
      <c r="A70" s="10" t="inlineStr">
        <is>
          <t>MÃO DE OBRA</t>
        </is>
      </c>
      <c r="B70" s="10" t="inlineStr">
        <is>
          <t>P0049</t>
        </is>
      </c>
      <c r="C70" s="10" t="inlineStr">
        <is>
          <t>Operador de Trator de Pneu</t>
        </is>
      </c>
      <c r="D70" s="11" t="inlineStr">
        <is>
          <t>DIRETO</t>
        </is>
      </c>
      <c r="E70" s="12" t="n">
        <v>3</v>
      </c>
      <c r="F70" s="13" t="n">
        <v>6341.17</v>
      </c>
      <c r="G70" s="13">
        <f>E70*F70</f>
        <v/>
      </c>
      <c r="H70" s="12" t="n">
        <v>0.6899999999999999</v>
      </c>
      <c r="I70" s="13">
        <f>G70*H70</f>
        <v/>
      </c>
    </row>
    <row r="71">
      <c r="A71" s="10" t="inlineStr">
        <is>
          <t>MÃO DE OBRA</t>
        </is>
      </c>
      <c r="B71" s="10" t="inlineStr">
        <is>
          <t>P0033</t>
        </is>
      </c>
      <c r="C71" s="10" t="inlineStr">
        <is>
          <t>Motorista de Caminhão Pipa</t>
        </is>
      </c>
      <c r="D71" s="11" t="inlineStr">
        <is>
          <t>DIRETO</t>
        </is>
      </c>
      <c r="E71" s="12" t="n">
        <v>3</v>
      </c>
      <c r="F71" s="13" t="n">
        <v>6341.17</v>
      </c>
      <c r="G71" s="13">
        <f>E71*F71</f>
        <v/>
      </c>
      <c r="H71" s="12" t="n">
        <v>0.6899999999999999</v>
      </c>
      <c r="I71" s="13">
        <f>G71*H71</f>
        <v/>
      </c>
    </row>
    <row r="72">
      <c r="A72" s="10" t="inlineStr">
        <is>
          <t>MÃO DE OBRA</t>
        </is>
      </c>
      <c r="B72" s="10" t="inlineStr">
        <is>
          <t>P0046</t>
        </is>
      </c>
      <c r="C72" s="10" t="inlineStr">
        <is>
          <t>Operador de Rolo Compactador</t>
        </is>
      </c>
      <c r="D72" s="11" t="inlineStr">
        <is>
          <t>DIRETO</t>
        </is>
      </c>
      <c r="E72" s="12" t="n">
        <v>6</v>
      </c>
      <c r="F72" s="13" t="n">
        <v>6341.17</v>
      </c>
      <c r="G72" s="13">
        <f>E72*F72</f>
        <v/>
      </c>
      <c r="H72" s="12" t="n">
        <v>0.6899999999999999</v>
      </c>
      <c r="I72" s="13">
        <f>G72*H72</f>
        <v/>
      </c>
    </row>
    <row r="73">
      <c r="A73" s="10" t="inlineStr">
        <is>
          <t>MÃO DE OBRA</t>
        </is>
      </c>
      <c r="B73" s="10" t="inlineStr">
        <is>
          <t>P0001</t>
        </is>
      </c>
      <c r="C73" s="10" t="inlineStr">
        <is>
          <t>Ajudante</t>
        </is>
      </c>
      <c r="D73" s="11" t="inlineStr">
        <is>
          <t>DIRETO</t>
        </is>
      </c>
      <c r="E73" s="12" t="n">
        <v>6</v>
      </c>
      <c r="F73" s="13" t="n">
        <v>4209.32</v>
      </c>
      <c r="G73" s="13">
        <f>E73*F73</f>
        <v/>
      </c>
      <c r="H73" s="12" t="n">
        <v>0.6899999999999999</v>
      </c>
      <c r="I73" s="13">
        <f>G73*H73</f>
        <v/>
      </c>
    </row>
    <row r="74">
      <c r="A74" s="10" t="inlineStr">
        <is>
          <t>MÃO DE OBRA</t>
        </is>
      </c>
      <c r="B74" s="10" t="inlineStr">
        <is>
          <t>P0029</t>
        </is>
      </c>
      <c r="C74" s="10" t="inlineStr">
        <is>
          <t>Gredista</t>
        </is>
      </c>
      <c r="D74" s="11" t="inlineStr">
        <is>
          <t>DIRETO</t>
        </is>
      </c>
      <c r="E74" s="12" t="n">
        <v>3</v>
      </c>
      <c r="F74" s="13" t="n">
        <v>6341.17</v>
      </c>
      <c r="G74" s="13">
        <f>E74*F74</f>
        <v/>
      </c>
      <c r="H74" s="12" t="n">
        <v>0.6899999999999999</v>
      </c>
      <c r="I74" s="13">
        <f>G74*H74</f>
        <v/>
      </c>
    </row>
    <row r="75">
      <c r="A75" s="10" t="inlineStr">
        <is>
          <t>MÃO DE OBRA</t>
        </is>
      </c>
      <c r="B75" s="10" t="inlineStr">
        <is>
          <t>P0065</t>
        </is>
      </c>
      <c r="C75" s="10" t="inlineStr">
        <is>
          <t>Encarregado de Frente</t>
        </is>
      </c>
      <c r="D75" s="11" t="inlineStr">
        <is>
          <t>DIRETO</t>
        </is>
      </c>
      <c r="E75" s="12" t="n">
        <v>2</v>
      </c>
      <c r="F75" s="13" t="n">
        <v>7500</v>
      </c>
      <c r="G75" s="13">
        <f>E75*F75</f>
        <v/>
      </c>
      <c r="H75" s="12" t="n">
        <v>0.6899999999999999</v>
      </c>
      <c r="I75" s="13">
        <f>G75*H75</f>
        <v/>
      </c>
    </row>
    <row r="76">
      <c r="A76" s="10" t="inlineStr">
        <is>
          <t>EQUIPAMENTO</t>
        </is>
      </c>
      <c r="B76" s="10" t="inlineStr">
        <is>
          <t>EQ-E0028</t>
        </is>
      </c>
      <c r="C76" s="10" t="inlineStr">
        <is>
          <t>Motoniveladora 120HP</t>
        </is>
      </c>
      <c r="D76" s="14" t="inlineStr">
        <is>
          <t>—</t>
        </is>
      </c>
      <c r="E76" s="12" t="n">
        <v>3</v>
      </c>
      <c r="F76" s="13" t="n">
        <v>36664.32</v>
      </c>
      <c r="G76" s="13">
        <f>E76*F76</f>
        <v/>
      </c>
      <c r="H76" s="12" t="n">
        <v>0.6899999999999999</v>
      </c>
      <c r="I76" s="13">
        <f>G76*H76</f>
        <v/>
      </c>
    </row>
    <row r="77">
      <c r="A77" s="15" t="inlineStr">
        <is>
          <t>COMBUSTÍVEL</t>
        </is>
      </c>
      <c r="B77" s="10" t="inlineStr">
        <is>
          <t>EQ-E0028</t>
        </is>
      </c>
      <c r="C77" s="10" t="inlineStr">
        <is>
          <t>Diesel S-10 (9.0 L/h)</t>
        </is>
      </c>
      <c r="D77" s="14" t="inlineStr">
        <is>
          <t>—</t>
        </is>
      </c>
      <c r="E77" s="12" t="n">
        <v>3</v>
      </c>
      <c r="F77" s="13" t="n">
        <v>11478.86</v>
      </c>
      <c r="G77" s="13">
        <f>E77*F77</f>
        <v/>
      </c>
      <c r="H77" s="12" t="n">
        <v>0.6899999999999999</v>
      </c>
      <c r="I77" s="13">
        <f>G77*H77</f>
        <v/>
      </c>
    </row>
    <row r="78">
      <c r="A78" s="10" t="inlineStr">
        <is>
          <t>EQUIPAMENTO</t>
        </is>
      </c>
      <c r="B78" s="10" t="inlineStr">
        <is>
          <t>EQ-E0034</t>
        </is>
      </c>
      <c r="C78" s="10" t="inlineStr">
        <is>
          <t>Trator de pneus com grade</t>
        </is>
      </c>
      <c r="D78" s="14" t="inlineStr">
        <is>
          <t>—</t>
        </is>
      </c>
      <c r="E78" s="12" t="n">
        <v>3</v>
      </c>
      <c r="F78" s="13" t="n">
        <v>7744</v>
      </c>
      <c r="G78" s="13">
        <f>E78*F78</f>
        <v/>
      </c>
      <c r="H78" s="12" t="n">
        <v>0.6899999999999999</v>
      </c>
      <c r="I78" s="13">
        <f>G78*H78</f>
        <v/>
      </c>
    </row>
    <row r="79">
      <c r="A79" s="15" t="inlineStr">
        <is>
          <t>COMBUSTÍVEL</t>
        </is>
      </c>
      <c r="B79" s="10" t="inlineStr">
        <is>
          <t>EQ-E0034</t>
        </is>
      </c>
      <c r="C79" s="10" t="inlineStr">
        <is>
          <t>Diesel S-10 (8.0 L/h)</t>
        </is>
      </c>
      <c r="D79" s="14" t="inlineStr">
        <is>
          <t>—</t>
        </is>
      </c>
      <c r="E79" s="12" t="n">
        <v>3</v>
      </c>
      <c r="F79" s="13" t="n">
        <v>10203.43</v>
      </c>
      <c r="G79" s="13">
        <f>E79*F79</f>
        <v/>
      </c>
      <c r="H79" s="12" t="n">
        <v>0.6899999999999999</v>
      </c>
      <c r="I79" s="13">
        <f>G79*H79</f>
        <v/>
      </c>
    </row>
    <row r="80">
      <c r="A80" s="16" t="inlineStr">
        <is>
          <t>Subtotal eap-1_8</t>
        </is>
      </c>
      <c r="B80" s="17" t="n"/>
      <c r="C80" s="17" t="n"/>
      <c r="D80" s="17" t="n"/>
      <c r="E80" s="17" t="n"/>
      <c r="F80" s="17" t="n"/>
      <c r="G80" s="18">
        <f>SUM(G69:G79)</f>
        <v/>
      </c>
      <c r="H80" s="19" t="n">
        <v>0.6899999999999999</v>
      </c>
      <c r="I80" s="18">
        <f>SUM(I69:I79)</f>
        <v/>
      </c>
    </row>
    <row r="81">
      <c r="A81" s="9" t="inlineStr">
        <is>
          <t>eap-1_9 — Construcao corpo aterro material 3a categoria</t>
        </is>
      </c>
    </row>
    <row r="82">
      <c r="A82" s="20" t="inlineStr">
        <is>
          <t>MÃO DE OBRA</t>
        </is>
      </c>
      <c r="B82" s="20" t="inlineStr">
        <is>
          <t>P0048</t>
        </is>
      </c>
      <c r="C82" s="20" t="inlineStr">
        <is>
          <t>Operador de Trator de Esteiras</t>
        </is>
      </c>
      <c r="D82" s="21" t="inlineStr">
        <is>
          <t>DIRETO</t>
        </is>
      </c>
      <c r="E82" s="22" t="n">
        <v>2</v>
      </c>
      <c r="F82" s="23" t="n">
        <v>10300</v>
      </c>
      <c r="G82" s="23">
        <f>E82*F82</f>
        <v/>
      </c>
      <c r="H82" s="22" t="n">
        <v>11.96</v>
      </c>
      <c r="I82" s="23">
        <f>G82*H82</f>
        <v/>
      </c>
    </row>
    <row r="83">
      <c r="A83" s="20" t="inlineStr">
        <is>
          <t>MÃO DE OBRA</t>
        </is>
      </c>
      <c r="B83" s="20" t="inlineStr">
        <is>
          <t>P0046</t>
        </is>
      </c>
      <c r="C83" s="20" t="inlineStr">
        <is>
          <t>Operador de Rolo Compactador</t>
        </is>
      </c>
      <c r="D83" s="21" t="inlineStr">
        <is>
          <t>DIRETO</t>
        </is>
      </c>
      <c r="E83" s="22" t="n">
        <v>4</v>
      </c>
      <c r="F83" s="23" t="n">
        <v>6341.17</v>
      </c>
      <c r="G83" s="23">
        <f>E83*F83</f>
        <v/>
      </c>
      <c r="H83" s="22" t="n">
        <v>11.96</v>
      </c>
      <c r="I83" s="23">
        <f>G83*H83</f>
        <v/>
      </c>
    </row>
    <row r="84">
      <c r="A84" s="20" t="inlineStr">
        <is>
          <t>MÃO DE OBRA</t>
        </is>
      </c>
      <c r="B84" s="20" t="inlineStr">
        <is>
          <t>P0001</t>
        </is>
      </c>
      <c r="C84" s="20" t="inlineStr">
        <is>
          <t>Ajudante</t>
        </is>
      </c>
      <c r="D84" s="21" t="inlineStr">
        <is>
          <t>DIRETO</t>
        </is>
      </c>
      <c r="E84" s="22" t="n">
        <v>4</v>
      </c>
      <c r="F84" s="23" t="n">
        <v>4209.32</v>
      </c>
      <c r="G84" s="23">
        <f>E84*F84</f>
        <v/>
      </c>
      <c r="H84" s="22" t="n">
        <v>11.96</v>
      </c>
      <c r="I84" s="23">
        <f>G84*H84</f>
        <v/>
      </c>
    </row>
    <row r="85">
      <c r="A85" s="20" t="inlineStr">
        <is>
          <t>MÃO DE OBRA</t>
        </is>
      </c>
      <c r="B85" s="20" t="inlineStr">
        <is>
          <t>P0029</t>
        </is>
      </c>
      <c r="C85" s="20" t="inlineStr">
        <is>
          <t>Gredista</t>
        </is>
      </c>
      <c r="D85" s="21" t="inlineStr">
        <is>
          <t>DIRETO</t>
        </is>
      </c>
      <c r="E85" s="22" t="n">
        <v>2</v>
      </c>
      <c r="F85" s="23" t="n">
        <v>6341.17</v>
      </c>
      <c r="G85" s="23">
        <f>E85*F85</f>
        <v/>
      </c>
      <c r="H85" s="22" t="n">
        <v>11.96</v>
      </c>
      <c r="I85" s="23">
        <f>G85*H85</f>
        <v/>
      </c>
    </row>
    <row r="86">
      <c r="A86" s="20" t="inlineStr">
        <is>
          <t>MÃO DE OBRA</t>
        </is>
      </c>
      <c r="B86" s="20" t="inlineStr">
        <is>
          <t>P0065</t>
        </is>
      </c>
      <c r="C86" s="20" t="inlineStr">
        <is>
          <t>Encarregado de Frente</t>
        </is>
      </c>
      <c r="D86" s="21" t="inlineStr">
        <is>
          <t>DIRETO</t>
        </is>
      </c>
      <c r="E86" s="22" t="n">
        <v>1</v>
      </c>
      <c r="F86" s="23" t="n">
        <v>7500</v>
      </c>
      <c r="G86" s="23">
        <f>E86*F86</f>
        <v/>
      </c>
      <c r="H86" s="22" t="n">
        <v>11.96</v>
      </c>
      <c r="I86" s="23">
        <f>G86*H86</f>
        <v/>
      </c>
    </row>
    <row r="87">
      <c r="A87" s="20" t="inlineStr">
        <is>
          <t>EQUIPAMENTO</t>
        </is>
      </c>
      <c r="B87" s="20" t="inlineStr">
        <is>
          <t>EQ-E0037</t>
        </is>
      </c>
      <c r="C87" s="20" t="inlineStr">
        <is>
          <t>Trator de esteiras 40T</t>
        </is>
      </c>
      <c r="D87" s="24" t="inlineStr">
        <is>
          <t>—</t>
        </is>
      </c>
      <c r="E87" s="22" t="n">
        <v>2</v>
      </c>
      <c r="F87" s="23" t="n">
        <v>20421.63</v>
      </c>
      <c r="G87" s="23">
        <f>E87*F87</f>
        <v/>
      </c>
      <c r="H87" s="22" t="n">
        <v>11.96</v>
      </c>
      <c r="I87" s="23">
        <f>G87*H87</f>
        <v/>
      </c>
    </row>
    <row r="88">
      <c r="A88" s="25" t="inlineStr">
        <is>
          <t>COMBUSTÍVEL</t>
        </is>
      </c>
      <c r="B88" s="20" t="inlineStr">
        <is>
          <t>EQ-E0037</t>
        </is>
      </c>
      <c r="C88" s="20" t="inlineStr">
        <is>
          <t>Diesel S-10 (24.0 L/h)</t>
        </is>
      </c>
      <c r="D88" s="24" t="inlineStr">
        <is>
          <t>—</t>
        </is>
      </c>
      <c r="E88" s="22" t="n">
        <v>2</v>
      </c>
      <c r="F88" s="23" t="n">
        <v>30610.29</v>
      </c>
      <c r="G88" s="23">
        <f>E88*F88</f>
        <v/>
      </c>
      <c r="H88" s="22" t="n">
        <v>11.96</v>
      </c>
      <c r="I88" s="23">
        <f>G88*H88</f>
        <v/>
      </c>
    </row>
    <row r="89">
      <c r="A89" s="16" t="inlineStr">
        <is>
          <t>Subtotal eap-1_9</t>
        </is>
      </c>
      <c r="B89" s="17" t="n"/>
      <c r="C89" s="17" t="n"/>
      <c r="D89" s="17" t="n"/>
      <c r="E89" s="17" t="n"/>
      <c r="F89" s="17" t="n"/>
      <c r="G89" s="18">
        <f>SUM(G82:G88)</f>
        <v/>
      </c>
      <c r="H89" s="19" t="n">
        <v>11.96</v>
      </c>
      <c r="I89" s="18">
        <f>SUM(I82:I88)</f>
        <v/>
      </c>
    </row>
    <row r="90">
      <c r="A90" s="9" t="inlineStr">
        <is>
          <t>eap-1_10 — Compactacao camada final aterro sobre rocha</t>
        </is>
      </c>
    </row>
    <row r="91">
      <c r="A91" s="10" t="inlineStr">
        <is>
          <t>MÃO DE OBRA</t>
        </is>
      </c>
      <c r="B91" s="10" t="inlineStr">
        <is>
          <t>P0048</t>
        </is>
      </c>
      <c r="C91" s="10" t="inlineStr">
        <is>
          <t>Operador de Trator de Esteiras</t>
        </is>
      </c>
      <c r="D91" s="11" t="inlineStr">
        <is>
          <t>DIRETO</t>
        </is>
      </c>
      <c r="E91" s="12" t="n">
        <v>1</v>
      </c>
      <c r="F91" s="13" t="n">
        <v>10300</v>
      </c>
      <c r="G91" s="13">
        <f>E91*F91</f>
        <v/>
      </c>
      <c r="H91" s="12" t="n">
        <v>1.38</v>
      </c>
      <c r="I91" s="13">
        <f>G91*H91</f>
        <v/>
      </c>
    </row>
    <row r="92">
      <c r="A92" s="10" t="inlineStr">
        <is>
          <t>MÃO DE OBRA</t>
        </is>
      </c>
      <c r="B92" s="10" t="inlineStr">
        <is>
          <t>P0046</t>
        </is>
      </c>
      <c r="C92" s="10" t="inlineStr">
        <is>
          <t>Operador de Rolo Compactador</t>
        </is>
      </c>
      <c r="D92" s="11" t="inlineStr">
        <is>
          <t>DIRETO</t>
        </is>
      </c>
      <c r="E92" s="12" t="n">
        <v>3</v>
      </c>
      <c r="F92" s="13" t="n">
        <v>6341.17</v>
      </c>
      <c r="G92" s="13">
        <f>E92*F92</f>
        <v/>
      </c>
      <c r="H92" s="12" t="n">
        <v>1.38</v>
      </c>
      <c r="I92" s="13">
        <f>G92*H92</f>
        <v/>
      </c>
    </row>
    <row r="93">
      <c r="A93" s="10" t="inlineStr">
        <is>
          <t>MÃO DE OBRA</t>
        </is>
      </c>
      <c r="B93" s="10" t="inlineStr">
        <is>
          <t>P0033</t>
        </is>
      </c>
      <c r="C93" s="10" t="inlineStr">
        <is>
          <t>Motorista de Caminhão Pipa</t>
        </is>
      </c>
      <c r="D93" s="11" t="inlineStr">
        <is>
          <t>DIRETO</t>
        </is>
      </c>
      <c r="E93" s="12" t="n">
        <v>1</v>
      </c>
      <c r="F93" s="13" t="n">
        <v>6341.17</v>
      </c>
      <c r="G93" s="13">
        <f>E93*F93</f>
        <v/>
      </c>
      <c r="H93" s="12" t="n">
        <v>1.38</v>
      </c>
      <c r="I93" s="13">
        <f>G93*H93</f>
        <v/>
      </c>
    </row>
    <row r="94">
      <c r="A94" s="10" t="inlineStr">
        <is>
          <t>MÃO DE OBRA</t>
        </is>
      </c>
      <c r="B94" s="10" t="inlineStr">
        <is>
          <t>P0001</t>
        </is>
      </c>
      <c r="C94" s="10" t="inlineStr">
        <is>
          <t>Ajudante</t>
        </is>
      </c>
      <c r="D94" s="11" t="inlineStr">
        <is>
          <t>DIRETO</t>
        </is>
      </c>
      <c r="E94" s="12" t="n">
        <v>2</v>
      </c>
      <c r="F94" s="13" t="n">
        <v>4209.32</v>
      </c>
      <c r="G94" s="13">
        <f>E94*F94</f>
        <v/>
      </c>
      <c r="H94" s="12" t="n">
        <v>1.38</v>
      </c>
      <c r="I94" s="13">
        <f>G94*H94</f>
        <v/>
      </c>
    </row>
    <row r="95">
      <c r="A95" s="10" t="inlineStr">
        <is>
          <t>EQUIPAMENTO</t>
        </is>
      </c>
      <c r="B95" s="10" t="inlineStr">
        <is>
          <t>EQ-E0035</t>
        </is>
      </c>
      <c r="C95" s="10" t="inlineStr">
        <is>
          <t>Trator de esteiras 20T</t>
        </is>
      </c>
      <c r="D95" s="14" t="inlineStr">
        <is>
          <t>—</t>
        </is>
      </c>
      <c r="E95" s="12" t="n">
        <v>1</v>
      </c>
      <c r="F95" s="13" t="n">
        <v>21683.2</v>
      </c>
      <c r="G95" s="13">
        <f>E95*F95</f>
        <v/>
      </c>
      <c r="H95" s="12" t="n">
        <v>1.38</v>
      </c>
      <c r="I95" s="13">
        <f>G95*H95</f>
        <v/>
      </c>
    </row>
    <row r="96">
      <c r="A96" s="15" t="inlineStr">
        <is>
          <t>COMBUSTÍVEL</t>
        </is>
      </c>
      <c r="B96" s="10" t="inlineStr">
        <is>
          <t>EQ-E0035</t>
        </is>
      </c>
      <c r="C96" s="10" t="inlineStr">
        <is>
          <t>Diesel S-10 (18.0 L/h)</t>
        </is>
      </c>
      <c r="D96" s="14" t="inlineStr">
        <is>
          <t>—</t>
        </is>
      </c>
      <c r="E96" s="12" t="n">
        <v>1</v>
      </c>
      <c r="F96" s="13" t="n">
        <v>22957.71</v>
      </c>
      <c r="G96" s="13">
        <f>E96*F96</f>
        <v/>
      </c>
      <c r="H96" s="12" t="n">
        <v>1.38</v>
      </c>
      <c r="I96" s="13">
        <f>G96*H96</f>
        <v/>
      </c>
    </row>
    <row r="97">
      <c r="A97" s="16" t="inlineStr">
        <is>
          <t>Subtotal eap-1_10</t>
        </is>
      </c>
      <c r="B97" s="17" t="n"/>
      <c r="C97" s="17" t="n"/>
      <c r="D97" s="17" t="n"/>
      <c r="E97" s="17" t="n"/>
      <c r="F97" s="17" t="n"/>
      <c r="G97" s="18">
        <f>SUM(G91:G96)</f>
        <v/>
      </c>
      <c r="H97" s="19" t="n">
        <v>1.38</v>
      </c>
      <c r="I97" s="18">
        <f>SUM(I91:I96)</f>
        <v/>
      </c>
    </row>
    <row r="98"/>
    <row r="99">
      <c r="A99" s="26" t="inlineStr">
        <is>
          <t>TOTAL DIRETO</t>
        </is>
      </c>
      <c r="I99" s="27">
        <f>I14+I21+I28+I35+I42+I48+I54+I67+I80+I89+I97</f>
        <v/>
      </c>
    </row>
  </sheetData>
  <mergeCells count="13">
    <mergeCell ref="A29:I29"/>
    <mergeCell ref="A15:I15"/>
    <mergeCell ref="A43:I43"/>
    <mergeCell ref="A81:I81"/>
    <mergeCell ref="A68:I68"/>
    <mergeCell ref="A49:I49"/>
    <mergeCell ref="A90:I90"/>
    <mergeCell ref="A36:I36"/>
    <mergeCell ref="A99:H99"/>
    <mergeCell ref="A1:I1"/>
    <mergeCell ref="A3:I3"/>
    <mergeCell ref="A22:I22"/>
    <mergeCell ref="A55:I5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2" customWidth="1" min="2" max="2"/>
    <col width="6" customWidth="1" min="3" max="3"/>
    <col width="13" customWidth="1" min="4" max="4"/>
    <col width="15" customWidth="1" min="5" max="5"/>
    <col width="15" customWidth="1" min="6" max="6"/>
    <col width="13" customWidth="1" min="7" max="7"/>
    <col width="13" customWidth="1" min="8" max="8"/>
    <col width="17" customWidth="1" min="9" max="9"/>
    <col width="15" customWidth="1" min="10" max="10"/>
    <col width="15" customWidth="1" min="11" max="11"/>
    <col width="13" customWidth="1" min="12" max="12"/>
    <col width="13" customWidth="1" min="13" max="13"/>
    <col width="17" customWidth="1" min="14" max="14"/>
  </cols>
  <sheetData>
    <row r="1">
      <c r="A1" s="1" t="inlineStr">
        <is>
          <t>DIRETOS RESUMIDO — COMPONENTES MO/EQ/COMB/MAT s/BDI e c/BDI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Quantitativo</t>
        </is>
      </c>
      <c r="E2" s="2" t="inlineStr">
        <is>
          <t>MO s/BDI</t>
        </is>
      </c>
      <c r="F2" s="2" t="inlineStr">
        <is>
          <t>EQ s/BDI</t>
        </is>
      </c>
      <c r="G2" s="2" t="inlineStr">
        <is>
          <t>Comb. s/BDI</t>
        </is>
      </c>
      <c r="H2" s="2" t="inlineStr">
        <is>
          <t>MAT s/BDI</t>
        </is>
      </c>
      <c r="I2" s="2" t="inlineStr">
        <is>
          <t>Total s/BDI</t>
        </is>
      </c>
      <c r="J2" s="2" t="inlineStr">
        <is>
          <t>MO c/BDI</t>
        </is>
      </c>
      <c r="K2" s="2" t="inlineStr">
        <is>
          <t>EQ c/BDI</t>
        </is>
      </c>
      <c r="L2" s="2" t="inlineStr">
        <is>
          <t>Comb. c/BDI</t>
        </is>
      </c>
      <c r="M2" s="2" t="inlineStr">
        <is>
          <t>MAT c/BDI</t>
        </is>
      </c>
      <c r="N2" s="2" t="inlineStr">
        <is>
          <t>Total c/BDI</t>
        </is>
      </c>
    </row>
    <row r="3">
      <c r="A3" s="28" t="inlineStr">
        <is>
          <t>eap-1_0</t>
        </is>
      </c>
      <c r="B3" s="28" t="inlineStr">
        <is>
          <t>Desmatamento e limpeza de area vegetada</t>
        </is>
      </c>
      <c r="C3" s="28" t="inlineStr">
        <is>
          <t>m2</t>
        </is>
      </c>
      <c r="D3" s="29" t="n">
        <v>2400000</v>
      </c>
      <c r="E3" s="30" t="n">
        <v>1390675.2</v>
      </c>
      <c r="F3" s="30" t="n">
        <v>0</v>
      </c>
      <c r="G3" s="30" t="n">
        <v>706032</v>
      </c>
      <c r="H3" s="30" t="n">
        <v>0</v>
      </c>
      <c r="I3" s="30" t="n">
        <v>2096707.2</v>
      </c>
      <c r="J3" s="30" t="n">
        <v>1794767.86</v>
      </c>
      <c r="K3" s="30" t="n">
        <v>0</v>
      </c>
      <c r="L3" s="30" t="n">
        <v>734273.28</v>
      </c>
      <c r="M3" s="30" t="n">
        <v>0</v>
      </c>
      <c r="N3" s="30" t="n">
        <v>2529041.14</v>
      </c>
    </row>
    <row r="4">
      <c r="A4" s="31" t="inlineStr">
        <is>
          <t>eap-1_1</t>
        </is>
      </c>
      <c r="B4" s="31" t="inlineStr">
        <is>
          <t>Esc/carg/transp 1aCat DMT&lt;=2000m</t>
        </is>
      </c>
      <c r="C4" s="31" t="inlineStr">
        <is>
          <t>m3</t>
        </is>
      </c>
      <c r="D4" s="32" t="n">
        <v>107463.1053</v>
      </c>
      <c r="E4" s="33" t="n">
        <v>316847.44</v>
      </c>
      <c r="F4" s="33" t="n">
        <v>0</v>
      </c>
      <c r="G4" s="33" t="n">
        <v>506137.58</v>
      </c>
      <c r="H4" s="33" t="n">
        <v>0</v>
      </c>
      <c r="I4" s="33" t="n">
        <v>822985.02</v>
      </c>
      <c r="J4" s="33" t="n">
        <v>408914.76</v>
      </c>
      <c r="K4" s="33" t="n">
        <v>0</v>
      </c>
      <c r="L4" s="33" t="n">
        <v>526383.08</v>
      </c>
      <c r="M4" s="33" t="n">
        <v>0</v>
      </c>
      <c r="N4" s="33" t="n">
        <v>935297.84</v>
      </c>
    </row>
    <row r="5">
      <c r="A5" s="28" t="inlineStr">
        <is>
          <t>eap-1_2</t>
        </is>
      </c>
      <c r="B5" s="28" t="inlineStr">
        <is>
          <t>Esc/carg/transp 1aCat DMT&lt;=3000m</t>
        </is>
      </c>
      <c r="C5" s="28" t="inlineStr">
        <is>
          <t>m3</t>
        </is>
      </c>
      <c r="D5" s="29" t="n">
        <v>336915.0947</v>
      </c>
      <c r="E5" s="30" t="n">
        <v>1106689.27</v>
      </c>
      <c r="F5" s="30" t="n">
        <v>0</v>
      </c>
      <c r="G5" s="30" t="n">
        <v>1743983.71</v>
      </c>
      <c r="H5" s="30" t="n">
        <v>0</v>
      </c>
      <c r="I5" s="30" t="n">
        <v>2850672.98</v>
      </c>
      <c r="J5" s="30" t="n">
        <v>1428263.29</v>
      </c>
      <c r="K5" s="30" t="n">
        <v>0</v>
      </c>
      <c r="L5" s="30" t="n">
        <v>1813743.06</v>
      </c>
      <c r="M5" s="30" t="n">
        <v>0</v>
      </c>
      <c r="N5" s="30" t="n">
        <v>3242006.35</v>
      </c>
    </row>
    <row r="6">
      <c r="A6" s="31" t="inlineStr">
        <is>
          <t>eap-1_3</t>
        </is>
      </c>
      <c r="B6" s="31" t="inlineStr">
        <is>
          <t>Esc/carg/transp 2aCat DMT&lt;=2000m</t>
        </is>
      </c>
      <c r="C6" s="31" t="inlineStr">
        <is>
          <t>m3</t>
        </is>
      </c>
      <c r="D6" s="32" t="n">
        <v>105311.3323</v>
      </c>
      <c r="E6" s="33" t="n">
        <v>405065.09</v>
      </c>
      <c r="F6" s="33" t="n">
        <v>0</v>
      </c>
      <c r="G6" s="33" t="n">
        <v>657938.66</v>
      </c>
      <c r="H6" s="33" t="n">
        <v>0</v>
      </c>
      <c r="I6" s="33" t="n">
        <v>1063003.74</v>
      </c>
      <c r="J6" s="33" t="n">
        <v>522766.06</v>
      </c>
      <c r="K6" s="33" t="n">
        <v>0</v>
      </c>
      <c r="L6" s="33" t="n">
        <v>684256.2</v>
      </c>
      <c r="M6" s="33" t="n">
        <v>0</v>
      </c>
      <c r="N6" s="33" t="n">
        <v>1207022.27</v>
      </c>
    </row>
    <row r="7">
      <c r="A7" s="28" t="inlineStr">
        <is>
          <t>eap-1_4</t>
        </is>
      </c>
      <c r="B7" s="28" t="inlineStr">
        <is>
          <t>Esc/carg/transp 2aCat DMT&lt;=3000m</t>
        </is>
      </c>
      <c r="C7" s="28" t="inlineStr">
        <is>
          <t>m3</t>
        </is>
      </c>
      <c r="D7" s="29" t="n">
        <v>585945.7677</v>
      </c>
      <c r="E7" s="30" t="n">
        <v>2353941.03</v>
      </c>
      <c r="F7" s="30" t="n">
        <v>0</v>
      </c>
      <c r="G7" s="30" t="n">
        <v>3883884.1</v>
      </c>
      <c r="H7" s="30" t="n">
        <v>0</v>
      </c>
      <c r="I7" s="30" t="n">
        <v>6237825.13</v>
      </c>
      <c r="J7" s="30" t="n">
        <v>3037932.73</v>
      </c>
      <c r="K7" s="30" t="n">
        <v>0</v>
      </c>
      <c r="L7" s="30" t="n">
        <v>4039239.46</v>
      </c>
      <c r="M7" s="30" t="n">
        <v>0</v>
      </c>
      <c r="N7" s="30" t="n">
        <v>7077172.2</v>
      </c>
    </row>
    <row r="8">
      <c r="A8" s="31" t="inlineStr">
        <is>
          <t>eap-1_5</t>
        </is>
      </c>
      <c r="B8" s="31" t="inlineStr">
        <is>
          <t>Esc/carg/transp 3aCat DMT&lt;=2000m</t>
        </is>
      </c>
      <c r="C8" s="31" t="inlineStr">
        <is>
          <t>m3</t>
        </is>
      </c>
      <c r="D8" s="32" t="n">
        <v>304634.4556</v>
      </c>
      <c r="E8" s="33" t="n">
        <v>1579816.62</v>
      </c>
      <c r="F8" s="33" t="n">
        <v>0</v>
      </c>
      <c r="G8" s="33" t="n">
        <v>2950561.39</v>
      </c>
      <c r="H8" s="33" t="n">
        <v>0</v>
      </c>
      <c r="I8" s="33" t="n">
        <v>4530378.01</v>
      </c>
      <c r="J8" s="33" t="n">
        <v>2038868.67</v>
      </c>
      <c r="K8" s="33" t="n">
        <v>0</v>
      </c>
      <c r="L8" s="33" t="n">
        <v>3068583.85</v>
      </c>
      <c r="M8" s="33" t="n">
        <v>0</v>
      </c>
      <c r="N8" s="33" t="n">
        <v>5107452.52</v>
      </c>
    </row>
    <row r="9">
      <c r="A9" s="28" t="inlineStr">
        <is>
          <t>eap-1_6</t>
        </is>
      </c>
      <c r="B9" s="28" t="inlineStr">
        <is>
          <t>Esc/carg/transp 3aCat DMT&lt;=3000m</t>
        </is>
      </c>
      <c r="C9" s="28" t="inlineStr">
        <is>
          <t>m3</t>
        </is>
      </c>
      <c r="D9" s="29" t="n">
        <v>676519.0444</v>
      </c>
      <c r="E9" s="30" t="n">
        <v>4349961.3</v>
      </c>
      <c r="F9" s="30" t="n">
        <v>0</v>
      </c>
      <c r="G9" s="30" t="n">
        <v>7979214.02</v>
      </c>
      <c r="H9" s="30" t="n">
        <v>0</v>
      </c>
      <c r="I9" s="30" t="n">
        <v>12329175.32</v>
      </c>
      <c r="J9" s="30" t="n">
        <v>5613942.61</v>
      </c>
      <c r="K9" s="30" t="n">
        <v>0</v>
      </c>
      <c r="L9" s="30" t="n">
        <v>8298382.58</v>
      </c>
      <c r="M9" s="30" t="n">
        <v>0</v>
      </c>
      <c r="N9" s="30" t="n">
        <v>13912325.19</v>
      </c>
    </row>
    <row r="10">
      <c r="A10" s="31" t="inlineStr">
        <is>
          <t>eap-1_7</t>
        </is>
      </c>
      <c r="B10" s="31" t="inlineStr">
        <is>
          <t>Compactacao aterros 100% Proctor Normal</t>
        </is>
      </c>
      <c r="C10" s="31" t="inlineStr">
        <is>
          <t>m3</t>
        </is>
      </c>
      <c r="D10" s="32" t="n">
        <v>1135635.3</v>
      </c>
      <c r="E10" s="33" t="n">
        <v>3333102.1</v>
      </c>
      <c r="F10" s="33" t="n">
        <v>0</v>
      </c>
      <c r="G10" s="33" t="n">
        <v>7037169.69</v>
      </c>
      <c r="H10" s="33" t="n">
        <v>0</v>
      </c>
      <c r="I10" s="33" t="n">
        <v>10370271.78</v>
      </c>
      <c r="J10" s="33" t="n">
        <v>4301611.57</v>
      </c>
      <c r="K10" s="33" t="n">
        <v>0</v>
      </c>
      <c r="L10" s="33" t="n">
        <v>7318656.47</v>
      </c>
      <c r="M10" s="33" t="n">
        <v>0</v>
      </c>
      <c r="N10" s="33" t="n">
        <v>11620268.05</v>
      </c>
    </row>
    <row r="11">
      <c r="A11" s="28" t="inlineStr">
        <is>
          <t>eap-1_8</t>
        </is>
      </c>
      <c r="B11" s="28" t="inlineStr">
        <is>
          <t>Compactacao aterros 100% Proctor Intermediario</t>
        </is>
      </c>
      <c r="C11" s="28" t="inlineStr">
        <is>
          <t>m3</t>
        </is>
      </c>
      <c r="D11" s="29" t="n">
        <v>29411</v>
      </c>
      <c r="E11" s="30" t="n">
        <v>112866.01</v>
      </c>
      <c r="F11" s="30" t="n">
        <v>0</v>
      </c>
      <c r="G11" s="30" t="n">
        <v>238293.75</v>
      </c>
      <c r="H11" s="30" t="n">
        <v>0</v>
      </c>
      <c r="I11" s="30" t="n">
        <v>351159.75</v>
      </c>
      <c r="J11" s="30" t="n">
        <v>145661.82</v>
      </c>
      <c r="K11" s="30" t="n">
        <v>0</v>
      </c>
      <c r="L11" s="30" t="n">
        <v>247825.5</v>
      </c>
      <c r="M11" s="30" t="n">
        <v>0</v>
      </c>
      <c r="N11" s="30" t="n">
        <v>393487.32</v>
      </c>
    </row>
    <row r="12">
      <c r="A12" s="31" t="inlineStr">
        <is>
          <t>eap-1_9</t>
        </is>
      </c>
      <c r="B12" s="31" t="inlineStr">
        <is>
          <t>Construcao corpo aterro material 3a categoria</t>
        </is>
      </c>
      <c r="C12" s="31" t="inlineStr">
        <is>
          <t>m3</t>
        </is>
      </c>
      <c r="D12" s="32" t="n">
        <v>981153.5</v>
      </c>
      <c r="E12" s="33" t="n">
        <v>1768479.14</v>
      </c>
      <c r="F12" s="33" t="n">
        <v>0</v>
      </c>
      <c r="G12" s="33" t="n">
        <v>3993867.74</v>
      </c>
      <c r="H12" s="33" t="n">
        <v>0</v>
      </c>
      <c r="I12" s="33" t="n">
        <v>5762346.88</v>
      </c>
      <c r="J12" s="33" t="n">
        <v>2282351.44</v>
      </c>
      <c r="K12" s="33" t="n">
        <v>0</v>
      </c>
      <c r="L12" s="33" t="n">
        <v>4153622.45</v>
      </c>
      <c r="M12" s="33" t="n">
        <v>0</v>
      </c>
      <c r="N12" s="33" t="n">
        <v>6435973.88</v>
      </c>
    </row>
    <row r="13">
      <c r="A13" s="28" t="inlineStr">
        <is>
          <t>eap-1_10</t>
        </is>
      </c>
      <c r="B13" s="28" t="inlineStr">
        <is>
          <t>Compactacao camada final aterro sobre rocha</t>
        </is>
      </c>
      <c r="C13" s="28" t="inlineStr">
        <is>
          <t>m3</t>
        </is>
      </c>
      <c r="D13" s="29" t="n">
        <v>24721.17</v>
      </c>
      <c r="E13" s="30" t="n">
        <v>216935.21</v>
      </c>
      <c r="F13" s="30" t="n">
        <v>0</v>
      </c>
      <c r="G13" s="30" t="n">
        <v>139968.79</v>
      </c>
      <c r="H13" s="30" t="n">
        <v>0</v>
      </c>
      <c r="I13" s="30" t="n">
        <v>356904.01</v>
      </c>
      <c r="J13" s="30" t="n">
        <v>279970.73</v>
      </c>
      <c r="K13" s="30" t="n">
        <v>0</v>
      </c>
      <c r="L13" s="30" t="n">
        <v>145567.54</v>
      </c>
      <c r="M13" s="30" t="n">
        <v>0</v>
      </c>
      <c r="N13" s="30" t="n">
        <v>425538.27</v>
      </c>
    </row>
    <row r="15">
      <c r="A15" s="26" t="inlineStr">
        <is>
          <t>TOTAL DIRETO</t>
        </is>
      </c>
      <c r="E15" s="27">
        <f>SUM(E3:E14)</f>
        <v/>
      </c>
      <c r="F15" s="27">
        <f>SUM(F3:F14)</f>
        <v/>
      </c>
      <c r="G15" s="27">
        <f>SUM(G3:G14)</f>
        <v/>
      </c>
      <c r="H15" s="27">
        <f>SUM(H3:H14)</f>
        <v/>
      </c>
      <c r="I15" s="27">
        <f>SUM(I3:I14)</f>
        <v/>
      </c>
      <c r="J15" s="27">
        <f>SUM(J3:J14)</f>
        <v/>
      </c>
      <c r="K15" s="27">
        <f>SUM(K3:K14)</f>
        <v/>
      </c>
      <c r="L15" s="27">
        <f>SUM(L3:L14)</f>
        <v/>
      </c>
      <c r="M15" s="27">
        <f>SUM(M3:M14)</f>
        <v/>
      </c>
      <c r="N15" s="27">
        <f>SUM(N3:N14)</f>
        <v/>
      </c>
    </row>
  </sheetData>
  <mergeCells count="2">
    <mergeCell ref="A15:D15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36" customWidth="1" min="4" max="4"/>
    <col width="6" customWidth="1" min="5" max="5"/>
    <col width="18" customWidth="1" min="6" max="6"/>
    <col width="10" customWidth="1" min="7" max="7"/>
    <col width="18" customWidth="1" min="8" max="8"/>
  </cols>
  <sheetData>
    <row r="1">
      <c r="A1" s="1" t="inlineStr">
        <is>
          <t>INDIRETOS — CUSTOS INDIRETOS DETALHADOS</t>
        </is>
      </c>
    </row>
    <row r="2">
      <c r="A2" s="2" t="inlineStr">
        <is>
          <t>Categoria</t>
        </is>
      </c>
      <c r="B2" s="2" t="inlineStr">
        <is>
          <t>Tipo</t>
        </is>
      </c>
      <c r="C2" s="2" t="inlineStr">
        <is>
          <t>Código/Função</t>
        </is>
      </c>
      <c r="D2" s="2" t="inlineStr">
        <is>
          <t>Descrição</t>
        </is>
      </c>
      <c r="E2" s="2" t="inlineStr">
        <is>
          <t>Qtd</t>
        </is>
      </c>
      <c r="F2" s="2" t="inlineStr">
        <is>
          <t>Custo Mensal (R$)</t>
        </is>
      </c>
      <c r="G2" s="2" t="inlineStr">
        <is>
          <t>Perm. (m)</t>
        </is>
      </c>
      <c r="H2" s="2" t="inlineStr">
        <is>
          <t>Custo Total (R$)</t>
        </is>
      </c>
    </row>
    <row r="3">
      <c r="A3" s="9" t="inlineStr">
        <is>
          <t>ADM — Administracao de obra</t>
        </is>
      </c>
    </row>
    <row r="4">
      <c r="A4" s="3" t="inlineStr">
        <is>
          <t>ADM</t>
        </is>
      </c>
      <c r="B4" s="10" t="inlineStr">
        <is>
          <t>CUSTO TOTAL</t>
        </is>
      </c>
      <c r="C4" s="10" t="inlineStr">
        <is>
          <t>—</t>
        </is>
      </c>
      <c r="D4" s="10" t="inlineStr">
        <is>
          <t>Administracao de obra</t>
        </is>
      </c>
      <c r="E4" s="12" t="n">
        <v>1</v>
      </c>
      <c r="F4" s="13" t="n">
        <v>0</v>
      </c>
      <c r="G4" s="12" t="n">
        <v>12.93</v>
      </c>
      <c r="H4" s="13" t="n">
        <v>13695825.36</v>
      </c>
    </row>
    <row r="5">
      <c r="A5" s="16" t="inlineStr">
        <is>
          <t>Subtotal ADM</t>
        </is>
      </c>
      <c r="B5" s="17" t="n"/>
      <c r="C5" s="17" t="n"/>
      <c r="D5" s="17" t="n"/>
      <c r="E5" s="17" t="n"/>
      <c r="F5" s="17" t="n"/>
      <c r="G5" s="17" t="n"/>
      <c r="H5" s="18">
        <f>SUM(H4:H4)</f>
        <v/>
      </c>
    </row>
    <row r="6">
      <c r="A6" s="9" t="inlineStr">
        <is>
          <t>TOP — Topografia</t>
        </is>
      </c>
    </row>
    <row r="7">
      <c r="A7" s="6" t="inlineStr">
        <is>
          <t>TOP</t>
        </is>
      </c>
      <c r="B7" s="20" t="inlineStr">
        <is>
          <t>CUSTO TOTAL</t>
        </is>
      </c>
      <c r="C7" s="20" t="inlineStr">
        <is>
          <t>—</t>
        </is>
      </c>
      <c r="D7" s="20" t="inlineStr">
        <is>
          <t>Topografia</t>
        </is>
      </c>
      <c r="E7" s="22" t="n">
        <v>1</v>
      </c>
      <c r="F7" s="23" t="n">
        <v>0</v>
      </c>
      <c r="G7" s="22" t="n">
        <v>12.93</v>
      </c>
      <c r="H7" s="23" t="n">
        <v>858758.3199999999</v>
      </c>
    </row>
    <row r="8">
      <c r="A8" s="16" t="inlineStr">
        <is>
          <t>Subtotal TOP</t>
        </is>
      </c>
      <c r="B8" s="17" t="n"/>
      <c r="C8" s="17" t="n"/>
      <c r="D8" s="17" t="n"/>
      <c r="E8" s="17" t="n"/>
      <c r="F8" s="17" t="n"/>
      <c r="G8" s="17" t="n"/>
      <c r="H8" s="18">
        <f>SUM(H7:H7)</f>
        <v/>
      </c>
    </row>
    <row r="9">
      <c r="A9" s="9" t="inlineStr">
        <is>
          <t>LAB — Laboratorio de solos e materiais</t>
        </is>
      </c>
    </row>
    <row r="10">
      <c r="A10" s="3" t="inlineStr">
        <is>
          <t>LAB</t>
        </is>
      </c>
      <c r="B10" s="10" t="inlineStr">
        <is>
          <t>CUSTO TOTAL</t>
        </is>
      </c>
      <c r="C10" s="10" t="inlineStr">
        <is>
          <t>—</t>
        </is>
      </c>
      <c r="D10" s="10" t="inlineStr">
        <is>
          <t>Laboratorio de solos e materiais</t>
        </is>
      </c>
      <c r="E10" s="12" t="n">
        <v>1</v>
      </c>
      <c r="F10" s="13" t="n">
        <v>0</v>
      </c>
      <c r="G10" s="12" t="n">
        <v>12.93</v>
      </c>
      <c r="H10" s="13" t="n">
        <v>139568.24</v>
      </c>
    </row>
    <row r="11">
      <c r="A11" s="16" t="inlineStr">
        <is>
          <t>Subtotal LAB</t>
        </is>
      </c>
      <c r="B11" s="17" t="n"/>
      <c r="C11" s="17" t="n"/>
      <c r="D11" s="17" t="n"/>
      <c r="E11" s="17" t="n"/>
      <c r="F11" s="17" t="n"/>
      <c r="G11" s="17" t="n"/>
      <c r="H11" s="18">
        <f>SUM(H10:H10)</f>
        <v/>
      </c>
    </row>
    <row r="12">
      <c r="A12" s="9" t="inlineStr">
        <is>
          <t>QSMS — Qualidade, Saude, Seguranca e Meio Ambiente</t>
        </is>
      </c>
    </row>
    <row r="13">
      <c r="A13" s="6" t="inlineStr">
        <is>
          <t>QSMS</t>
        </is>
      </c>
      <c r="B13" s="20" t="inlineStr">
        <is>
          <t>CUSTO TOTAL</t>
        </is>
      </c>
      <c r="C13" s="20" t="inlineStr">
        <is>
          <t>—</t>
        </is>
      </c>
      <c r="D13" s="20" t="inlineStr">
        <is>
          <t>Qualidade, Saude, Seguranca e Meio Ambiente</t>
        </is>
      </c>
      <c r="E13" s="22" t="n">
        <v>1</v>
      </c>
      <c r="F13" s="23" t="n">
        <v>0</v>
      </c>
      <c r="G13" s="22" t="n">
        <v>12.93</v>
      </c>
      <c r="H13" s="23" t="n">
        <v>755777.6800000001</v>
      </c>
    </row>
    <row r="14">
      <c r="A14" s="16" t="inlineStr">
        <is>
          <t>Subtotal QSMS</t>
        </is>
      </c>
      <c r="B14" s="17" t="n"/>
      <c r="C14" s="17" t="n"/>
      <c r="D14" s="17" t="n"/>
      <c r="E14" s="17" t="n"/>
      <c r="F14" s="17" t="n"/>
      <c r="G14" s="17" t="n"/>
      <c r="H14" s="18">
        <f>SUM(H13:H13)</f>
        <v/>
      </c>
    </row>
    <row r="15">
      <c r="A15" s="9" t="inlineStr">
        <is>
          <t>MOB — Mobilizacao e desmobilizacao</t>
        </is>
      </c>
    </row>
    <row r="16">
      <c r="A16" s="3" t="inlineStr">
        <is>
          <t>MOB</t>
        </is>
      </c>
      <c r="B16" s="10" t="inlineStr">
        <is>
          <t>CUSTO TOTAL</t>
        </is>
      </c>
      <c r="C16" s="10" t="inlineStr">
        <is>
          <t>—</t>
        </is>
      </c>
      <c r="D16" s="10" t="inlineStr">
        <is>
          <t>Mobilizacao e desmobilizacao</t>
        </is>
      </c>
      <c r="E16" s="12" t="n">
        <v>1</v>
      </c>
      <c r="F16" s="13" t="n">
        <v>0</v>
      </c>
      <c r="G16" s="12" t="n">
        <v>13</v>
      </c>
      <c r="H16" s="13" t="n">
        <v>4054600.43</v>
      </c>
    </row>
    <row r="17">
      <c r="A17" s="16" t="inlineStr">
        <is>
          <t>Subtotal MOB</t>
        </is>
      </c>
      <c r="B17" s="17" t="n"/>
      <c r="C17" s="17" t="n"/>
      <c r="D17" s="17" t="n"/>
      <c r="E17" s="17" t="n"/>
      <c r="F17" s="17" t="n"/>
      <c r="G17" s="17" t="n"/>
      <c r="H17" s="18">
        <f>SUM(H16:H16)</f>
        <v/>
      </c>
    </row>
    <row r="19">
      <c r="A19" s="26" t="inlineStr">
        <is>
          <t>TOTAL INDIRETO</t>
        </is>
      </c>
      <c r="H19" s="27">
        <f>H5+H8+H11+H14+H17</f>
        <v/>
      </c>
    </row>
    <row r="22">
      <c r="A22" s="9" t="inlineStr">
        <is>
          <t>Distribuição Mensal de Indiretos</t>
        </is>
      </c>
    </row>
    <row r="23">
      <c r="A23" s="34" t="inlineStr">
        <is>
          <t>Mês</t>
        </is>
      </c>
      <c r="B23" s="34" t="inlineStr">
        <is>
          <t>Despesa Indireta (R$)</t>
        </is>
      </c>
      <c r="C23" s="34" t="inlineStr"/>
      <c r="D23" s="34" t="inlineStr"/>
      <c r="E23" s="34" t="inlineStr"/>
      <c r="F23" s="34" t="inlineStr"/>
      <c r="G23" s="34" t="inlineStr"/>
      <c r="H23" s="34" t="inlineStr"/>
    </row>
    <row r="24">
      <c r="A24" s="10" t="inlineStr">
        <is>
          <t>Jun/26</t>
        </is>
      </c>
      <c r="B24" s="13" t="n">
        <v>5342094.56</v>
      </c>
      <c r="C24" s="35" t="n"/>
      <c r="D24" s="35" t="n"/>
      <c r="E24" s="35" t="n"/>
      <c r="F24" s="35" t="n"/>
      <c r="G24" s="35" t="n"/>
      <c r="H24" s="35" t="n"/>
    </row>
    <row r="25">
      <c r="A25" s="20" t="inlineStr">
        <is>
          <t>Jul/26</t>
        </is>
      </c>
      <c r="B25" s="23" t="n">
        <v>1287494.13</v>
      </c>
      <c r="C25" s="36" t="n"/>
      <c r="D25" s="36" t="n"/>
      <c r="E25" s="36" t="n"/>
      <c r="F25" s="36" t="n"/>
      <c r="G25" s="36" t="n"/>
      <c r="H25" s="36" t="n"/>
    </row>
    <row r="26">
      <c r="A26" s="10" t="inlineStr">
        <is>
          <t>Ago/26</t>
        </is>
      </c>
      <c r="B26" s="13" t="n">
        <v>1287494.13</v>
      </c>
      <c r="C26" s="35" t="n"/>
      <c r="D26" s="35" t="n"/>
      <c r="E26" s="35" t="n"/>
      <c r="F26" s="35" t="n"/>
      <c r="G26" s="35" t="n"/>
      <c r="H26" s="35" t="n"/>
    </row>
    <row r="27">
      <c r="A27" s="20" t="inlineStr">
        <is>
          <t>Set/26</t>
        </is>
      </c>
      <c r="B27" s="23" t="n">
        <v>1287494.13</v>
      </c>
      <c r="C27" s="36" t="n"/>
      <c r="D27" s="36" t="n"/>
      <c r="E27" s="36" t="n"/>
      <c r="F27" s="36" t="n"/>
      <c r="G27" s="36" t="n"/>
      <c r="H27" s="36" t="n"/>
    </row>
    <row r="28">
      <c r="A28" s="10" t="inlineStr">
        <is>
          <t>Out/26</t>
        </is>
      </c>
      <c r="B28" s="13" t="n">
        <v>1287494.13</v>
      </c>
      <c r="C28" s="35" t="n"/>
      <c r="D28" s="35" t="n"/>
      <c r="E28" s="35" t="n"/>
      <c r="F28" s="35" t="n"/>
      <c r="G28" s="35" t="n"/>
      <c r="H28" s="35" t="n"/>
    </row>
    <row r="29">
      <c r="A29" s="20" t="inlineStr">
        <is>
          <t>Nov/26</t>
        </is>
      </c>
      <c r="B29" s="23" t="n">
        <v>1287494.13</v>
      </c>
      <c r="C29" s="36" t="n"/>
      <c r="D29" s="36" t="n"/>
      <c r="E29" s="36" t="n"/>
      <c r="F29" s="36" t="n"/>
      <c r="G29" s="36" t="n"/>
      <c r="H29" s="36" t="n"/>
    </row>
    <row r="30">
      <c r="A30" s="10" t="inlineStr">
        <is>
          <t>Dez/26</t>
        </is>
      </c>
      <c r="B30" s="13" t="n">
        <v>1287494.13</v>
      </c>
      <c r="C30" s="35" t="n"/>
      <c r="D30" s="35" t="n"/>
      <c r="E30" s="35" t="n"/>
      <c r="F30" s="35" t="n"/>
      <c r="G30" s="35" t="n"/>
      <c r="H30" s="35" t="n"/>
    </row>
    <row r="31">
      <c r="A31" s="20" t="inlineStr">
        <is>
          <t>Jan/27</t>
        </is>
      </c>
      <c r="B31" s="23" t="n">
        <v>1287494.13</v>
      </c>
      <c r="C31" s="36" t="n"/>
      <c r="D31" s="36" t="n"/>
      <c r="E31" s="36" t="n"/>
      <c r="F31" s="36" t="n"/>
      <c r="G31" s="36" t="n"/>
      <c r="H31" s="36" t="n"/>
    </row>
    <row r="32">
      <c r="A32" s="10" t="inlineStr">
        <is>
          <t>Fev/27</t>
        </is>
      </c>
      <c r="B32" s="13" t="n">
        <v>1287494.13</v>
      </c>
      <c r="C32" s="35" t="n"/>
      <c r="D32" s="35" t="n"/>
      <c r="E32" s="35" t="n"/>
      <c r="F32" s="35" t="n"/>
      <c r="G32" s="35" t="n"/>
      <c r="H32" s="35" t="n"/>
    </row>
    <row r="33">
      <c r="A33" s="20" t="inlineStr">
        <is>
          <t>Mar/27</t>
        </is>
      </c>
      <c r="B33" s="23" t="n">
        <v>1287494.13</v>
      </c>
      <c r="C33" s="36" t="n"/>
      <c r="D33" s="36" t="n"/>
      <c r="E33" s="36" t="n"/>
      <c r="F33" s="36" t="n"/>
      <c r="G33" s="36" t="n"/>
      <c r="H33" s="36" t="n"/>
    </row>
    <row r="34">
      <c r="A34" s="10" t="inlineStr">
        <is>
          <t>Abr/27</t>
        </is>
      </c>
      <c r="B34" s="13" t="n">
        <v>1287494.13</v>
      </c>
      <c r="C34" s="35" t="n"/>
      <c r="D34" s="35" t="n"/>
      <c r="E34" s="35" t="n"/>
      <c r="F34" s="35" t="n"/>
      <c r="G34" s="35" t="n"/>
      <c r="H34" s="35" t="n"/>
    </row>
    <row r="35">
      <c r="A35" s="20" t="inlineStr">
        <is>
          <t>Mai/27</t>
        </is>
      </c>
      <c r="B35" s="23" t="n">
        <v>1287494.13</v>
      </c>
      <c r="C35" s="36" t="n"/>
      <c r="D35" s="36" t="n"/>
      <c r="E35" s="36" t="n"/>
      <c r="F35" s="36" t="n"/>
      <c r="G35" s="36" t="n"/>
      <c r="H35" s="36" t="n"/>
    </row>
  </sheetData>
  <mergeCells count="8">
    <mergeCell ref="A9:H9"/>
    <mergeCell ref="A12:H12"/>
    <mergeCell ref="A3:H3"/>
    <mergeCell ref="A15:H15"/>
    <mergeCell ref="A1:H1"/>
    <mergeCell ref="A19:G19"/>
    <mergeCell ref="A6:H6"/>
    <mergeCell ref="A22:H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8" customWidth="1" min="3" max="3"/>
    <col width="10" customWidth="1" min="4" max="4"/>
    <col width="18" customWidth="1" min="5" max="5"/>
    <col width="14" customWidth="1" min="6" max="6"/>
  </cols>
  <sheetData>
    <row r="1">
      <c r="A1" s="1" t="inlineStr">
        <is>
          <t>INDIRETOS RESUMIDO — CATEGORIAS + INDICADORES</t>
        </is>
      </c>
    </row>
    <row r="2">
      <c r="A2" s="2" t="inlineStr">
        <is>
          <t>Categoria</t>
        </is>
      </c>
      <c r="B2" s="2" t="inlineStr">
        <is>
          <t>Descrição</t>
        </is>
      </c>
      <c r="C2" s="2" t="inlineStr">
        <is>
          <t>Custo s/BDI (R$)</t>
        </is>
      </c>
      <c r="D2" s="2" t="inlineStr">
        <is>
          <t>BDI (%)</t>
        </is>
      </c>
      <c r="E2" s="2" t="inlineStr">
        <is>
          <t>Custo c/BDI (R$)</t>
        </is>
      </c>
      <c r="F2" s="2" t="inlineStr">
        <is>
          <t>% do Total</t>
        </is>
      </c>
    </row>
    <row r="3">
      <c r="A3" s="3" t="inlineStr">
        <is>
          <t>ADM</t>
        </is>
      </c>
      <c r="B3" s="10" t="inlineStr">
        <is>
          <t>Administracao de obra</t>
        </is>
      </c>
      <c r="C3" s="13" t="n">
        <v>13695825.36</v>
      </c>
      <c r="D3" s="4" t="n">
        <v>22.37</v>
      </c>
      <c r="E3" s="13" t="n">
        <v>16760074.54</v>
      </c>
      <c r="F3" s="4" t="n">
        <v>70.22</v>
      </c>
    </row>
    <row r="4">
      <c r="A4" s="6" t="inlineStr">
        <is>
          <t>TOP</t>
        </is>
      </c>
      <c r="B4" s="20" t="inlineStr">
        <is>
          <t>Topografia</t>
        </is>
      </c>
      <c r="C4" s="23" t="n">
        <v>858758.3199999999</v>
      </c>
      <c r="D4" s="7" t="n">
        <v>22.37</v>
      </c>
      <c r="E4" s="23" t="n">
        <v>1050893.47</v>
      </c>
      <c r="F4" s="7" t="n">
        <v>4.4</v>
      </c>
    </row>
    <row r="5">
      <c r="A5" s="3" t="inlineStr">
        <is>
          <t>LAB</t>
        </is>
      </c>
      <c r="B5" s="10" t="inlineStr">
        <is>
          <t>Laboratorio de solos e materiais</t>
        </is>
      </c>
      <c r="C5" s="13" t="n">
        <v>139568.24</v>
      </c>
      <c r="D5" s="4" t="n">
        <v>22.37</v>
      </c>
      <c r="E5" s="13" t="n">
        <v>170794.68</v>
      </c>
      <c r="F5" s="4" t="n">
        <v>0.72</v>
      </c>
    </row>
    <row r="6">
      <c r="A6" s="6" t="inlineStr">
        <is>
          <t>QSMS</t>
        </is>
      </c>
      <c r="B6" s="20" t="inlineStr">
        <is>
          <t>Qualidade, Saude, Seguranca e Meio Ambiente</t>
        </is>
      </c>
      <c r="C6" s="23" t="n">
        <v>755777.6800000001</v>
      </c>
      <c r="D6" s="7" t="n">
        <v>22.37</v>
      </c>
      <c r="E6" s="23" t="n">
        <v>924872.36</v>
      </c>
      <c r="F6" s="7" t="n">
        <v>3.87</v>
      </c>
    </row>
    <row r="7">
      <c r="A7" s="3" t="inlineStr">
        <is>
          <t>MOB</t>
        </is>
      </c>
      <c r="B7" s="10" t="inlineStr">
        <is>
          <t>Mobilizacao e desmobilizacao</t>
        </is>
      </c>
      <c r="C7" s="13" t="n">
        <v>4054600.43</v>
      </c>
      <c r="D7" s="4" t="n">
        <v>22.37</v>
      </c>
      <c r="E7" s="13" t="n">
        <v>4961760.51</v>
      </c>
      <c r="F7" s="4" t="n">
        <v>20.79</v>
      </c>
    </row>
    <row r="9">
      <c r="A9" s="26" t="inlineStr">
        <is>
          <t>TOTAL INDIRETO</t>
        </is>
      </c>
      <c r="C9" s="27">
        <f>C3+C4+C5+C6+C7</f>
        <v/>
      </c>
      <c r="D9" s="37" t="n"/>
      <c r="E9" s="27">
        <f>E3+E4+E5+E6+E7</f>
        <v/>
      </c>
      <c r="F9" s="37" t="n"/>
    </row>
    <row r="12">
      <c r="A12" s="9" t="inlineStr">
        <is>
          <t>INDICADORES DE COMPOSIÇÃO DE CUSTO</t>
        </is>
      </c>
    </row>
    <row r="13">
      <c r="A13" s="38" t="inlineStr">
        <is>
          <t>TOTAL DIRETO (catálogo s/BDI)</t>
        </is>
      </c>
      <c r="B13" s="39" t="n"/>
      <c r="C13" s="40" t="n">
        <v>46771429.82</v>
      </c>
      <c r="D13" s="41" t="n"/>
      <c r="E13" s="41" t="n"/>
      <c r="F13" s="39" t="n"/>
    </row>
    <row r="14">
      <c r="A14" s="38" t="inlineStr">
        <is>
          <t>TOTAL INDIRETO s/BDI</t>
        </is>
      </c>
      <c r="B14" s="39" t="n"/>
      <c r="C14" s="40" t="n">
        <v>19504530.03</v>
      </c>
      <c r="D14" s="41" t="n"/>
      <c r="E14" s="41" t="n"/>
      <c r="F14" s="39" t="n"/>
    </row>
    <row r="15">
      <c r="A15" s="38" t="inlineStr">
        <is>
          <t>RAZÃO CI / CD</t>
        </is>
      </c>
      <c r="B15" s="39" t="n"/>
      <c r="C15" s="42" t="n">
        <v>41.7</v>
      </c>
      <c r="D15" s="41" t="n"/>
      <c r="E15" s="41" t="n"/>
      <c r="F15" s="39" t="n"/>
    </row>
    <row r="16">
      <c r="A16" s="38" t="inlineStr">
        <is>
          <t>PREÇO DE VENDA TOTAL</t>
        </is>
      </c>
      <c r="B16" s="39" t="n"/>
      <c r="C16" s="40" t="n">
        <v>76753980.59</v>
      </c>
      <c r="D16" s="41" t="n"/>
      <c r="E16" s="41" t="n"/>
      <c r="F16" s="39" t="n"/>
    </row>
    <row r="17">
      <c r="A17" s="38" t="inlineStr">
        <is>
          <t>CI / PVT</t>
        </is>
      </c>
      <c r="B17" s="39" t="n"/>
      <c r="C17" s="42" t="n">
        <v>25.41</v>
      </c>
      <c r="D17" s="41" t="n"/>
      <c r="E17" s="41" t="n"/>
      <c r="F17" s="39" t="n"/>
    </row>
  </sheetData>
  <mergeCells count="13">
    <mergeCell ref="C13:F13"/>
    <mergeCell ref="A16:B16"/>
    <mergeCell ref="C17:F17"/>
    <mergeCell ref="A15:B15"/>
    <mergeCell ref="A1:F1"/>
    <mergeCell ref="A13:B13"/>
    <mergeCell ref="A14:B14"/>
    <mergeCell ref="C15:F15"/>
    <mergeCell ref="A12:F12"/>
    <mergeCell ref="C16:F16"/>
    <mergeCell ref="A17:B17"/>
    <mergeCell ref="A9:B9"/>
    <mergeCell ref="C14:F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xSplit="2" ySplit="2" topLeftCell="C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  <col width="8" customWidth="1" min="3" max="3"/>
    <col width="14" customWidth="1" min="4" max="4"/>
    <col width="15" customWidth="1" min="5" max="5"/>
    <col width="19" customWidth="1" min="6" max="6"/>
    <col width="15" customWidth="1" min="7" max="7"/>
    <col width="19" customWidth="1" min="8" max="8"/>
    <col width="18" customWidth="1" min="9" max="9"/>
    <col width="19" customWidth="1" min="10" max="10"/>
    <col width="16" customWidth="1" min="11" max="11"/>
    <col width="19" customWidth="1" min="12" max="12"/>
    <col width="18" customWidth="1" min="13" max="13"/>
    <col width="18" customWidth="1" min="14" max="14"/>
    <col width="13" customWidth="1" min="15" max="15"/>
  </cols>
  <sheetData>
    <row r="1">
      <c r="A1" s="1" t="inlineStr">
        <is>
          <t>PLANEJAMENTO — ORÇAMENTO POR EAP (COMPONENTES s/BDI e c/BDI)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Quantitativo</t>
        </is>
      </c>
      <c r="E2" s="2" t="inlineStr">
        <is>
          <t>MO s/BDI (R$)</t>
        </is>
      </c>
      <c r="F2" s="2" t="inlineStr">
        <is>
          <t>MO c/BDI (R$)</t>
        </is>
      </c>
      <c r="G2" s="2" t="inlineStr">
        <is>
          <t>EQ s/BDI (R$)</t>
        </is>
      </c>
      <c r="H2" s="2" t="inlineStr">
        <is>
          <t>EQ c/BDI (R$)</t>
        </is>
      </c>
      <c r="I2" s="2" t="inlineStr">
        <is>
          <t>Comb. s/BDI (R$)</t>
        </is>
      </c>
      <c r="J2" s="2" t="inlineStr">
        <is>
          <t>Comb. c/BDI (R$)</t>
        </is>
      </c>
      <c r="K2" s="2" t="inlineStr">
        <is>
          <t>MAT s/BDI (R$)</t>
        </is>
      </c>
      <c r="L2" s="2" t="inlineStr">
        <is>
          <t>MAT c/BDI (R$)</t>
        </is>
      </c>
      <c r="M2" s="2" t="inlineStr">
        <is>
          <t>Total s/BDI (R$)</t>
        </is>
      </c>
      <c r="N2" s="2" t="inlineStr">
        <is>
          <t>Total c/BDI (R$)</t>
        </is>
      </c>
      <c r="O2" s="2" t="inlineStr">
        <is>
          <t>Criticidade</t>
        </is>
      </c>
    </row>
    <row r="3">
      <c r="A3" s="43" t="inlineStr">
        <is>
          <t>eap-1_0</t>
        </is>
      </c>
      <c r="B3" s="43" t="inlineStr">
        <is>
          <t>Desmatamento e limpeza de area vegetada</t>
        </is>
      </c>
      <c r="C3" s="43" t="inlineStr">
        <is>
          <t>m2</t>
        </is>
      </c>
      <c r="D3" s="44" t="n">
        <v>2400000</v>
      </c>
      <c r="E3" s="45" t="n">
        <v>1390675.2</v>
      </c>
      <c r="F3" s="45">
        <f>E3*(1+BDI!$M$3)</f>
        <v/>
      </c>
      <c r="G3" s="45" t="n">
        <v>0</v>
      </c>
      <c r="H3" s="45">
        <f>G3*(1+BDI!$M$5)</f>
        <v/>
      </c>
      <c r="I3" s="45" t="n">
        <v>706032</v>
      </c>
      <c r="J3" s="45">
        <f>I3*(1+BDI!$M$7)</f>
        <v/>
      </c>
      <c r="K3" s="45" t="n">
        <v>0</v>
      </c>
      <c r="L3" s="45">
        <f>K3*(1+BDI!$M$4)</f>
        <v/>
      </c>
      <c r="M3" s="45">
        <f>E3+G3+I3+K3</f>
        <v/>
      </c>
      <c r="N3" s="45">
        <f>F3+H3+J3+L3</f>
        <v/>
      </c>
      <c r="O3" s="43" t="inlineStr">
        <is>
          <t>B</t>
        </is>
      </c>
    </row>
    <row r="4">
      <c r="A4" s="31" t="inlineStr">
        <is>
          <t>eap-1_1</t>
        </is>
      </c>
      <c r="B4" s="31" t="inlineStr">
        <is>
          <t>Esc/carg/transp 1aCat DMT&lt;=2000m</t>
        </is>
      </c>
      <c r="C4" s="31" t="inlineStr">
        <is>
          <t>m3</t>
        </is>
      </c>
      <c r="D4" s="32" t="n">
        <v>107463.1053</v>
      </c>
      <c r="E4" s="33" t="n">
        <v>316847.44</v>
      </c>
      <c r="F4" s="33">
        <f>E4*(1+BDI!$M$3)</f>
        <v/>
      </c>
      <c r="G4" s="33" t="n">
        <v>0</v>
      </c>
      <c r="H4" s="33">
        <f>G4*(1+BDI!$M$5)</f>
        <v/>
      </c>
      <c r="I4" s="33" t="n">
        <v>506137.58</v>
      </c>
      <c r="J4" s="33">
        <f>I4*(1+BDI!$M$7)</f>
        <v/>
      </c>
      <c r="K4" s="33" t="n">
        <v>0</v>
      </c>
      <c r="L4" s="33">
        <f>K4*(1+BDI!$M$4)</f>
        <v/>
      </c>
      <c r="M4" s="33">
        <f>E4+G4+I4+K4</f>
        <v/>
      </c>
      <c r="N4" s="33">
        <f>F4+H4+J4+L4</f>
        <v/>
      </c>
      <c r="O4" s="31" t="inlineStr">
        <is>
          <t>C</t>
        </is>
      </c>
    </row>
    <row r="5">
      <c r="A5" s="28" t="inlineStr">
        <is>
          <t>eap-1_2</t>
        </is>
      </c>
      <c r="B5" s="28" t="inlineStr">
        <is>
          <t>Esc/carg/transp 1aCat DMT&lt;=3000m</t>
        </is>
      </c>
      <c r="C5" s="28" t="inlineStr">
        <is>
          <t>m3</t>
        </is>
      </c>
      <c r="D5" s="29" t="n">
        <v>336915.0947</v>
      </c>
      <c r="E5" s="30" t="n">
        <v>1106689.27</v>
      </c>
      <c r="F5" s="30">
        <f>E5*(1+BDI!$M$3)</f>
        <v/>
      </c>
      <c r="G5" s="30" t="n">
        <v>0</v>
      </c>
      <c r="H5" s="30">
        <f>G5*(1+BDI!$M$5)</f>
        <v/>
      </c>
      <c r="I5" s="30" t="n">
        <v>1743983.71</v>
      </c>
      <c r="J5" s="30">
        <f>I5*(1+BDI!$M$7)</f>
        <v/>
      </c>
      <c r="K5" s="30" t="n">
        <v>0</v>
      </c>
      <c r="L5" s="30">
        <f>K5*(1+BDI!$M$4)</f>
        <v/>
      </c>
      <c r="M5" s="30">
        <f>E5+G5+I5+K5</f>
        <v/>
      </c>
      <c r="N5" s="30">
        <f>F5+H5+J5+L5</f>
        <v/>
      </c>
      <c r="O5" s="28" t="inlineStr">
        <is>
          <t>C</t>
        </is>
      </c>
    </row>
    <row r="6">
      <c r="A6" s="31" t="inlineStr">
        <is>
          <t>eap-1_3</t>
        </is>
      </c>
      <c r="B6" s="31" t="inlineStr">
        <is>
          <t>Esc/carg/transp 2aCat DMT&lt;=2000m</t>
        </is>
      </c>
      <c r="C6" s="31" t="inlineStr">
        <is>
          <t>m3</t>
        </is>
      </c>
      <c r="D6" s="32" t="n">
        <v>105311.3323</v>
      </c>
      <c r="E6" s="33" t="n">
        <v>405065.09</v>
      </c>
      <c r="F6" s="33">
        <f>E6*(1+BDI!$M$3)</f>
        <v/>
      </c>
      <c r="G6" s="33" t="n">
        <v>0</v>
      </c>
      <c r="H6" s="33">
        <f>G6*(1+BDI!$M$5)</f>
        <v/>
      </c>
      <c r="I6" s="33" t="n">
        <v>657938.66</v>
      </c>
      <c r="J6" s="33">
        <f>I6*(1+BDI!$M$7)</f>
        <v/>
      </c>
      <c r="K6" s="33" t="n">
        <v>0</v>
      </c>
      <c r="L6" s="33">
        <f>K6*(1+BDI!$M$4)</f>
        <v/>
      </c>
      <c r="M6" s="33">
        <f>E6+G6+I6+K6</f>
        <v/>
      </c>
      <c r="N6" s="33">
        <f>F6+H6+J6+L6</f>
        <v/>
      </c>
      <c r="O6" s="31" t="inlineStr">
        <is>
          <t>C</t>
        </is>
      </c>
    </row>
    <row r="7">
      <c r="A7" s="28" t="inlineStr">
        <is>
          <t>eap-1_4</t>
        </is>
      </c>
      <c r="B7" s="28" t="inlineStr">
        <is>
          <t>Esc/carg/transp 2aCat DMT&lt;=3000m</t>
        </is>
      </c>
      <c r="C7" s="28" t="inlineStr">
        <is>
          <t>m3</t>
        </is>
      </c>
      <c r="D7" s="29" t="n">
        <v>585945.7677</v>
      </c>
      <c r="E7" s="30" t="n">
        <v>2353941.03</v>
      </c>
      <c r="F7" s="30">
        <f>E7*(1+BDI!$M$3)</f>
        <v/>
      </c>
      <c r="G7" s="30" t="n">
        <v>0</v>
      </c>
      <c r="H7" s="30">
        <f>G7*(1+BDI!$M$5)</f>
        <v/>
      </c>
      <c r="I7" s="30" t="n">
        <v>3883884.1</v>
      </c>
      <c r="J7" s="30">
        <f>I7*(1+BDI!$M$7)</f>
        <v/>
      </c>
      <c r="K7" s="30" t="n">
        <v>0</v>
      </c>
      <c r="L7" s="30">
        <f>K7*(1+BDI!$M$4)</f>
        <v/>
      </c>
      <c r="M7" s="30">
        <f>E7+G7+I7+K7</f>
        <v/>
      </c>
      <c r="N7" s="30">
        <f>F7+H7+J7+L7</f>
        <v/>
      </c>
      <c r="O7" s="28" t="inlineStr">
        <is>
          <t>C</t>
        </is>
      </c>
    </row>
    <row r="8">
      <c r="A8" s="46" t="inlineStr">
        <is>
          <t>eap-1_5</t>
        </is>
      </c>
      <c r="B8" s="46" t="inlineStr">
        <is>
          <t>Esc/carg/transp 3aCat DMT&lt;=2000m</t>
        </is>
      </c>
      <c r="C8" s="46" t="inlineStr">
        <is>
          <t>m3</t>
        </is>
      </c>
      <c r="D8" s="47" t="n">
        <v>304634.4556</v>
      </c>
      <c r="E8" s="48" t="n">
        <v>1579816.62</v>
      </c>
      <c r="F8" s="48">
        <f>E8*(1+BDI!$M$3)</f>
        <v/>
      </c>
      <c r="G8" s="48" t="n">
        <v>0</v>
      </c>
      <c r="H8" s="48">
        <f>G8*(1+BDI!$M$5)</f>
        <v/>
      </c>
      <c r="I8" s="48" t="n">
        <v>2950561.39</v>
      </c>
      <c r="J8" s="48">
        <f>I8*(1+BDI!$M$7)</f>
        <v/>
      </c>
      <c r="K8" s="48" t="n">
        <v>0</v>
      </c>
      <c r="L8" s="48">
        <f>K8*(1+BDI!$M$4)</f>
        <v/>
      </c>
      <c r="M8" s="48">
        <f>E8+G8+I8+K8</f>
        <v/>
      </c>
      <c r="N8" s="48">
        <f>F8+H8+J8+L8</f>
        <v/>
      </c>
      <c r="O8" s="46" t="inlineStr">
        <is>
          <t>A</t>
        </is>
      </c>
    </row>
    <row r="9">
      <c r="A9" s="46" t="inlineStr">
        <is>
          <t>eap-1_6</t>
        </is>
      </c>
      <c r="B9" s="46" t="inlineStr">
        <is>
          <t>Esc/carg/transp 3aCat DMT&lt;=3000m</t>
        </is>
      </c>
      <c r="C9" s="46" t="inlineStr">
        <is>
          <t>m3</t>
        </is>
      </c>
      <c r="D9" s="47" t="n">
        <v>676519.0444</v>
      </c>
      <c r="E9" s="48" t="n">
        <v>4349961.3</v>
      </c>
      <c r="F9" s="48">
        <f>E9*(1+BDI!$M$3)</f>
        <v/>
      </c>
      <c r="G9" s="48" t="n">
        <v>0</v>
      </c>
      <c r="H9" s="48">
        <f>G9*(1+BDI!$M$5)</f>
        <v/>
      </c>
      <c r="I9" s="48" t="n">
        <v>7979214.02</v>
      </c>
      <c r="J9" s="48">
        <f>I9*(1+BDI!$M$7)</f>
        <v/>
      </c>
      <c r="K9" s="48" t="n">
        <v>0</v>
      </c>
      <c r="L9" s="48">
        <f>K9*(1+BDI!$M$4)</f>
        <v/>
      </c>
      <c r="M9" s="48">
        <f>E9+G9+I9+K9</f>
        <v/>
      </c>
      <c r="N9" s="48">
        <f>F9+H9+J9+L9</f>
        <v/>
      </c>
      <c r="O9" s="46" t="inlineStr">
        <is>
          <t>A</t>
        </is>
      </c>
    </row>
    <row r="10">
      <c r="A10" s="43" t="inlineStr">
        <is>
          <t>eap-1_7</t>
        </is>
      </c>
      <c r="B10" s="43" t="inlineStr">
        <is>
          <t>Compactacao aterros 100% Proctor Normal</t>
        </is>
      </c>
      <c r="C10" s="43" t="inlineStr">
        <is>
          <t>m3</t>
        </is>
      </c>
      <c r="D10" s="44" t="n">
        <v>1135635.3</v>
      </c>
      <c r="E10" s="45" t="n">
        <v>3333102.1</v>
      </c>
      <c r="F10" s="45">
        <f>E10*(1+BDI!$M$3)</f>
        <v/>
      </c>
      <c r="G10" s="45" t="n">
        <v>0</v>
      </c>
      <c r="H10" s="45">
        <f>G10*(1+BDI!$M$5)</f>
        <v/>
      </c>
      <c r="I10" s="45" t="n">
        <v>7037169.69</v>
      </c>
      <c r="J10" s="45">
        <f>I10*(1+BDI!$M$7)</f>
        <v/>
      </c>
      <c r="K10" s="45" t="n">
        <v>0</v>
      </c>
      <c r="L10" s="45">
        <f>K10*(1+BDI!$M$4)</f>
        <v/>
      </c>
      <c r="M10" s="45">
        <f>E10+G10+I10+K10</f>
        <v/>
      </c>
      <c r="N10" s="45">
        <f>F10+H10+J10+L10</f>
        <v/>
      </c>
      <c r="O10" s="43" t="inlineStr">
        <is>
          <t>B</t>
        </is>
      </c>
    </row>
    <row r="11">
      <c r="A11" s="28" t="inlineStr">
        <is>
          <t>eap-1_8</t>
        </is>
      </c>
      <c r="B11" s="28" t="inlineStr">
        <is>
          <t>Compactacao aterros 100% Proctor Intermediario</t>
        </is>
      </c>
      <c r="C11" s="28" t="inlineStr">
        <is>
          <t>m3</t>
        </is>
      </c>
      <c r="D11" s="29" t="n">
        <v>29411</v>
      </c>
      <c r="E11" s="30" t="n">
        <v>112866.01</v>
      </c>
      <c r="F11" s="30">
        <f>E11*(1+BDI!$M$3)</f>
        <v/>
      </c>
      <c r="G11" s="30" t="n">
        <v>0</v>
      </c>
      <c r="H11" s="30">
        <f>G11*(1+BDI!$M$5)</f>
        <v/>
      </c>
      <c r="I11" s="30" t="n">
        <v>238293.75</v>
      </c>
      <c r="J11" s="30">
        <f>I11*(1+BDI!$M$7)</f>
        <v/>
      </c>
      <c r="K11" s="30" t="n">
        <v>0</v>
      </c>
      <c r="L11" s="30">
        <f>K11*(1+BDI!$M$4)</f>
        <v/>
      </c>
      <c r="M11" s="30">
        <f>E11+G11+I11+K11</f>
        <v/>
      </c>
      <c r="N11" s="30">
        <f>F11+H11+J11+L11</f>
        <v/>
      </c>
      <c r="O11" s="28" t="inlineStr">
        <is>
          <t>C</t>
        </is>
      </c>
    </row>
    <row r="12">
      <c r="A12" s="43" t="inlineStr">
        <is>
          <t>eap-1_9</t>
        </is>
      </c>
      <c r="B12" s="43" t="inlineStr">
        <is>
          <t>Construcao corpo aterro material 3a categoria</t>
        </is>
      </c>
      <c r="C12" s="43" t="inlineStr">
        <is>
          <t>m3</t>
        </is>
      </c>
      <c r="D12" s="44" t="n">
        <v>981153.5</v>
      </c>
      <c r="E12" s="45" t="n">
        <v>1768479.14</v>
      </c>
      <c r="F12" s="45">
        <f>E12*(1+BDI!$M$3)</f>
        <v/>
      </c>
      <c r="G12" s="45" t="n">
        <v>0</v>
      </c>
      <c r="H12" s="45">
        <f>G12*(1+BDI!$M$5)</f>
        <v/>
      </c>
      <c r="I12" s="45" t="n">
        <v>3993867.74</v>
      </c>
      <c r="J12" s="45">
        <f>I12*(1+BDI!$M$7)</f>
        <v/>
      </c>
      <c r="K12" s="45" t="n">
        <v>0</v>
      </c>
      <c r="L12" s="45">
        <f>K12*(1+BDI!$M$4)</f>
        <v/>
      </c>
      <c r="M12" s="45">
        <f>E12+G12+I12+K12</f>
        <v/>
      </c>
      <c r="N12" s="45">
        <f>F12+H12+J12+L12</f>
        <v/>
      </c>
      <c r="O12" s="43" t="inlineStr">
        <is>
          <t>B</t>
        </is>
      </c>
    </row>
    <row r="13">
      <c r="A13" s="28" t="inlineStr">
        <is>
          <t>eap-1_10</t>
        </is>
      </c>
      <c r="B13" s="28" t="inlineStr">
        <is>
          <t>Compactacao camada final aterro sobre rocha</t>
        </is>
      </c>
      <c r="C13" s="28" t="inlineStr">
        <is>
          <t>m3</t>
        </is>
      </c>
      <c r="D13" s="29" t="n">
        <v>24721.17</v>
      </c>
      <c r="E13" s="30" t="n">
        <v>216935.21</v>
      </c>
      <c r="F13" s="30">
        <f>E13*(1+BDI!$M$3)</f>
        <v/>
      </c>
      <c r="G13" s="30" t="n">
        <v>0</v>
      </c>
      <c r="H13" s="30">
        <f>G13*(1+BDI!$M$5)</f>
        <v/>
      </c>
      <c r="I13" s="30" t="n">
        <v>139968.79</v>
      </c>
      <c r="J13" s="30">
        <f>I13*(1+BDI!$M$7)</f>
        <v/>
      </c>
      <c r="K13" s="30" t="n">
        <v>0</v>
      </c>
      <c r="L13" s="30">
        <f>K13*(1+BDI!$M$4)</f>
        <v/>
      </c>
      <c r="M13" s="30">
        <f>E13+G13+I13+K13</f>
        <v/>
      </c>
      <c r="N13" s="30">
        <f>F13+H13+J13+L13</f>
        <v/>
      </c>
      <c r="O13" s="28" t="inlineStr">
        <is>
          <t>C</t>
        </is>
      </c>
    </row>
    <row r="14"/>
    <row r="15">
      <c r="A15" s="26" t="inlineStr">
        <is>
          <t>TOTAL</t>
        </is>
      </c>
      <c r="E15" s="27">
        <f>SUM(E3:E14)</f>
        <v/>
      </c>
      <c r="F15" s="27">
        <f>SUM(F3:F14)</f>
        <v/>
      </c>
      <c r="G15" s="27">
        <f>SUM(G3:G14)</f>
        <v/>
      </c>
      <c r="H15" s="27">
        <f>SUM(H3:H14)</f>
        <v/>
      </c>
      <c r="I15" s="27">
        <f>SUM(I3:I14)</f>
        <v/>
      </c>
      <c r="J15" s="27">
        <f>SUM(J3:J14)</f>
        <v/>
      </c>
      <c r="K15" s="27">
        <f>SUM(K3:K14)</f>
        <v/>
      </c>
      <c r="L15" s="27">
        <f>SUM(L3:L14)</f>
        <v/>
      </c>
      <c r="M15" s="27">
        <f>SUM(M3:M14)</f>
        <v/>
      </c>
      <c r="N15" s="27">
        <f>SUM(N3:N14)</f>
        <v/>
      </c>
    </row>
  </sheetData>
  <mergeCells count="2">
    <mergeCell ref="A1:O1"/>
    <mergeCell ref="A15:D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69"/>
  <sheetViews>
    <sheetView workbookViewId="0">
      <pane xSplit="5" ySplit="3" topLeftCell="F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6" customWidth="1" min="3" max="3"/>
    <col width="12" customWidth="1" min="4" max="4"/>
    <col width="22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</cols>
  <sheetData>
    <row r="1">
      <c r="A1" s="1" t="inlineStr">
        <is>
          <t>CRONOGRAMA SEMANAL — ACOMPANHAMENTO FÍSICO DE PRODUÇÃO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Quantitativo</t>
        </is>
      </c>
      <c r="E2" s="2" t="inlineStr">
        <is>
          <t>Métrica</t>
        </is>
      </c>
      <c r="F2" s="2" t="inlineStr">
        <is>
          <t>08/Jun</t>
        </is>
      </c>
      <c r="G2" s="2" t="inlineStr">
        <is>
          <t>15/Jun</t>
        </is>
      </c>
      <c r="H2" s="2" t="inlineStr">
        <is>
          <t>22/Jun</t>
        </is>
      </c>
      <c r="I2" s="2" t="inlineStr">
        <is>
          <t>29/Jun</t>
        </is>
      </c>
      <c r="J2" s="2" t="inlineStr">
        <is>
          <t>06/Jul</t>
        </is>
      </c>
      <c r="K2" s="2" t="inlineStr">
        <is>
          <t>13/Jul</t>
        </is>
      </c>
      <c r="L2" s="2" t="inlineStr">
        <is>
          <t>20/Jul</t>
        </is>
      </c>
      <c r="M2" s="2" t="inlineStr">
        <is>
          <t>27/Jul</t>
        </is>
      </c>
      <c r="N2" s="2" t="inlineStr">
        <is>
          <t>03/Ago</t>
        </is>
      </c>
      <c r="O2" s="2" t="inlineStr">
        <is>
          <t>10/Ago</t>
        </is>
      </c>
      <c r="P2" s="2" t="inlineStr">
        <is>
          <t>17/Ago</t>
        </is>
      </c>
      <c r="Q2" s="2" t="inlineStr">
        <is>
          <t>24/Ago</t>
        </is>
      </c>
      <c r="R2" s="2" t="inlineStr">
        <is>
          <t>31/Ago</t>
        </is>
      </c>
      <c r="S2" s="2" t="inlineStr">
        <is>
          <t>07/Set</t>
        </is>
      </c>
      <c r="T2" s="2" t="inlineStr">
        <is>
          <t>14/Set</t>
        </is>
      </c>
      <c r="U2" s="2" t="inlineStr">
        <is>
          <t>21/Set</t>
        </is>
      </c>
      <c r="V2" s="2" t="inlineStr">
        <is>
          <t>28/Set</t>
        </is>
      </c>
      <c r="W2" s="2" t="inlineStr">
        <is>
          <t>05/Out</t>
        </is>
      </c>
      <c r="X2" s="2" t="inlineStr">
        <is>
          <t>12/Out</t>
        </is>
      </c>
      <c r="Y2" s="2" t="inlineStr">
        <is>
          <t>19/Out</t>
        </is>
      </c>
      <c r="Z2" s="2" t="inlineStr">
        <is>
          <t>26/Out</t>
        </is>
      </c>
      <c r="AA2" s="2" t="inlineStr">
        <is>
          <t>02/Nov</t>
        </is>
      </c>
      <c r="AB2" s="2" t="inlineStr">
        <is>
          <t>09/Nov</t>
        </is>
      </c>
      <c r="AC2" s="2" t="inlineStr">
        <is>
          <t>16/Nov</t>
        </is>
      </c>
      <c r="AD2" s="2" t="inlineStr">
        <is>
          <t>23/Nov</t>
        </is>
      </c>
      <c r="AE2" s="2" t="inlineStr">
        <is>
          <t>30/Nov</t>
        </is>
      </c>
      <c r="AF2" s="2" t="inlineStr">
        <is>
          <t>07/Dez</t>
        </is>
      </c>
      <c r="AG2" s="2" t="inlineStr">
        <is>
          <t>14/Dez</t>
        </is>
      </c>
      <c r="AH2" s="2" t="inlineStr">
        <is>
          <t>21/Dez</t>
        </is>
      </c>
      <c r="AI2" s="2" t="inlineStr">
        <is>
          <t>28/Dez</t>
        </is>
      </c>
      <c r="AJ2" s="2" t="inlineStr">
        <is>
          <t>04/Jan</t>
        </is>
      </c>
      <c r="AK2" s="2" t="inlineStr">
        <is>
          <t>11/Jan</t>
        </is>
      </c>
      <c r="AL2" s="2" t="inlineStr">
        <is>
          <t>18/Jan</t>
        </is>
      </c>
      <c r="AM2" s="2" t="inlineStr">
        <is>
          <t>25/Jan</t>
        </is>
      </c>
      <c r="AN2" s="2" t="inlineStr">
        <is>
          <t>01/Fev</t>
        </is>
      </c>
      <c r="AO2" s="2" t="inlineStr">
        <is>
          <t>08/Fev</t>
        </is>
      </c>
      <c r="AP2" s="2" t="inlineStr">
        <is>
          <t>15/Fev</t>
        </is>
      </c>
      <c r="AQ2" s="2" t="inlineStr">
        <is>
          <t>22/Fev</t>
        </is>
      </c>
      <c r="AR2" s="2" t="inlineStr">
        <is>
          <t>01/Mar</t>
        </is>
      </c>
      <c r="AS2" s="2" t="inlineStr">
        <is>
          <t>08/Mar</t>
        </is>
      </c>
      <c r="AT2" s="2" t="inlineStr">
        <is>
          <t>15/Mar</t>
        </is>
      </c>
      <c r="AU2" s="2" t="inlineStr">
        <is>
          <t>22/Mar</t>
        </is>
      </c>
      <c r="AV2" s="2" t="inlineStr">
        <is>
          <t>29/Mar</t>
        </is>
      </c>
      <c r="AW2" s="2" t="inlineStr">
        <is>
          <t>05/Abr</t>
        </is>
      </c>
      <c r="AX2" s="2" t="inlineStr">
        <is>
          <t>12/Abr</t>
        </is>
      </c>
      <c r="AY2" s="2" t="inlineStr">
        <is>
          <t>19/Abr</t>
        </is>
      </c>
      <c r="AZ2" s="2" t="inlineStr">
        <is>
          <t>26/Abr</t>
        </is>
      </c>
      <c r="BA2" s="2" t="inlineStr">
        <is>
          <t>03/Mai</t>
        </is>
      </c>
      <c r="BB2" s="2" t="inlineStr">
        <is>
          <t>10/Mai</t>
        </is>
      </c>
      <c r="BC2" s="2" t="inlineStr">
        <is>
          <t>17/Mai</t>
        </is>
      </c>
      <c r="BD2" s="2" t="inlineStr">
        <is>
          <t>24/Mai</t>
        </is>
      </c>
      <c r="BE2" s="2" t="inlineStr">
        <is>
          <t>31/Mai</t>
        </is>
      </c>
    </row>
    <row r="3">
      <c r="A3" s="49" t="n"/>
      <c r="B3" s="49" t="n"/>
      <c r="C3" s="49" t="n"/>
      <c r="D3" s="49" t="n"/>
      <c r="E3" s="50" t="inlineStr">
        <is>
          <t>Praticabilidade</t>
        </is>
      </c>
      <c r="F3" s="51" t="n">
        <v>1</v>
      </c>
      <c r="G3" s="51" t="n">
        <v>1</v>
      </c>
      <c r="H3" s="51" t="n">
        <v>1</v>
      </c>
      <c r="I3" s="51" t="n">
        <v>1</v>
      </c>
      <c r="J3" s="51" t="n">
        <v>1</v>
      </c>
      <c r="K3" s="51" t="n">
        <v>1</v>
      </c>
      <c r="L3" s="51" t="n">
        <v>1</v>
      </c>
      <c r="M3" s="51" t="n">
        <v>1</v>
      </c>
      <c r="N3" s="51" t="n">
        <v>1</v>
      </c>
      <c r="O3" s="51" t="n">
        <v>1</v>
      </c>
      <c r="P3" s="51" t="n">
        <v>1</v>
      </c>
      <c r="Q3" s="51" t="n">
        <v>1</v>
      </c>
      <c r="R3" s="51" t="n">
        <v>1</v>
      </c>
      <c r="S3" s="51" t="n">
        <v>1</v>
      </c>
      <c r="T3" s="51" t="n">
        <v>1</v>
      </c>
      <c r="U3" s="51" t="n">
        <v>1</v>
      </c>
      <c r="V3" s="51" t="n">
        <v>1</v>
      </c>
      <c r="W3" s="51" t="n">
        <v>1</v>
      </c>
      <c r="X3" s="51" t="n">
        <v>1</v>
      </c>
      <c r="Y3" s="51" t="n">
        <v>1</v>
      </c>
      <c r="Z3" s="51" t="n">
        <v>1</v>
      </c>
      <c r="AA3" s="51" t="n">
        <v>1</v>
      </c>
      <c r="AB3" s="51" t="n">
        <v>1</v>
      </c>
      <c r="AC3" s="51" t="n">
        <v>1</v>
      </c>
      <c r="AD3" s="51" t="n">
        <v>1</v>
      </c>
      <c r="AE3" s="51" t="n">
        <v>1</v>
      </c>
      <c r="AF3" s="51" t="n">
        <v>1</v>
      </c>
      <c r="AG3" s="51" t="n">
        <v>1</v>
      </c>
      <c r="AH3" s="51" t="n">
        <v>1</v>
      </c>
      <c r="AI3" s="51" t="n">
        <v>1</v>
      </c>
      <c r="AJ3" s="51" t="n">
        <v>1</v>
      </c>
      <c r="AK3" s="51" t="n">
        <v>1</v>
      </c>
      <c r="AL3" s="51" t="n">
        <v>1</v>
      </c>
      <c r="AM3" s="51" t="n">
        <v>1</v>
      </c>
      <c r="AN3" s="51" t="n">
        <v>1</v>
      </c>
      <c r="AO3" s="51" t="n">
        <v>1</v>
      </c>
      <c r="AP3" s="51" t="n">
        <v>1</v>
      </c>
      <c r="AQ3" s="51" t="n">
        <v>1</v>
      </c>
      <c r="AR3" s="51" t="n">
        <v>1</v>
      </c>
      <c r="AS3" s="51" t="n">
        <v>1</v>
      </c>
      <c r="AT3" s="51" t="n">
        <v>1</v>
      </c>
      <c r="AU3" s="51" t="n">
        <v>1</v>
      </c>
      <c r="AV3" s="51" t="n">
        <v>1</v>
      </c>
      <c r="AW3" s="51" t="n">
        <v>1</v>
      </c>
      <c r="AX3" s="51" t="n">
        <v>1</v>
      </c>
      <c r="AY3" s="51" t="n">
        <v>1</v>
      </c>
      <c r="AZ3" s="51" t="n">
        <v>1</v>
      </c>
      <c r="BA3" s="51" t="n">
        <v>1</v>
      </c>
      <c r="BB3" s="51" t="n">
        <v>1</v>
      </c>
      <c r="BC3" s="51" t="n">
        <v>1</v>
      </c>
      <c r="BD3" s="51" t="n">
        <v>1</v>
      </c>
      <c r="BE3" s="51" t="n">
        <v>1</v>
      </c>
    </row>
    <row r="4">
      <c r="A4" s="16" t="inlineStr">
        <is>
          <t>eap-1_0</t>
        </is>
      </c>
      <c r="B4" s="16" t="inlineStr">
        <is>
          <t>Desmatamento e limpeza de area vegetada</t>
        </is>
      </c>
      <c r="C4" s="52" t="inlineStr">
        <is>
          <t>m2</t>
        </is>
      </c>
      <c r="D4" s="53" t="n">
        <v>2400000</v>
      </c>
      <c r="E4" s="54" t="inlineStr">
        <is>
          <t>Dias Trabalhados</t>
        </is>
      </c>
      <c r="F4" s="55" t="n">
        <v>6</v>
      </c>
      <c r="G4" s="55" t="n">
        <v>6</v>
      </c>
      <c r="H4" s="55" t="n">
        <v>6</v>
      </c>
      <c r="I4" s="55" t="n">
        <v>6</v>
      </c>
      <c r="J4" s="55" t="n">
        <v>6</v>
      </c>
      <c r="K4" s="55" t="n">
        <v>6</v>
      </c>
      <c r="L4" s="55" t="n">
        <v>6</v>
      </c>
      <c r="M4" s="55" t="n">
        <v>6</v>
      </c>
      <c r="N4" s="55" t="n">
        <v>6</v>
      </c>
      <c r="O4" s="55" t="n">
        <v>6</v>
      </c>
      <c r="P4" s="55" t="n">
        <v>6</v>
      </c>
      <c r="Q4" s="55" t="n">
        <v>6</v>
      </c>
      <c r="R4" s="55" t="n">
        <v>6</v>
      </c>
      <c r="S4" s="55" t="n">
        <v>6</v>
      </c>
      <c r="T4" s="55" t="n">
        <v>6</v>
      </c>
      <c r="U4" s="55" t="n">
        <v>6</v>
      </c>
      <c r="V4" s="55" t="n">
        <v>6</v>
      </c>
      <c r="W4" s="55" t="n">
        <v>6</v>
      </c>
      <c r="X4" s="55" t="n">
        <v>6</v>
      </c>
      <c r="Y4" s="55" t="n">
        <v>6</v>
      </c>
      <c r="Z4" s="55" t="n">
        <v>6</v>
      </c>
      <c r="AA4" s="55" t="n">
        <v>6</v>
      </c>
      <c r="AB4" s="55" t="n">
        <v>6</v>
      </c>
      <c r="AC4" s="55" t="n">
        <v>6</v>
      </c>
      <c r="AD4" s="55" t="n">
        <v>6</v>
      </c>
      <c r="AE4" s="56" t="n"/>
      <c r="AF4" s="56" t="n"/>
      <c r="AG4" s="56" t="n"/>
      <c r="AH4" s="56" t="n"/>
      <c r="AI4" s="56" t="n"/>
      <c r="AJ4" s="56" t="n"/>
      <c r="AK4" s="56" t="n"/>
      <c r="AL4" s="56" t="n"/>
      <c r="AM4" s="56" t="n"/>
      <c r="AN4" s="56" t="n"/>
      <c r="AO4" s="56" t="n"/>
      <c r="AP4" s="56" t="n"/>
      <c r="AQ4" s="56" t="n"/>
      <c r="AR4" s="56" t="n"/>
      <c r="AS4" s="56" t="n"/>
      <c r="AT4" s="56" t="n"/>
      <c r="AU4" s="56" t="n"/>
      <c r="AV4" s="56" t="n"/>
      <c r="AW4" s="56" t="n"/>
      <c r="AX4" s="56" t="n"/>
      <c r="AY4" s="56" t="n"/>
      <c r="AZ4" s="56" t="n"/>
      <c r="BA4" s="56" t="n"/>
      <c r="BB4" s="56" t="n"/>
      <c r="BC4" s="56" t="n"/>
      <c r="BD4" s="56" t="n"/>
      <c r="BE4" s="56" t="n"/>
    </row>
    <row r="5">
      <c r="A5" s="10" t="n"/>
      <c r="B5" s="10" t="n"/>
      <c r="C5" s="14" t="n"/>
      <c r="D5" s="12" t="n"/>
      <c r="E5" s="57" t="inlineStr">
        <is>
          <t>Nº De Equipes</t>
        </is>
      </c>
      <c r="F5" s="58" t="n">
        <v>5</v>
      </c>
      <c r="G5" s="58" t="n">
        <v>5</v>
      </c>
      <c r="H5" s="58" t="n">
        <v>5</v>
      </c>
      <c r="I5" s="58" t="n">
        <v>5</v>
      </c>
      <c r="J5" s="58" t="n">
        <v>5</v>
      </c>
      <c r="K5" s="58" t="n">
        <v>5</v>
      </c>
      <c r="L5" s="58" t="n">
        <v>5</v>
      </c>
      <c r="M5" s="58" t="n">
        <v>5</v>
      </c>
      <c r="N5" s="58" t="n">
        <v>5</v>
      </c>
      <c r="O5" s="58" t="n">
        <v>5</v>
      </c>
      <c r="P5" s="58" t="n">
        <v>5</v>
      </c>
      <c r="Q5" s="58" t="n">
        <v>5</v>
      </c>
      <c r="R5" s="58" t="n">
        <v>5</v>
      </c>
      <c r="S5" s="58" t="n">
        <v>5</v>
      </c>
      <c r="T5" s="58" t="n">
        <v>5</v>
      </c>
      <c r="U5" s="58" t="n">
        <v>5</v>
      </c>
      <c r="V5" s="58" t="n">
        <v>5</v>
      </c>
      <c r="W5" s="58" t="n">
        <v>5</v>
      </c>
      <c r="X5" s="58" t="n">
        <v>5</v>
      </c>
      <c r="Y5" s="58" t="n">
        <v>5</v>
      </c>
      <c r="Z5" s="58" t="n">
        <v>5</v>
      </c>
      <c r="AA5" s="58" t="n">
        <v>5</v>
      </c>
      <c r="AB5" s="58" t="n">
        <v>5</v>
      </c>
      <c r="AC5" s="58" t="n">
        <v>5</v>
      </c>
      <c r="AD5" s="58" t="n">
        <v>5</v>
      </c>
      <c r="AE5" s="59" t="n"/>
      <c r="AF5" s="59" t="n"/>
      <c r="AG5" s="59" t="n"/>
      <c r="AH5" s="59" t="n"/>
      <c r="AI5" s="59" t="n"/>
      <c r="AJ5" s="59" t="n"/>
      <c r="AK5" s="59" t="n"/>
      <c r="AL5" s="59" t="n"/>
      <c r="AM5" s="59" t="n"/>
      <c r="AN5" s="59" t="n"/>
      <c r="AO5" s="59" t="n"/>
      <c r="AP5" s="59" t="n"/>
      <c r="AQ5" s="59" t="n"/>
      <c r="AR5" s="59" t="n"/>
      <c r="AS5" s="59" t="n"/>
      <c r="AT5" s="59" t="n"/>
      <c r="AU5" s="59" t="n"/>
      <c r="AV5" s="59" t="n"/>
      <c r="AW5" s="59" t="n"/>
      <c r="AX5" s="59" t="n"/>
      <c r="AY5" s="59" t="n"/>
      <c r="AZ5" s="59" t="n"/>
      <c r="BA5" s="59" t="n"/>
      <c r="BB5" s="59" t="n"/>
      <c r="BC5" s="59" t="n"/>
      <c r="BD5" s="59" t="n"/>
      <c r="BE5" s="59" t="n"/>
    </row>
    <row r="6">
      <c r="A6" s="10" t="n"/>
      <c r="B6" s="10" t="n"/>
      <c r="C6" s="14" t="n"/>
      <c r="D6" s="12" t="n"/>
      <c r="E6" s="57" t="inlineStr">
        <is>
          <t>Qtd. Planejada</t>
        </is>
      </c>
      <c r="F6" s="30" t="n">
        <v>180000</v>
      </c>
      <c r="G6" s="30" t="n">
        <v>180000</v>
      </c>
      <c r="H6" s="30" t="n">
        <v>180000</v>
      </c>
      <c r="I6" s="30" t="n">
        <v>180000</v>
      </c>
      <c r="J6" s="30" t="n">
        <v>180000</v>
      </c>
      <c r="K6" s="30" t="n">
        <v>180000</v>
      </c>
      <c r="L6" s="30" t="n">
        <v>180000</v>
      </c>
      <c r="M6" s="30" t="n">
        <v>180000</v>
      </c>
      <c r="N6" s="30" t="n">
        <v>180000</v>
      </c>
      <c r="O6" s="30" t="n">
        <v>180000</v>
      </c>
      <c r="P6" s="30" t="n">
        <v>180000</v>
      </c>
      <c r="Q6" s="30" t="n">
        <v>180000</v>
      </c>
      <c r="R6" s="30" t="n">
        <v>180000</v>
      </c>
      <c r="S6" s="30" t="n">
        <v>60000</v>
      </c>
      <c r="T6" s="59" t="n"/>
      <c r="U6" s="59" t="n"/>
      <c r="V6" s="59" t="n"/>
      <c r="W6" s="59" t="n"/>
      <c r="X6" s="59" t="n"/>
      <c r="Y6" s="59" t="n"/>
      <c r="Z6" s="59" t="n"/>
      <c r="AA6" s="59" t="n"/>
      <c r="AB6" s="59" t="n"/>
      <c r="AC6" s="59" t="n"/>
      <c r="AD6" s="59" t="n"/>
      <c r="AE6" s="59" t="n"/>
      <c r="AF6" s="59" t="n"/>
      <c r="AG6" s="59" t="n"/>
      <c r="AH6" s="59" t="n"/>
      <c r="AI6" s="59" t="n"/>
      <c r="AJ6" s="59" t="n"/>
      <c r="AK6" s="59" t="n"/>
      <c r="AL6" s="59" t="n"/>
      <c r="AM6" s="59" t="n"/>
      <c r="AN6" s="59" t="n"/>
      <c r="AO6" s="59" t="n"/>
      <c r="AP6" s="59" t="n"/>
      <c r="AQ6" s="59" t="n"/>
      <c r="AR6" s="59" t="n"/>
      <c r="AS6" s="59" t="n"/>
      <c r="AT6" s="59" t="n"/>
      <c r="AU6" s="59" t="n"/>
      <c r="AV6" s="59" t="n"/>
      <c r="AW6" s="59" t="n"/>
      <c r="AX6" s="59" t="n"/>
      <c r="AY6" s="59" t="n"/>
      <c r="AZ6" s="59" t="n"/>
      <c r="BA6" s="59" t="n"/>
      <c r="BB6" s="59" t="n"/>
      <c r="BC6" s="59" t="n"/>
      <c r="BD6" s="59" t="n"/>
      <c r="BE6" s="59" t="n"/>
    </row>
    <row r="7">
      <c r="A7" s="10" t="n"/>
      <c r="B7" s="10" t="n"/>
      <c r="C7" s="14" t="n"/>
      <c r="D7" s="12" t="n"/>
      <c r="E7" s="57" t="inlineStr">
        <is>
          <t>Qtd Plan. Acumulada</t>
        </is>
      </c>
      <c r="F7" s="30" t="n">
        <v>180000</v>
      </c>
      <c r="G7" s="30" t="n">
        <v>360000</v>
      </c>
      <c r="H7" s="30" t="n">
        <v>540000</v>
      </c>
      <c r="I7" s="30" t="n">
        <v>720000</v>
      </c>
      <c r="J7" s="30" t="n">
        <v>900000</v>
      </c>
      <c r="K7" s="30" t="n">
        <v>1080000</v>
      </c>
      <c r="L7" s="30" t="n">
        <v>1260000</v>
      </c>
      <c r="M7" s="30" t="n">
        <v>1440000</v>
      </c>
      <c r="N7" s="30" t="n">
        <v>1620000</v>
      </c>
      <c r="O7" s="30" t="n">
        <v>1800000</v>
      </c>
      <c r="P7" s="30" t="n">
        <v>1980000</v>
      </c>
      <c r="Q7" s="30" t="n">
        <v>2160000</v>
      </c>
      <c r="R7" s="30" t="n">
        <v>2340000</v>
      </c>
      <c r="S7" s="30" t="n">
        <v>2400000</v>
      </c>
      <c r="T7" s="30" t="n">
        <v>2400000</v>
      </c>
      <c r="U7" s="30" t="n">
        <v>2400000</v>
      </c>
      <c r="V7" s="30" t="n">
        <v>2400000</v>
      </c>
      <c r="W7" s="30" t="n">
        <v>2400000</v>
      </c>
      <c r="X7" s="30" t="n">
        <v>2400000</v>
      </c>
      <c r="Y7" s="30" t="n">
        <v>2400000</v>
      </c>
      <c r="Z7" s="30" t="n">
        <v>2400000</v>
      </c>
      <c r="AA7" s="30" t="n">
        <v>2400000</v>
      </c>
      <c r="AB7" s="30" t="n">
        <v>2400000</v>
      </c>
      <c r="AC7" s="30" t="n">
        <v>2400000</v>
      </c>
      <c r="AD7" s="30" t="n">
        <v>2400000</v>
      </c>
      <c r="AE7" s="30" t="n">
        <v>2400000</v>
      </c>
      <c r="AF7" s="30" t="n">
        <v>2400000</v>
      </c>
      <c r="AG7" s="30" t="n">
        <v>2400000</v>
      </c>
      <c r="AH7" s="30" t="n">
        <v>2400000</v>
      </c>
      <c r="AI7" s="30" t="n">
        <v>2400000</v>
      </c>
      <c r="AJ7" s="30" t="n">
        <v>2400000</v>
      </c>
      <c r="AK7" s="30" t="n">
        <v>2400000</v>
      </c>
      <c r="AL7" s="30" t="n">
        <v>2400000</v>
      </c>
      <c r="AM7" s="30" t="n">
        <v>2400000</v>
      </c>
      <c r="AN7" s="30" t="n">
        <v>2400000</v>
      </c>
      <c r="AO7" s="30" t="n">
        <v>2400000</v>
      </c>
      <c r="AP7" s="30" t="n">
        <v>2400000</v>
      </c>
      <c r="AQ7" s="30" t="n">
        <v>2400000</v>
      </c>
      <c r="AR7" s="30" t="n">
        <v>2400000</v>
      </c>
      <c r="AS7" s="30" t="n">
        <v>2400000</v>
      </c>
      <c r="AT7" s="30" t="n">
        <v>2400000</v>
      </c>
      <c r="AU7" s="30" t="n">
        <v>2400000</v>
      </c>
      <c r="AV7" s="30" t="n">
        <v>2400000</v>
      </c>
      <c r="AW7" s="30" t="n">
        <v>2400000</v>
      </c>
      <c r="AX7" s="30" t="n">
        <v>2400000</v>
      </c>
      <c r="AY7" s="30" t="n">
        <v>2400000</v>
      </c>
      <c r="AZ7" s="30" t="n">
        <v>2400000</v>
      </c>
      <c r="BA7" s="30" t="n">
        <v>2400000</v>
      </c>
      <c r="BB7" s="30" t="n">
        <v>2400000</v>
      </c>
      <c r="BC7" s="30" t="n">
        <v>2400000</v>
      </c>
      <c r="BD7" s="30" t="n">
        <v>2400000</v>
      </c>
      <c r="BE7" s="30" t="n">
        <v>2400000</v>
      </c>
    </row>
    <row r="8">
      <c r="A8" s="10" t="n"/>
      <c r="B8" s="10" t="n"/>
      <c r="C8" s="14" t="n"/>
      <c r="D8" s="12" t="n"/>
      <c r="E8" s="57" t="inlineStr">
        <is>
          <t>% Semanal</t>
        </is>
      </c>
      <c r="F8" s="60" t="n">
        <v>0.075</v>
      </c>
      <c r="G8" s="60" t="n">
        <v>0.075</v>
      </c>
      <c r="H8" s="60" t="n">
        <v>0.075</v>
      </c>
      <c r="I8" s="60" t="n">
        <v>0.075</v>
      </c>
      <c r="J8" s="60" t="n">
        <v>0.075</v>
      </c>
      <c r="K8" s="60" t="n">
        <v>0.075</v>
      </c>
      <c r="L8" s="60" t="n">
        <v>0.075</v>
      </c>
      <c r="M8" s="60" t="n">
        <v>0.075</v>
      </c>
      <c r="N8" s="60" t="n">
        <v>0.075</v>
      </c>
      <c r="O8" s="60" t="n">
        <v>0.075</v>
      </c>
      <c r="P8" s="60" t="n">
        <v>0.075</v>
      </c>
      <c r="Q8" s="60" t="n">
        <v>0.075</v>
      </c>
      <c r="R8" s="60" t="n">
        <v>0.075</v>
      </c>
      <c r="S8" s="60" t="n">
        <v>0.025</v>
      </c>
      <c r="T8" s="59" t="n"/>
      <c r="U8" s="59" t="n"/>
      <c r="V8" s="59" t="n"/>
      <c r="W8" s="59" t="n"/>
      <c r="X8" s="59" t="n"/>
      <c r="Y8" s="59" t="n"/>
      <c r="Z8" s="59" t="n"/>
      <c r="AA8" s="59" t="n"/>
      <c r="AB8" s="59" t="n"/>
      <c r="AC8" s="59" t="n"/>
      <c r="AD8" s="59" t="n"/>
      <c r="AE8" s="59" t="n"/>
      <c r="AF8" s="59" t="n"/>
      <c r="AG8" s="59" t="n"/>
      <c r="AH8" s="59" t="n"/>
      <c r="AI8" s="59" t="n"/>
      <c r="AJ8" s="59" t="n"/>
      <c r="AK8" s="59" t="n"/>
      <c r="AL8" s="59" t="n"/>
      <c r="AM8" s="59" t="n"/>
      <c r="AN8" s="59" t="n"/>
      <c r="AO8" s="59" t="n"/>
      <c r="AP8" s="59" t="n"/>
      <c r="AQ8" s="59" t="n"/>
      <c r="AR8" s="59" t="n"/>
      <c r="AS8" s="59" t="n"/>
      <c r="AT8" s="59" t="n"/>
      <c r="AU8" s="59" t="n"/>
      <c r="AV8" s="59" t="n"/>
      <c r="AW8" s="59" t="n"/>
      <c r="AX8" s="59" t="n"/>
      <c r="AY8" s="59" t="n"/>
      <c r="AZ8" s="59" t="n"/>
      <c r="BA8" s="59" t="n"/>
      <c r="BB8" s="59" t="n"/>
      <c r="BC8" s="59" t="n"/>
      <c r="BD8" s="59" t="n"/>
      <c r="BE8" s="59" t="n"/>
    </row>
    <row r="9">
      <c r="A9" s="10" t="n"/>
      <c r="B9" s="10" t="n"/>
      <c r="C9" s="14" t="n"/>
      <c r="D9" s="12" t="n"/>
      <c r="E9" s="57" t="inlineStr">
        <is>
          <t>% Acumulado</t>
        </is>
      </c>
      <c r="F9" s="60" t="n">
        <v>0.075</v>
      </c>
      <c r="G9" s="60" t="n">
        <v>0.15</v>
      </c>
      <c r="H9" s="60" t="n">
        <v>0.225</v>
      </c>
      <c r="I9" s="60" t="n">
        <v>0.3</v>
      </c>
      <c r="J9" s="60" t="n">
        <v>0.375</v>
      </c>
      <c r="K9" s="60" t="n">
        <v>0.45</v>
      </c>
      <c r="L9" s="60" t="n">
        <v>0.525</v>
      </c>
      <c r="M9" s="60" t="n">
        <v>0.6</v>
      </c>
      <c r="N9" s="60" t="n">
        <v>0.675</v>
      </c>
      <c r="O9" s="60" t="n">
        <v>0.75</v>
      </c>
      <c r="P9" s="60" t="n">
        <v>0.825</v>
      </c>
      <c r="Q9" s="60" t="n">
        <v>0.9</v>
      </c>
      <c r="R9" s="60" t="n">
        <v>0.975</v>
      </c>
      <c r="S9" s="60" t="n">
        <v>1</v>
      </c>
      <c r="T9" s="60" t="n">
        <v>1</v>
      </c>
      <c r="U9" s="60" t="n">
        <v>1</v>
      </c>
      <c r="V9" s="60" t="n">
        <v>1</v>
      </c>
      <c r="W9" s="60" t="n">
        <v>1</v>
      </c>
      <c r="X9" s="60" t="n">
        <v>1</v>
      </c>
      <c r="Y9" s="60" t="n">
        <v>1</v>
      </c>
      <c r="Z9" s="60" t="n">
        <v>1</v>
      </c>
      <c r="AA9" s="60" t="n">
        <v>1</v>
      </c>
      <c r="AB9" s="60" t="n">
        <v>1</v>
      </c>
      <c r="AC9" s="60" t="n">
        <v>1</v>
      </c>
      <c r="AD9" s="60" t="n">
        <v>1</v>
      </c>
      <c r="AE9" s="60" t="n">
        <v>1</v>
      </c>
      <c r="AF9" s="60" t="n">
        <v>1</v>
      </c>
      <c r="AG9" s="60" t="n">
        <v>1</v>
      </c>
      <c r="AH9" s="60" t="n">
        <v>1</v>
      </c>
      <c r="AI9" s="60" t="n">
        <v>1</v>
      </c>
      <c r="AJ9" s="60" t="n">
        <v>1</v>
      </c>
      <c r="AK9" s="60" t="n">
        <v>1</v>
      </c>
      <c r="AL9" s="60" t="n">
        <v>1</v>
      </c>
      <c r="AM9" s="60" t="n">
        <v>1</v>
      </c>
      <c r="AN9" s="60" t="n">
        <v>1</v>
      </c>
      <c r="AO9" s="60" t="n">
        <v>1</v>
      </c>
      <c r="AP9" s="60" t="n">
        <v>1</v>
      </c>
      <c r="AQ9" s="60" t="n">
        <v>1</v>
      </c>
      <c r="AR9" s="60" t="n">
        <v>1</v>
      </c>
      <c r="AS9" s="60" t="n">
        <v>1</v>
      </c>
      <c r="AT9" s="60" t="n">
        <v>1</v>
      </c>
      <c r="AU9" s="60" t="n">
        <v>1</v>
      </c>
      <c r="AV9" s="60" t="n">
        <v>1</v>
      </c>
      <c r="AW9" s="60" t="n">
        <v>1</v>
      </c>
      <c r="AX9" s="60" t="n">
        <v>1</v>
      </c>
      <c r="AY9" s="60" t="n">
        <v>1</v>
      </c>
      <c r="AZ9" s="60" t="n">
        <v>1</v>
      </c>
      <c r="BA9" s="60" t="n">
        <v>1</v>
      </c>
      <c r="BB9" s="60" t="n">
        <v>1</v>
      </c>
      <c r="BC9" s="60" t="n">
        <v>1</v>
      </c>
      <c r="BD9" s="60" t="n">
        <v>1</v>
      </c>
      <c r="BE9" s="60" t="n">
        <v>1</v>
      </c>
    </row>
    <row r="10">
      <c r="A10" s="61" t="inlineStr">
        <is>
          <t>eap-1_1</t>
        </is>
      </c>
      <c r="B10" s="61" t="inlineStr">
        <is>
          <t>Esc/carg/transp 1aCat DMT&lt;=2000m</t>
        </is>
      </c>
      <c r="C10" s="62" t="inlineStr">
        <is>
          <t>m3</t>
        </is>
      </c>
      <c r="D10" s="63" t="n">
        <v>107463.1053</v>
      </c>
      <c r="E10" s="64" t="inlineStr">
        <is>
          <t>Dias Trabalhados</t>
        </is>
      </c>
      <c r="F10" s="65" t="n">
        <v>6</v>
      </c>
      <c r="G10" s="65" t="n">
        <v>6</v>
      </c>
      <c r="H10" s="65" t="n">
        <v>6</v>
      </c>
      <c r="I10" s="65" t="n">
        <v>6</v>
      </c>
      <c r="J10" s="65" t="n">
        <v>6</v>
      </c>
      <c r="K10" s="65" t="n">
        <v>6</v>
      </c>
      <c r="L10" s="65" t="n">
        <v>6</v>
      </c>
      <c r="M10" s="65" t="n">
        <v>6</v>
      </c>
      <c r="N10" s="65" t="n">
        <v>6</v>
      </c>
      <c r="O10" s="65" t="n">
        <v>6</v>
      </c>
      <c r="P10" s="65" t="n">
        <v>6</v>
      </c>
      <c r="Q10" s="65" t="n">
        <v>6</v>
      </c>
      <c r="R10" s="65" t="n">
        <v>6</v>
      </c>
      <c r="S10" s="65" t="n">
        <v>6</v>
      </c>
      <c r="T10" s="65" t="n">
        <v>6</v>
      </c>
      <c r="U10" s="65" t="n">
        <v>6</v>
      </c>
      <c r="V10" s="65" t="n">
        <v>6</v>
      </c>
      <c r="W10" s="65" t="n">
        <v>6</v>
      </c>
      <c r="X10" s="65" t="n">
        <v>6</v>
      </c>
      <c r="Y10" s="65" t="n">
        <v>6</v>
      </c>
      <c r="Z10" s="65" t="n">
        <v>6</v>
      </c>
      <c r="AA10" s="65" t="n">
        <v>6</v>
      </c>
      <c r="AB10" s="65" t="n">
        <v>6</v>
      </c>
      <c r="AC10" s="65" t="n">
        <v>6</v>
      </c>
      <c r="AD10" s="65" t="n">
        <v>6</v>
      </c>
      <c r="AE10" s="65" t="n">
        <v>6</v>
      </c>
      <c r="AF10" s="65" t="n">
        <v>6</v>
      </c>
      <c r="AG10" s="65" t="n">
        <v>6</v>
      </c>
      <c r="AH10" s="65" t="n">
        <v>6</v>
      </c>
      <c r="AI10" s="65" t="n">
        <v>6</v>
      </c>
      <c r="AJ10" s="65" t="n">
        <v>6</v>
      </c>
      <c r="AK10" s="65" t="n">
        <v>6</v>
      </c>
      <c r="AL10" s="65" t="n">
        <v>6</v>
      </c>
      <c r="AM10" s="65" t="n">
        <v>6</v>
      </c>
      <c r="AN10" s="65" t="n">
        <v>6</v>
      </c>
      <c r="AO10" s="65" t="n">
        <v>6</v>
      </c>
      <c r="AP10" s="65" t="n">
        <v>6</v>
      </c>
      <c r="AQ10" s="65" t="n">
        <v>6</v>
      </c>
      <c r="AR10" s="65" t="n">
        <v>6</v>
      </c>
      <c r="AS10" s="65" t="n">
        <v>6</v>
      </c>
      <c r="AT10" s="65" t="n">
        <v>6</v>
      </c>
      <c r="AU10" s="65" t="n">
        <v>6</v>
      </c>
      <c r="AV10" s="65" t="n">
        <v>6</v>
      </c>
      <c r="AW10" s="65" t="n">
        <v>6</v>
      </c>
      <c r="AX10" s="65" t="n">
        <v>6</v>
      </c>
      <c r="AY10" s="66" t="n"/>
      <c r="AZ10" s="66" t="n"/>
      <c r="BA10" s="66" t="n"/>
      <c r="BB10" s="66" t="n"/>
      <c r="BC10" s="66" t="n"/>
      <c r="BD10" s="66" t="n"/>
      <c r="BE10" s="66" t="n"/>
    </row>
    <row r="11">
      <c r="A11" s="20" t="n"/>
      <c r="B11" s="20" t="n"/>
      <c r="C11" s="24" t="n"/>
      <c r="D11" s="22" t="n"/>
      <c r="E11" s="67" t="inlineStr">
        <is>
          <t>Nº De Equipes</t>
        </is>
      </c>
      <c r="F11" s="68" t="n">
        <v>1</v>
      </c>
      <c r="G11" s="68" t="n">
        <v>1</v>
      </c>
      <c r="H11" s="68" t="n">
        <v>1</v>
      </c>
      <c r="I11" s="68" t="n">
        <v>1</v>
      </c>
      <c r="J11" s="68" t="n">
        <v>1</v>
      </c>
      <c r="K11" s="68" t="n">
        <v>1</v>
      </c>
      <c r="L11" s="68" t="n">
        <v>1</v>
      </c>
      <c r="M11" s="68" t="n">
        <v>1</v>
      </c>
      <c r="N11" s="68" t="n">
        <v>1</v>
      </c>
      <c r="O11" s="68" t="n">
        <v>1</v>
      </c>
      <c r="P11" s="68" t="n">
        <v>1</v>
      </c>
      <c r="Q11" s="68" t="n">
        <v>1</v>
      </c>
      <c r="R11" s="68" t="n">
        <v>1</v>
      </c>
      <c r="S11" s="68" t="n">
        <v>1</v>
      </c>
      <c r="T11" s="68" t="n">
        <v>1</v>
      </c>
      <c r="U11" s="68" t="n">
        <v>1</v>
      </c>
      <c r="V11" s="68" t="n">
        <v>1</v>
      </c>
      <c r="W11" s="68" t="n">
        <v>1</v>
      </c>
      <c r="X11" s="68" t="n">
        <v>1</v>
      </c>
      <c r="Y11" s="68" t="n">
        <v>1</v>
      </c>
      <c r="Z11" s="68" t="n">
        <v>1</v>
      </c>
      <c r="AA11" s="68" t="n">
        <v>1</v>
      </c>
      <c r="AB11" s="68" t="n">
        <v>1</v>
      </c>
      <c r="AC11" s="68" t="n">
        <v>1</v>
      </c>
      <c r="AD11" s="68" t="n">
        <v>1</v>
      </c>
      <c r="AE11" s="68" t="n">
        <v>1</v>
      </c>
      <c r="AF11" s="68" t="n">
        <v>1</v>
      </c>
      <c r="AG11" s="68" t="n">
        <v>1</v>
      </c>
      <c r="AH11" s="68" t="n">
        <v>1</v>
      </c>
      <c r="AI11" s="68" t="n">
        <v>1</v>
      </c>
      <c r="AJ11" s="68" t="n">
        <v>1</v>
      </c>
      <c r="AK11" s="68" t="n">
        <v>1</v>
      </c>
      <c r="AL11" s="68" t="n">
        <v>1</v>
      </c>
      <c r="AM11" s="68" t="n">
        <v>1</v>
      </c>
      <c r="AN11" s="68" t="n">
        <v>1</v>
      </c>
      <c r="AO11" s="68" t="n">
        <v>1</v>
      </c>
      <c r="AP11" s="68" t="n">
        <v>1</v>
      </c>
      <c r="AQ11" s="68" t="n">
        <v>1</v>
      </c>
      <c r="AR11" s="68" t="n">
        <v>1</v>
      </c>
      <c r="AS11" s="68" t="n">
        <v>1</v>
      </c>
      <c r="AT11" s="68" t="n">
        <v>1</v>
      </c>
      <c r="AU11" s="68" t="n">
        <v>1</v>
      </c>
      <c r="AV11" s="68" t="n">
        <v>1</v>
      </c>
      <c r="AW11" s="68" t="n">
        <v>1</v>
      </c>
      <c r="AX11" s="68" t="n">
        <v>1</v>
      </c>
      <c r="AY11" s="69" t="n"/>
      <c r="AZ11" s="69" t="n"/>
      <c r="BA11" s="69" t="n"/>
      <c r="BB11" s="69" t="n"/>
      <c r="BC11" s="69" t="n"/>
      <c r="BD11" s="69" t="n"/>
      <c r="BE11" s="69" t="n"/>
    </row>
    <row r="12">
      <c r="A12" s="20" t="n"/>
      <c r="B12" s="20" t="n"/>
      <c r="C12" s="24" t="n"/>
      <c r="D12" s="22" t="n"/>
      <c r="E12" s="67" t="inlineStr">
        <is>
          <t>Qtd. Planejada</t>
        </is>
      </c>
      <c r="F12" s="33" t="n">
        <v>11473.92</v>
      </c>
      <c r="G12" s="33" t="n">
        <v>11473.92</v>
      </c>
      <c r="H12" s="33" t="n">
        <v>11473.92</v>
      </c>
      <c r="I12" s="33" t="n">
        <v>11473.92</v>
      </c>
      <c r="J12" s="33" t="n">
        <v>11473.92</v>
      </c>
      <c r="K12" s="33" t="n">
        <v>11473.92</v>
      </c>
      <c r="L12" s="33" t="n">
        <v>11473.92</v>
      </c>
      <c r="M12" s="33" t="n">
        <v>11473.92</v>
      </c>
      <c r="N12" s="33" t="n">
        <v>11473.92</v>
      </c>
      <c r="O12" s="33" t="n">
        <v>4197.83</v>
      </c>
      <c r="P12" s="69" t="n"/>
      <c r="Q12" s="69" t="n"/>
      <c r="R12" s="69" t="n"/>
      <c r="S12" s="69" t="n"/>
      <c r="T12" s="69" t="n"/>
      <c r="U12" s="69" t="n"/>
      <c r="V12" s="69" t="n"/>
      <c r="W12" s="69" t="n"/>
      <c r="X12" s="69" t="n"/>
      <c r="Y12" s="69" t="n"/>
      <c r="Z12" s="69" t="n"/>
      <c r="AA12" s="69" t="n"/>
      <c r="AB12" s="69" t="n"/>
      <c r="AC12" s="69" t="n"/>
      <c r="AD12" s="69" t="n"/>
      <c r="AE12" s="69" t="n"/>
      <c r="AF12" s="69" t="n"/>
      <c r="AG12" s="69" t="n"/>
      <c r="AH12" s="69" t="n"/>
      <c r="AI12" s="69" t="n"/>
      <c r="AJ12" s="69" t="n"/>
      <c r="AK12" s="69" t="n"/>
      <c r="AL12" s="69" t="n"/>
      <c r="AM12" s="69" t="n"/>
      <c r="AN12" s="69" t="n"/>
      <c r="AO12" s="69" t="n"/>
      <c r="AP12" s="69" t="n"/>
      <c r="AQ12" s="69" t="n"/>
      <c r="AR12" s="69" t="n"/>
      <c r="AS12" s="69" t="n"/>
      <c r="AT12" s="69" t="n"/>
      <c r="AU12" s="69" t="n"/>
      <c r="AV12" s="69" t="n"/>
      <c r="AW12" s="69" t="n"/>
      <c r="AX12" s="69" t="n"/>
      <c r="AY12" s="69" t="n"/>
      <c r="AZ12" s="69" t="n"/>
      <c r="BA12" s="69" t="n"/>
      <c r="BB12" s="69" t="n"/>
      <c r="BC12" s="69" t="n"/>
      <c r="BD12" s="69" t="n"/>
      <c r="BE12" s="69" t="n"/>
    </row>
    <row r="13">
      <c r="A13" s="20" t="n"/>
      <c r="B13" s="20" t="n"/>
      <c r="C13" s="24" t="n"/>
      <c r="D13" s="22" t="n"/>
      <c r="E13" s="67" t="inlineStr">
        <is>
          <t>Qtd Plan. Acumulada</t>
        </is>
      </c>
      <c r="F13" s="33" t="n">
        <v>11473.92</v>
      </c>
      <c r="G13" s="33" t="n">
        <v>22947.84</v>
      </c>
      <c r="H13" s="33" t="n">
        <v>34421.76</v>
      </c>
      <c r="I13" s="33" t="n">
        <v>45895.68</v>
      </c>
      <c r="J13" s="33" t="n">
        <v>57369.6</v>
      </c>
      <c r="K13" s="33" t="n">
        <v>68843.52</v>
      </c>
      <c r="L13" s="33" t="n">
        <v>80317.44</v>
      </c>
      <c r="M13" s="33" t="n">
        <v>91791.36</v>
      </c>
      <c r="N13" s="33" t="n">
        <v>103265.28</v>
      </c>
      <c r="O13" s="33" t="n">
        <v>107463.11</v>
      </c>
      <c r="P13" s="33" t="n">
        <v>107463.11</v>
      </c>
      <c r="Q13" s="33" t="n">
        <v>107463.11</v>
      </c>
      <c r="R13" s="33" t="n">
        <v>107463.11</v>
      </c>
      <c r="S13" s="33" t="n">
        <v>107463.11</v>
      </c>
      <c r="T13" s="33" t="n">
        <v>107463.11</v>
      </c>
      <c r="U13" s="33" t="n">
        <v>107463.11</v>
      </c>
      <c r="V13" s="33" t="n">
        <v>107463.11</v>
      </c>
      <c r="W13" s="33" t="n">
        <v>107463.11</v>
      </c>
      <c r="X13" s="33" t="n">
        <v>107463.11</v>
      </c>
      <c r="Y13" s="33" t="n">
        <v>107463.11</v>
      </c>
      <c r="Z13" s="33" t="n">
        <v>107463.11</v>
      </c>
      <c r="AA13" s="33" t="n">
        <v>107463.11</v>
      </c>
      <c r="AB13" s="33" t="n">
        <v>107463.11</v>
      </c>
      <c r="AC13" s="33" t="n">
        <v>107463.11</v>
      </c>
      <c r="AD13" s="33" t="n">
        <v>107463.11</v>
      </c>
      <c r="AE13" s="33" t="n">
        <v>107463.11</v>
      </c>
      <c r="AF13" s="33" t="n">
        <v>107463.11</v>
      </c>
      <c r="AG13" s="33" t="n">
        <v>107463.11</v>
      </c>
      <c r="AH13" s="33" t="n">
        <v>107463.11</v>
      </c>
      <c r="AI13" s="33" t="n">
        <v>107463.11</v>
      </c>
      <c r="AJ13" s="33" t="n">
        <v>107463.11</v>
      </c>
      <c r="AK13" s="33" t="n">
        <v>107463.11</v>
      </c>
      <c r="AL13" s="33" t="n">
        <v>107463.11</v>
      </c>
      <c r="AM13" s="33" t="n">
        <v>107463.11</v>
      </c>
      <c r="AN13" s="33" t="n">
        <v>107463.11</v>
      </c>
      <c r="AO13" s="33" t="n">
        <v>107463.11</v>
      </c>
      <c r="AP13" s="33" t="n">
        <v>107463.11</v>
      </c>
      <c r="AQ13" s="33" t="n">
        <v>107463.11</v>
      </c>
      <c r="AR13" s="33" t="n">
        <v>107463.11</v>
      </c>
      <c r="AS13" s="33" t="n">
        <v>107463.11</v>
      </c>
      <c r="AT13" s="33" t="n">
        <v>107463.11</v>
      </c>
      <c r="AU13" s="33" t="n">
        <v>107463.11</v>
      </c>
      <c r="AV13" s="33" t="n">
        <v>107463.11</v>
      </c>
      <c r="AW13" s="33" t="n">
        <v>107463.11</v>
      </c>
      <c r="AX13" s="33" t="n">
        <v>107463.11</v>
      </c>
      <c r="AY13" s="33" t="n">
        <v>107463.11</v>
      </c>
      <c r="AZ13" s="33" t="n">
        <v>107463.11</v>
      </c>
      <c r="BA13" s="33" t="n">
        <v>107463.11</v>
      </c>
      <c r="BB13" s="33" t="n">
        <v>107463.11</v>
      </c>
      <c r="BC13" s="33" t="n">
        <v>107463.11</v>
      </c>
      <c r="BD13" s="33" t="n">
        <v>107463.11</v>
      </c>
      <c r="BE13" s="33" t="n">
        <v>107463.11</v>
      </c>
    </row>
    <row r="14">
      <c r="A14" s="20" t="n"/>
      <c r="B14" s="20" t="n"/>
      <c r="C14" s="24" t="n"/>
      <c r="D14" s="22" t="n"/>
      <c r="E14" s="67" t="inlineStr">
        <is>
          <t>% Semanal</t>
        </is>
      </c>
      <c r="F14" s="70" t="n">
        <v>0.1068</v>
      </c>
      <c r="G14" s="70" t="n">
        <v>0.1068</v>
      </c>
      <c r="H14" s="70" t="n">
        <v>0.1068</v>
      </c>
      <c r="I14" s="70" t="n">
        <v>0.1068</v>
      </c>
      <c r="J14" s="70" t="n">
        <v>0.1068</v>
      </c>
      <c r="K14" s="70" t="n">
        <v>0.1068</v>
      </c>
      <c r="L14" s="70" t="n">
        <v>0.1068</v>
      </c>
      <c r="M14" s="70" t="n">
        <v>0.1068</v>
      </c>
      <c r="N14" s="70" t="n">
        <v>0.1068</v>
      </c>
      <c r="O14" s="70" t="n">
        <v>0.0391</v>
      </c>
      <c r="P14" s="69" t="n"/>
      <c r="Q14" s="69" t="n"/>
      <c r="R14" s="69" t="n"/>
      <c r="S14" s="69" t="n"/>
      <c r="T14" s="69" t="n"/>
      <c r="U14" s="69" t="n"/>
      <c r="V14" s="69" t="n"/>
      <c r="W14" s="69" t="n"/>
      <c r="X14" s="69" t="n"/>
      <c r="Y14" s="69" t="n"/>
      <c r="Z14" s="69" t="n"/>
      <c r="AA14" s="69" t="n"/>
      <c r="AB14" s="69" t="n"/>
      <c r="AC14" s="69" t="n"/>
      <c r="AD14" s="69" t="n"/>
      <c r="AE14" s="69" t="n"/>
      <c r="AF14" s="69" t="n"/>
      <c r="AG14" s="69" t="n"/>
      <c r="AH14" s="69" t="n"/>
      <c r="AI14" s="69" t="n"/>
      <c r="AJ14" s="69" t="n"/>
      <c r="AK14" s="69" t="n"/>
      <c r="AL14" s="69" t="n"/>
      <c r="AM14" s="69" t="n"/>
      <c r="AN14" s="69" t="n"/>
      <c r="AO14" s="69" t="n"/>
      <c r="AP14" s="69" t="n"/>
      <c r="AQ14" s="69" t="n"/>
      <c r="AR14" s="69" t="n"/>
      <c r="AS14" s="69" t="n"/>
      <c r="AT14" s="69" t="n"/>
      <c r="AU14" s="69" t="n"/>
      <c r="AV14" s="69" t="n"/>
      <c r="AW14" s="69" t="n"/>
      <c r="AX14" s="69" t="n"/>
      <c r="AY14" s="69" t="n"/>
      <c r="AZ14" s="69" t="n"/>
      <c r="BA14" s="69" t="n"/>
      <c r="BB14" s="69" t="n"/>
      <c r="BC14" s="69" t="n"/>
      <c r="BD14" s="69" t="n"/>
      <c r="BE14" s="69" t="n"/>
    </row>
    <row r="15">
      <c r="A15" s="20" t="n"/>
      <c r="B15" s="20" t="n"/>
      <c r="C15" s="24" t="n"/>
      <c r="D15" s="22" t="n"/>
      <c r="E15" s="67" t="inlineStr">
        <is>
          <t>% Acumulado</t>
        </is>
      </c>
      <c r="F15" s="70" t="n">
        <v>0.1068</v>
      </c>
      <c r="G15" s="70" t="n">
        <v>0.2135</v>
      </c>
      <c r="H15" s="70" t="n">
        <v>0.3203</v>
      </c>
      <c r="I15" s="70" t="n">
        <v>0.4271</v>
      </c>
      <c r="J15" s="70" t="n">
        <v>0.5339</v>
      </c>
      <c r="K15" s="70" t="n">
        <v>0.6405999999999999</v>
      </c>
      <c r="L15" s="70" t="n">
        <v>0.7474</v>
      </c>
      <c r="M15" s="70" t="n">
        <v>0.8542</v>
      </c>
      <c r="N15" s="70" t="n">
        <v>0.9609</v>
      </c>
      <c r="O15" s="70" t="n">
        <v>1</v>
      </c>
      <c r="P15" s="70" t="n">
        <v>1</v>
      </c>
      <c r="Q15" s="70" t="n">
        <v>1</v>
      </c>
      <c r="R15" s="70" t="n">
        <v>1</v>
      </c>
      <c r="S15" s="70" t="n">
        <v>1</v>
      </c>
      <c r="T15" s="70" t="n">
        <v>1</v>
      </c>
      <c r="U15" s="70" t="n">
        <v>1</v>
      </c>
      <c r="V15" s="70" t="n">
        <v>1</v>
      </c>
      <c r="W15" s="70" t="n">
        <v>1</v>
      </c>
      <c r="X15" s="70" t="n">
        <v>1</v>
      </c>
      <c r="Y15" s="70" t="n">
        <v>1</v>
      </c>
      <c r="Z15" s="70" t="n">
        <v>1</v>
      </c>
      <c r="AA15" s="70" t="n">
        <v>1</v>
      </c>
      <c r="AB15" s="70" t="n">
        <v>1</v>
      </c>
      <c r="AC15" s="70" t="n">
        <v>1</v>
      </c>
      <c r="AD15" s="70" t="n">
        <v>1</v>
      </c>
      <c r="AE15" s="70" t="n">
        <v>1</v>
      </c>
      <c r="AF15" s="70" t="n">
        <v>1</v>
      </c>
      <c r="AG15" s="70" t="n">
        <v>1</v>
      </c>
      <c r="AH15" s="70" t="n">
        <v>1</v>
      </c>
      <c r="AI15" s="70" t="n">
        <v>1</v>
      </c>
      <c r="AJ15" s="70" t="n">
        <v>1</v>
      </c>
      <c r="AK15" s="70" t="n">
        <v>1</v>
      </c>
      <c r="AL15" s="70" t="n">
        <v>1</v>
      </c>
      <c r="AM15" s="70" t="n">
        <v>1</v>
      </c>
      <c r="AN15" s="70" t="n">
        <v>1</v>
      </c>
      <c r="AO15" s="70" t="n">
        <v>1</v>
      </c>
      <c r="AP15" s="70" t="n">
        <v>1</v>
      </c>
      <c r="AQ15" s="70" t="n">
        <v>1</v>
      </c>
      <c r="AR15" s="70" t="n">
        <v>1</v>
      </c>
      <c r="AS15" s="70" t="n">
        <v>1</v>
      </c>
      <c r="AT15" s="70" t="n">
        <v>1</v>
      </c>
      <c r="AU15" s="70" t="n">
        <v>1</v>
      </c>
      <c r="AV15" s="70" t="n">
        <v>1</v>
      </c>
      <c r="AW15" s="70" t="n">
        <v>1</v>
      </c>
      <c r="AX15" s="70" t="n">
        <v>1</v>
      </c>
      <c r="AY15" s="70" t="n">
        <v>1</v>
      </c>
      <c r="AZ15" s="70" t="n">
        <v>1</v>
      </c>
      <c r="BA15" s="70" t="n">
        <v>1</v>
      </c>
      <c r="BB15" s="70" t="n">
        <v>1</v>
      </c>
      <c r="BC15" s="70" t="n">
        <v>1</v>
      </c>
      <c r="BD15" s="70" t="n">
        <v>1</v>
      </c>
      <c r="BE15" s="70" t="n">
        <v>1</v>
      </c>
    </row>
    <row r="16">
      <c r="A16" s="16" t="inlineStr">
        <is>
          <t>eap-1_2</t>
        </is>
      </c>
      <c r="B16" s="16" t="inlineStr">
        <is>
          <t>Esc/carg/transp 1aCat DMT&lt;=3000m</t>
        </is>
      </c>
      <c r="C16" s="52" t="inlineStr">
        <is>
          <t>m3</t>
        </is>
      </c>
      <c r="D16" s="53" t="n">
        <v>336915.0947</v>
      </c>
      <c r="E16" s="54" t="inlineStr">
        <is>
          <t>Dias Trabalhados</t>
        </is>
      </c>
      <c r="F16" s="55" t="n">
        <v>6</v>
      </c>
      <c r="G16" s="55" t="n">
        <v>6</v>
      </c>
      <c r="H16" s="55" t="n">
        <v>6</v>
      </c>
      <c r="I16" s="55" t="n">
        <v>6</v>
      </c>
      <c r="J16" s="55" t="n">
        <v>6</v>
      </c>
      <c r="K16" s="55" t="n">
        <v>6</v>
      </c>
      <c r="L16" s="55" t="n">
        <v>6</v>
      </c>
      <c r="M16" s="55" t="n">
        <v>6</v>
      </c>
      <c r="N16" s="55" t="n">
        <v>6</v>
      </c>
      <c r="O16" s="55" t="n">
        <v>6</v>
      </c>
      <c r="P16" s="55" t="n">
        <v>6</v>
      </c>
      <c r="Q16" s="55" t="n">
        <v>6</v>
      </c>
      <c r="R16" s="55" t="n">
        <v>6</v>
      </c>
      <c r="S16" s="55" t="n">
        <v>6</v>
      </c>
      <c r="T16" s="55" t="n">
        <v>6</v>
      </c>
      <c r="U16" s="55" t="n">
        <v>6</v>
      </c>
      <c r="V16" s="55" t="n">
        <v>6</v>
      </c>
      <c r="W16" s="55" t="n">
        <v>6</v>
      </c>
      <c r="X16" s="55" t="n">
        <v>6</v>
      </c>
      <c r="Y16" s="55" t="n">
        <v>6</v>
      </c>
      <c r="Z16" s="55" t="n">
        <v>6</v>
      </c>
      <c r="AA16" s="55" t="n">
        <v>6</v>
      </c>
      <c r="AB16" s="55" t="n">
        <v>6</v>
      </c>
      <c r="AC16" s="55" t="n">
        <v>6</v>
      </c>
      <c r="AD16" s="55" t="n">
        <v>6</v>
      </c>
      <c r="AE16" s="55" t="n">
        <v>6</v>
      </c>
      <c r="AF16" s="55" t="n">
        <v>6</v>
      </c>
      <c r="AG16" s="55" t="n">
        <v>6</v>
      </c>
      <c r="AH16" s="55" t="n">
        <v>6</v>
      </c>
      <c r="AI16" s="55" t="n">
        <v>6</v>
      </c>
      <c r="AJ16" s="55" t="n">
        <v>6</v>
      </c>
      <c r="AK16" s="55" t="n">
        <v>6</v>
      </c>
      <c r="AL16" s="55" t="n">
        <v>6</v>
      </c>
      <c r="AM16" s="55" t="n">
        <v>6</v>
      </c>
      <c r="AN16" s="55" t="n">
        <v>6</v>
      </c>
      <c r="AO16" s="55" t="n">
        <v>6</v>
      </c>
      <c r="AP16" s="55" t="n">
        <v>6</v>
      </c>
      <c r="AQ16" s="55" t="n">
        <v>6</v>
      </c>
      <c r="AR16" s="55" t="n">
        <v>6</v>
      </c>
      <c r="AS16" s="55" t="n">
        <v>6</v>
      </c>
      <c r="AT16" s="55" t="n">
        <v>6</v>
      </c>
      <c r="AU16" s="55" t="n">
        <v>6</v>
      </c>
      <c r="AV16" s="55" t="n">
        <v>6</v>
      </c>
      <c r="AW16" s="55" t="n">
        <v>6</v>
      </c>
      <c r="AX16" s="55" t="n">
        <v>6</v>
      </c>
      <c r="AY16" s="56" t="n"/>
      <c r="AZ16" s="56" t="n"/>
      <c r="BA16" s="56" t="n"/>
      <c r="BB16" s="56" t="n"/>
      <c r="BC16" s="56" t="n"/>
      <c r="BD16" s="56" t="n"/>
      <c r="BE16" s="56" t="n"/>
    </row>
    <row r="17">
      <c r="A17" s="10" t="n"/>
      <c r="B17" s="10" t="n"/>
      <c r="C17" s="14" t="n"/>
      <c r="D17" s="12" t="n"/>
      <c r="E17" s="57" t="inlineStr">
        <is>
          <t>Nº De Equipes</t>
        </is>
      </c>
      <c r="F17" s="58" t="n">
        <v>1</v>
      </c>
      <c r="G17" s="58" t="n">
        <v>1</v>
      </c>
      <c r="H17" s="58" t="n">
        <v>1</v>
      </c>
      <c r="I17" s="58" t="n">
        <v>1</v>
      </c>
      <c r="J17" s="58" t="n">
        <v>1</v>
      </c>
      <c r="K17" s="58" t="n">
        <v>1</v>
      </c>
      <c r="L17" s="58" t="n">
        <v>1</v>
      </c>
      <c r="M17" s="58" t="n">
        <v>1</v>
      </c>
      <c r="N17" s="58" t="n">
        <v>1</v>
      </c>
      <c r="O17" s="58" t="n">
        <v>1</v>
      </c>
      <c r="P17" s="58" t="n">
        <v>1</v>
      </c>
      <c r="Q17" s="58" t="n">
        <v>1</v>
      </c>
      <c r="R17" s="58" t="n">
        <v>1</v>
      </c>
      <c r="S17" s="58" t="n">
        <v>1</v>
      </c>
      <c r="T17" s="58" t="n">
        <v>1</v>
      </c>
      <c r="U17" s="58" t="n">
        <v>1</v>
      </c>
      <c r="V17" s="58" t="n">
        <v>1</v>
      </c>
      <c r="W17" s="58" t="n">
        <v>1</v>
      </c>
      <c r="X17" s="58" t="n">
        <v>1</v>
      </c>
      <c r="Y17" s="58" t="n">
        <v>1</v>
      </c>
      <c r="Z17" s="58" t="n">
        <v>1</v>
      </c>
      <c r="AA17" s="58" t="n">
        <v>1</v>
      </c>
      <c r="AB17" s="58" t="n">
        <v>1</v>
      </c>
      <c r="AC17" s="58" t="n">
        <v>1</v>
      </c>
      <c r="AD17" s="58" t="n">
        <v>1</v>
      </c>
      <c r="AE17" s="58" t="n">
        <v>1</v>
      </c>
      <c r="AF17" s="58" t="n">
        <v>1</v>
      </c>
      <c r="AG17" s="58" t="n">
        <v>1</v>
      </c>
      <c r="AH17" s="58" t="n">
        <v>1</v>
      </c>
      <c r="AI17" s="58" t="n">
        <v>1</v>
      </c>
      <c r="AJ17" s="58" t="n">
        <v>1</v>
      </c>
      <c r="AK17" s="58" t="n">
        <v>1</v>
      </c>
      <c r="AL17" s="58" t="n">
        <v>1</v>
      </c>
      <c r="AM17" s="58" t="n">
        <v>1</v>
      </c>
      <c r="AN17" s="58" t="n">
        <v>1</v>
      </c>
      <c r="AO17" s="58" t="n">
        <v>1</v>
      </c>
      <c r="AP17" s="58" t="n">
        <v>1</v>
      </c>
      <c r="AQ17" s="58" t="n">
        <v>1</v>
      </c>
      <c r="AR17" s="58" t="n">
        <v>1</v>
      </c>
      <c r="AS17" s="58" t="n">
        <v>1</v>
      </c>
      <c r="AT17" s="58" t="n">
        <v>1</v>
      </c>
      <c r="AU17" s="58" t="n">
        <v>1</v>
      </c>
      <c r="AV17" s="58" t="n">
        <v>1</v>
      </c>
      <c r="AW17" s="58" t="n">
        <v>1</v>
      </c>
      <c r="AX17" s="58" t="n">
        <v>1</v>
      </c>
      <c r="AY17" s="59" t="n"/>
      <c r="AZ17" s="59" t="n"/>
      <c r="BA17" s="59" t="n"/>
      <c r="BB17" s="59" t="n"/>
      <c r="BC17" s="59" t="n"/>
      <c r="BD17" s="59" t="n"/>
      <c r="BE17" s="59" t="n"/>
    </row>
    <row r="18">
      <c r="A18" s="10" t="n"/>
      <c r="B18" s="10" t="n"/>
      <c r="C18" s="14" t="n"/>
      <c r="D18" s="12" t="n"/>
      <c r="E18" s="57" t="inlineStr">
        <is>
          <t>Qtd. Planejada</t>
        </is>
      </c>
      <c r="F18" s="30" t="n">
        <v>11210.02</v>
      </c>
      <c r="G18" s="30" t="n">
        <v>11210.02</v>
      </c>
      <c r="H18" s="30" t="n">
        <v>11210.02</v>
      </c>
      <c r="I18" s="30" t="n">
        <v>11210.02</v>
      </c>
      <c r="J18" s="30" t="n">
        <v>11210.02</v>
      </c>
      <c r="K18" s="30" t="n">
        <v>11210.02</v>
      </c>
      <c r="L18" s="30" t="n">
        <v>11210.02</v>
      </c>
      <c r="M18" s="30" t="n">
        <v>11210.02</v>
      </c>
      <c r="N18" s="30" t="n">
        <v>11210.02</v>
      </c>
      <c r="O18" s="30" t="n">
        <v>11210.02</v>
      </c>
      <c r="P18" s="30" t="n">
        <v>11210.02</v>
      </c>
      <c r="Q18" s="30" t="n">
        <v>11210.02</v>
      </c>
      <c r="R18" s="30" t="n">
        <v>11210.02</v>
      </c>
      <c r="S18" s="30" t="n">
        <v>11210.02</v>
      </c>
      <c r="T18" s="30" t="n">
        <v>11210.02</v>
      </c>
      <c r="U18" s="30" t="n">
        <v>11210.02</v>
      </c>
      <c r="V18" s="30" t="n">
        <v>11210.02</v>
      </c>
      <c r="W18" s="30" t="n">
        <v>10462.31</v>
      </c>
      <c r="X18" s="30" t="n">
        <v>10462.31</v>
      </c>
      <c r="Y18" s="30" t="n">
        <v>10462.31</v>
      </c>
      <c r="Z18" s="30" t="n">
        <v>10462.31</v>
      </c>
      <c r="AA18" s="30" t="n">
        <v>10486.97</v>
      </c>
      <c r="AB18" s="30" t="n">
        <v>10486.97</v>
      </c>
      <c r="AC18" s="30" t="n">
        <v>10486.97</v>
      </c>
      <c r="AD18" s="30" t="n">
        <v>10486.97</v>
      </c>
      <c r="AE18" s="30" t="n">
        <v>10486.97</v>
      </c>
      <c r="AF18" s="30" t="n">
        <v>10486.97</v>
      </c>
      <c r="AG18" s="30" t="n">
        <v>10486.97</v>
      </c>
      <c r="AH18" s="30" t="n">
        <v>10486.97</v>
      </c>
      <c r="AI18" s="30" t="n">
        <v>10486.97</v>
      </c>
      <c r="AJ18" s="30" t="n">
        <v>9401.84</v>
      </c>
      <c r="AK18" s="30" t="n">
        <v>710.91</v>
      </c>
      <c r="AL18" s="59" t="n"/>
      <c r="AM18" s="59" t="n"/>
      <c r="AN18" s="59" t="n"/>
      <c r="AO18" s="59" t="n"/>
      <c r="AP18" s="59" t="n"/>
      <c r="AQ18" s="59" t="n"/>
      <c r="AR18" s="59" t="n"/>
      <c r="AS18" s="59" t="n"/>
      <c r="AT18" s="59" t="n"/>
      <c r="AU18" s="59" t="n"/>
      <c r="AV18" s="59" t="n"/>
      <c r="AW18" s="59" t="n"/>
      <c r="AX18" s="59" t="n"/>
      <c r="AY18" s="59" t="n"/>
      <c r="AZ18" s="59" t="n"/>
      <c r="BA18" s="59" t="n"/>
      <c r="BB18" s="59" t="n"/>
      <c r="BC18" s="59" t="n"/>
      <c r="BD18" s="59" t="n"/>
      <c r="BE18" s="59" t="n"/>
    </row>
    <row r="19">
      <c r="A19" s="10" t="n"/>
      <c r="B19" s="10" t="n"/>
      <c r="C19" s="14" t="n"/>
      <c r="D19" s="12" t="n"/>
      <c r="E19" s="57" t="inlineStr">
        <is>
          <t>Qtd Plan. Acumulada</t>
        </is>
      </c>
      <c r="F19" s="30" t="n">
        <v>11210.02</v>
      </c>
      <c r="G19" s="30" t="n">
        <v>22420.04</v>
      </c>
      <c r="H19" s="30" t="n">
        <v>33630.06</v>
      </c>
      <c r="I19" s="30" t="n">
        <v>44840.08</v>
      </c>
      <c r="J19" s="30" t="n">
        <v>56050.1</v>
      </c>
      <c r="K19" s="30" t="n">
        <v>67260.12</v>
      </c>
      <c r="L19" s="30" t="n">
        <v>78470.14</v>
      </c>
      <c r="M19" s="30" t="n">
        <v>89680.16</v>
      </c>
      <c r="N19" s="30" t="n">
        <v>100890.18</v>
      </c>
      <c r="O19" s="30" t="n">
        <v>112100.2</v>
      </c>
      <c r="P19" s="30" t="n">
        <v>123310.22</v>
      </c>
      <c r="Q19" s="30" t="n">
        <v>134520.24</v>
      </c>
      <c r="R19" s="30" t="n">
        <v>145730.26</v>
      </c>
      <c r="S19" s="30" t="n">
        <v>156940.28</v>
      </c>
      <c r="T19" s="30" t="n">
        <v>168150.3</v>
      </c>
      <c r="U19" s="30" t="n">
        <v>179360.32</v>
      </c>
      <c r="V19" s="30" t="n">
        <v>190570.34</v>
      </c>
      <c r="W19" s="30" t="n">
        <v>201032.65</v>
      </c>
      <c r="X19" s="30" t="n">
        <v>211494.96</v>
      </c>
      <c r="Y19" s="30" t="n">
        <v>221957.27</v>
      </c>
      <c r="Z19" s="30" t="n">
        <v>232419.58</v>
      </c>
      <c r="AA19" s="30" t="n">
        <v>242906.56</v>
      </c>
      <c r="AB19" s="30" t="n">
        <v>253393.53</v>
      </c>
      <c r="AC19" s="30" t="n">
        <v>263880.5</v>
      </c>
      <c r="AD19" s="30" t="n">
        <v>274367.48</v>
      </c>
      <c r="AE19" s="30" t="n">
        <v>284854.45</v>
      </c>
      <c r="AF19" s="30" t="n">
        <v>295341.42</v>
      </c>
      <c r="AG19" s="30" t="n">
        <v>305828.4</v>
      </c>
      <c r="AH19" s="30" t="n">
        <v>316315.37</v>
      </c>
      <c r="AI19" s="30" t="n">
        <v>326802.35</v>
      </c>
      <c r="AJ19" s="30" t="n">
        <v>336204.19</v>
      </c>
      <c r="AK19" s="30" t="n">
        <v>336915.09</v>
      </c>
      <c r="AL19" s="30" t="n">
        <v>336915.09</v>
      </c>
      <c r="AM19" s="30" t="n">
        <v>336915.09</v>
      </c>
      <c r="AN19" s="30" t="n">
        <v>336915.09</v>
      </c>
      <c r="AO19" s="30" t="n">
        <v>336915.09</v>
      </c>
      <c r="AP19" s="30" t="n">
        <v>336915.09</v>
      </c>
      <c r="AQ19" s="30" t="n">
        <v>336915.09</v>
      </c>
      <c r="AR19" s="30" t="n">
        <v>336915.09</v>
      </c>
      <c r="AS19" s="30" t="n">
        <v>336915.09</v>
      </c>
      <c r="AT19" s="30" t="n">
        <v>336915.09</v>
      </c>
      <c r="AU19" s="30" t="n">
        <v>336915.09</v>
      </c>
      <c r="AV19" s="30" t="n">
        <v>336915.09</v>
      </c>
      <c r="AW19" s="30" t="n">
        <v>336915.09</v>
      </c>
      <c r="AX19" s="30" t="n">
        <v>336915.09</v>
      </c>
      <c r="AY19" s="30" t="n">
        <v>336915.09</v>
      </c>
      <c r="AZ19" s="30" t="n">
        <v>336915.09</v>
      </c>
      <c r="BA19" s="30" t="n">
        <v>336915.09</v>
      </c>
      <c r="BB19" s="30" t="n">
        <v>336915.09</v>
      </c>
      <c r="BC19" s="30" t="n">
        <v>336915.09</v>
      </c>
      <c r="BD19" s="30" t="n">
        <v>336915.09</v>
      </c>
      <c r="BE19" s="30" t="n">
        <v>336915.09</v>
      </c>
    </row>
    <row r="20">
      <c r="A20" s="10" t="n"/>
      <c r="B20" s="10" t="n"/>
      <c r="C20" s="14" t="n"/>
      <c r="D20" s="12" t="n"/>
      <c r="E20" s="57" t="inlineStr">
        <is>
          <t>% Semanal</t>
        </is>
      </c>
      <c r="F20" s="60" t="n">
        <v>0.0333</v>
      </c>
      <c r="G20" s="60" t="n">
        <v>0.0333</v>
      </c>
      <c r="H20" s="60" t="n">
        <v>0.0333</v>
      </c>
      <c r="I20" s="60" t="n">
        <v>0.0333</v>
      </c>
      <c r="J20" s="60" t="n">
        <v>0.0333</v>
      </c>
      <c r="K20" s="60" t="n">
        <v>0.0333</v>
      </c>
      <c r="L20" s="60" t="n">
        <v>0.0333</v>
      </c>
      <c r="M20" s="60" t="n">
        <v>0.0333</v>
      </c>
      <c r="N20" s="60" t="n">
        <v>0.0333</v>
      </c>
      <c r="O20" s="60" t="n">
        <v>0.0333</v>
      </c>
      <c r="P20" s="60" t="n">
        <v>0.0333</v>
      </c>
      <c r="Q20" s="60" t="n">
        <v>0.0333</v>
      </c>
      <c r="R20" s="60" t="n">
        <v>0.0333</v>
      </c>
      <c r="S20" s="60" t="n">
        <v>0.0333</v>
      </c>
      <c r="T20" s="60" t="n">
        <v>0.0333</v>
      </c>
      <c r="U20" s="60" t="n">
        <v>0.0333</v>
      </c>
      <c r="V20" s="60" t="n">
        <v>0.0333</v>
      </c>
      <c r="W20" s="60" t="n">
        <v>0.0311</v>
      </c>
      <c r="X20" s="60" t="n">
        <v>0.0311</v>
      </c>
      <c r="Y20" s="60" t="n">
        <v>0.0311</v>
      </c>
      <c r="Z20" s="60" t="n">
        <v>0.0311</v>
      </c>
      <c r="AA20" s="60" t="n">
        <v>0.0311</v>
      </c>
      <c r="AB20" s="60" t="n">
        <v>0.0311</v>
      </c>
      <c r="AC20" s="60" t="n">
        <v>0.0311</v>
      </c>
      <c r="AD20" s="60" t="n">
        <v>0.0311</v>
      </c>
      <c r="AE20" s="60" t="n">
        <v>0.0311</v>
      </c>
      <c r="AF20" s="60" t="n">
        <v>0.0311</v>
      </c>
      <c r="AG20" s="60" t="n">
        <v>0.0311</v>
      </c>
      <c r="AH20" s="60" t="n">
        <v>0.0311</v>
      </c>
      <c r="AI20" s="60" t="n">
        <v>0.0311</v>
      </c>
      <c r="AJ20" s="60" t="n">
        <v>0.0279</v>
      </c>
      <c r="AK20" s="60" t="n">
        <v>0.0021</v>
      </c>
      <c r="AL20" s="59" t="n"/>
      <c r="AM20" s="59" t="n"/>
      <c r="AN20" s="59" t="n"/>
      <c r="AO20" s="59" t="n"/>
      <c r="AP20" s="59" t="n"/>
      <c r="AQ20" s="59" t="n"/>
      <c r="AR20" s="59" t="n"/>
      <c r="AS20" s="59" t="n"/>
      <c r="AT20" s="59" t="n"/>
      <c r="AU20" s="59" t="n"/>
      <c r="AV20" s="59" t="n"/>
      <c r="AW20" s="59" t="n"/>
      <c r="AX20" s="59" t="n"/>
      <c r="AY20" s="59" t="n"/>
      <c r="AZ20" s="59" t="n"/>
      <c r="BA20" s="59" t="n"/>
      <c r="BB20" s="59" t="n"/>
      <c r="BC20" s="59" t="n"/>
      <c r="BD20" s="59" t="n"/>
      <c r="BE20" s="59" t="n"/>
    </row>
    <row r="21">
      <c r="A21" s="10" t="n"/>
      <c r="B21" s="10" t="n"/>
      <c r="C21" s="14" t="n"/>
      <c r="D21" s="12" t="n"/>
      <c r="E21" s="57" t="inlineStr">
        <is>
          <t>% Acumulado</t>
        </is>
      </c>
      <c r="F21" s="60" t="n">
        <v>0.0333</v>
      </c>
      <c r="G21" s="60" t="n">
        <v>0.0665</v>
      </c>
      <c r="H21" s="60" t="n">
        <v>0.0998</v>
      </c>
      <c r="I21" s="60" t="n">
        <v>0.1331</v>
      </c>
      <c r="J21" s="60" t="n">
        <v>0.1664</v>
      </c>
      <c r="K21" s="60" t="n">
        <v>0.1996</v>
      </c>
      <c r="L21" s="60" t="n">
        <v>0.2329</v>
      </c>
      <c r="M21" s="60" t="n">
        <v>0.2662</v>
      </c>
      <c r="N21" s="60" t="n">
        <v>0.2995</v>
      </c>
      <c r="O21" s="60" t="n">
        <v>0.3327</v>
      </c>
      <c r="P21" s="60" t="n">
        <v>0.366</v>
      </c>
      <c r="Q21" s="60" t="n">
        <v>0.3993</v>
      </c>
      <c r="R21" s="60" t="n">
        <v>0.4325</v>
      </c>
      <c r="S21" s="60" t="n">
        <v>0.4658</v>
      </c>
      <c r="T21" s="60" t="n">
        <v>0.4991</v>
      </c>
      <c r="U21" s="60" t="n">
        <v>0.5324</v>
      </c>
      <c r="V21" s="60" t="n">
        <v>0.5656</v>
      </c>
      <c r="W21" s="60" t="n">
        <v>0.5967</v>
      </c>
      <c r="X21" s="60" t="n">
        <v>0.6277</v>
      </c>
      <c r="Y21" s="60" t="n">
        <v>0.6588000000000001</v>
      </c>
      <c r="Z21" s="60" t="n">
        <v>0.6898</v>
      </c>
      <c r="AA21" s="60" t="n">
        <v>0.721</v>
      </c>
      <c r="AB21" s="60" t="n">
        <v>0.7521</v>
      </c>
      <c r="AC21" s="60" t="n">
        <v>0.7832</v>
      </c>
      <c r="AD21" s="60" t="n">
        <v>0.8144</v>
      </c>
      <c r="AE21" s="60" t="n">
        <v>0.8455</v>
      </c>
      <c r="AF21" s="60" t="n">
        <v>0.8766</v>
      </c>
      <c r="AG21" s="60" t="n">
        <v>0.9077</v>
      </c>
      <c r="AH21" s="60" t="n">
        <v>0.9389</v>
      </c>
      <c r="AI21" s="60" t="n">
        <v>0.97</v>
      </c>
      <c r="AJ21" s="60" t="n">
        <v>0.9979</v>
      </c>
      <c r="AK21" s="60" t="n">
        <v>1</v>
      </c>
      <c r="AL21" s="60" t="n">
        <v>1</v>
      </c>
      <c r="AM21" s="60" t="n">
        <v>1</v>
      </c>
      <c r="AN21" s="60" t="n">
        <v>1</v>
      </c>
      <c r="AO21" s="60" t="n">
        <v>1</v>
      </c>
      <c r="AP21" s="60" t="n">
        <v>1</v>
      </c>
      <c r="AQ21" s="60" t="n">
        <v>1</v>
      </c>
      <c r="AR21" s="60" t="n">
        <v>1</v>
      </c>
      <c r="AS21" s="60" t="n">
        <v>1</v>
      </c>
      <c r="AT21" s="60" t="n">
        <v>1</v>
      </c>
      <c r="AU21" s="60" t="n">
        <v>1</v>
      </c>
      <c r="AV21" s="60" t="n">
        <v>1</v>
      </c>
      <c r="AW21" s="60" t="n">
        <v>1</v>
      </c>
      <c r="AX21" s="60" t="n">
        <v>1</v>
      </c>
      <c r="AY21" s="60" t="n">
        <v>1</v>
      </c>
      <c r="AZ21" s="60" t="n">
        <v>1</v>
      </c>
      <c r="BA21" s="60" t="n">
        <v>1</v>
      </c>
      <c r="BB21" s="60" t="n">
        <v>1</v>
      </c>
      <c r="BC21" s="60" t="n">
        <v>1</v>
      </c>
      <c r="BD21" s="60" t="n">
        <v>1</v>
      </c>
      <c r="BE21" s="60" t="n">
        <v>1</v>
      </c>
    </row>
    <row r="22">
      <c r="A22" s="61" t="inlineStr">
        <is>
          <t>eap-1_3</t>
        </is>
      </c>
      <c r="B22" s="61" t="inlineStr">
        <is>
          <t>Esc/carg/transp 2aCat DMT&lt;=2000m</t>
        </is>
      </c>
      <c r="C22" s="62" t="inlineStr">
        <is>
          <t>m3</t>
        </is>
      </c>
      <c r="D22" s="63" t="n">
        <v>105311.3323</v>
      </c>
      <c r="E22" s="64" t="inlineStr">
        <is>
          <t>Dias Trabalhados</t>
        </is>
      </c>
      <c r="F22" s="65" t="n">
        <v>6</v>
      </c>
      <c r="G22" s="65" t="n">
        <v>6</v>
      </c>
      <c r="H22" s="65" t="n">
        <v>6</v>
      </c>
      <c r="I22" s="65" t="n">
        <v>6</v>
      </c>
      <c r="J22" s="65" t="n">
        <v>6</v>
      </c>
      <c r="K22" s="65" t="n">
        <v>6</v>
      </c>
      <c r="L22" s="65" t="n">
        <v>6</v>
      </c>
      <c r="M22" s="65" t="n">
        <v>6</v>
      </c>
      <c r="N22" s="65" t="n">
        <v>6</v>
      </c>
      <c r="O22" s="65" t="n">
        <v>6</v>
      </c>
      <c r="P22" s="65" t="n">
        <v>6</v>
      </c>
      <c r="Q22" s="65" t="n">
        <v>6</v>
      </c>
      <c r="R22" s="65" t="n">
        <v>6</v>
      </c>
      <c r="S22" s="65" t="n">
        <v>6</v>
      </c>
      <c r="T22" s="65" t="n">
        <v>6</v>
      </c>
      <c r="U22" s="65" t="n">
        <v>6</v>
      </c>
      <c r="V22" s="65" t="n">
        <v>6</v>
      </c>
      <c r="W22" s="65" t="n">
        <v>6</v>
      </c>
      <c r="X22" s="65" t="n">
        <v>6</v>
      </c>
      <c r="Y22" s="65" t="n">
        <v>6</v>
      </c>
      <c r="Z22" s="65" t="n">
        <v>6</v>
      </c>
      <c r="AA22" s="65" t="n">
        <v>6</v>
      </c>
      <c r="AB22" s="65" t="n">
        <v>6</v>
      </c>
      <c r="AC22" s="65" t="n">
        <v>6</v>
      </c>
      <c r="AD22" s="65" t="n">
        <v>6</v>
      </c>
      <c r="AE22" s="65" t="n">
        <v>6</v>
      </c>
      <c r="AF22" s="65" t="n">
        <v>6</v>
      </c>
      <c r="AG22" s="65" t="n">
        <v>6</v>
      </c>
      <c r="AH22" s="65" t="n">
        <v>6</v>
      </c>
      <c r="AI22" s="65" t="n">
        <v>6</v>
      </c>
      <c r="AJ22" s="65" t="n">
        <v>6</v>
      </c>
      <c r="AK22" s="65" t="n">
        <v>6</v>
      </c>
      <c r="AL22" s="65" t="n">
        <v>6</v>
      </c>
      <c r="AM22" s="65" t="n">
        <v>6</v>
      </c>
      <c r="AN22" s="65" t="n">
        <v>6</v>
      </c>
      <c r="AO22" s="65" t="n">
        <v>6</v>
      </c>
      <c r="AP22" s="65" t="n">
        <v>6</v>
      </c>
      <c r="AQ22" s="65" t="n">
        <v>6</v>
      </c>
      <c r="AR22" s="65" t="n">
        <v>6</v>
      </c>
      <c r="AS22" s="65" t="n">
        <v>6</v>
      </c>
      <c r="AT22" s="65" t="n">
        <v>6</v>
      </c>
      <c r="AU22" s="65" t="n">
        <v>6</v>
      </c>
      <c r="AV22" s="65" t="n">
        <v>6</v>
      </c>
      <c r="AW22" s="65" t="n">
        <v>6</v>
      </c>
      <c r="AX22" s="65" t="n">
        <v>6</v>
      </c>
      <c r="AY22" s="65" t="n">
        <v>6</v>
      </c>
      <c r="AZ22" s="65" t="n">
        <v>6</v>
      </c>
      <c r="BA22" s="65" t="n">
        <v>6</v>
      </c>
      <c r="BB22" s="65" t="n">
        <v>6</v>
      </c>
      <c r="BC22" s="65" t="n">
        <v>6</v>
      </c>
      <c r="BD22" s="65" t="n">
        <v>6</v>
      </c>
      <c r="BE22" s="66" t="n"/>
    </row>
    <row r="23">
      <c r="A23" s="20" t="n"/>
      <c r="B23" s="20" t="n"/>
      <c r="C23" s="24" t="n"/>
      <c r="D23" s="22" t="n"/>
      <c r="E23" s="67" t="inlineStr">
        <is>
          <t>Nº De Equipes</t>
        </is>
      </c>
      <c r="F23" s="68" t="n">
        <v>2</v>
      </c>
      <c r="G23" s="68" t="n">
        <v>2</v>
      </c>
      <c r="H23" s="68" t="n">
        <v>2</v>
      </c>
      <c r="I23" s="68" t="n">
        <v>2</v>
      </c>
      <c r="J23" s="68" t="n">
        <v>2</v>
      </c>
      <c r="K23" s="68" t="n">
        <v>2</v>
      </c>
      <c r="L23" s="68" t="n">
        <v>2</v>
      </c>
      <c r="M23" s="68" t="n">
        <v>2</v>
      </c>
      <c r="N23" s="68" t="n">
        <v>2</v>
      </c>
      <c r="O23" s="68" t="n">
        <v>2</v>
      </c>
      <c r="P23" s="68" t="n">
        <v>2</v>
      </c>
      <c r="Q23" s="68" t="n">
        <v>2</v>
      </c>
      <c r="R23" s="68" t="n">
        <v>2</v>
      </c>
      <c r="S23" s="68" t="n">
        <v>2</v>
      </c>
      <c r="T23" s="68" t="n">
        <v>2</v>
      </c>
      <c r="U23" s="68" t="n">
        <v>2</v>
      </c>
      <c r="V23" s="68" t="n">
        <v>2</v>
      </c>
      <c r="W23" s="68" t="n">
        <v>2</v>
      </c>
      <c r="X23" s="68" t="n">
        <v>2</v>
      </c>
      <c r="Y23" s="68" t="n">
        <v>2</v>
      </c>
      <c r="Z23" s="68" t="n">
        <v>2</v>
      </c>
      <c r="AA23" s="68" t="n">
        <v>2</v>
      </c>
      <c r="AB23" s="68" t="n">
        <v>2</v>
      </c>
      <c r="AC23" s="68" t="n">
        <v>2</v>
      </c>
      <c r="AD23" s="68" t="n">
        <v>2</v>
      </c>
      <c r="AE23" s="68" t="n">
        <v>2</v>
      </c>
      <c r="AF23" s="68" t="n">
        <v>2</v>
      </c>
      <c r="AG23" s="68" t="n">
        <v>2</v>
      </c>
      <c r="AH23" s="68" t="n">
        <v>2</v>
      </c>
      <c r="AI23" s="68" t="n">
        <v>2</v>
      </c>
      <c r="AJ23" s="68" t="n">
        <v>2</v>
      </c>
      <c r="AK23" s="68" t="n">
        <v>2</v>
      </c>
      <c r="AL23" s="68" t="n">
        <v>2</v>
      </c>
      <c r="AM23" s="68" t="n">
        <v>2</v>
      </c>
      <c r="AN23" s="68" t="n">
        <v>2</v>
      </c>
      <c r="AO23" s="68" t="n">
        <v>2</v>
      </c>
      <c r="AP23" s="68" t="n">
        <v>2</v>
      </c>
      <c r="AQ23" s="68" t="n">
        <v>2</v>
      </c>
      <c r="AR23" s="68" t="n">
        <v>2</v>
      </c>
      <c r="AS23" s="68" t="n">
        <v>2</v>
      </c>
      <c r="AT23" s="68" t="n">
        <v>2</v>
      </c>
      <c r="AU23" s="68" t="n">
        <v>2</v>
      </c>
      <c r="AV23" s="68" t="n">
        <v>2</v>
      </c>
      <c r="AW23" s="68" t="n">
        <v>2</v>
      </c>
      <c r="AX23" s="68" t="n">
        <v>2</v>
      </c>
      <c r="AY23" s="68" t="n">
        <v>2</v>
      </c>
      <c r="AZ23" s="68" t="n">
        <v>2</v>
      </c>
      <c r="BA23" s="68" t="n">
        <v>2</v>
      </c>
      <c r="BB23" s="68" t="n">
        <v>2</v>
      </c>
      <c r="BC23" s="68" t="n">
        <v>2</v>
      </c>
      <c r="BD23" s="68" t="n">
        <v>2</v>
      </c>
      <c r="BE23" s="69" t="n"/>
    </row>
    <row r="24">
      <c r="A24" s="20" t="n"/>
      <c r="B24" s="20" t="n"/>
      <c r="C24" s="24" t="n"/>
      <c r="D24" s="22" t="n"/>
      <c r="E24" s="67" t="inlineStr">
        <is>
          <t>Qtd. Planejada</t>
        </is>
      </c>
      <c r="F24" s="33" t="n">
        <v>15911.04</v>
      </c>
      <c r="G24" s="33" t="n">
        <v>15911.04</v>
      </c>
      <c r="H24" s="33" t="n">
        <v>15911.04</v>
      </c>
      <c r="I24" s="33" t="n">
        <v>15911.04</v>
      </c>
      <c r="J24" s="33" t="n">
        <v>15911.04</v>
      </c>
      <c r="K24" s="33" t="n">
        <v>15911.04</v>
      </c>
      <c r="L24" s="33" t="n">
        <v>9845.09</v>
      </c>
      <c r="M24" s="69" t="n"/>
      <c r="N24" s="69" t="n"/>
      <c r="O24" s="69" t="n"/>
      <c r="P24" s="69" t="n"/>
      <c r="Q24" s="69" t="n"/>
      <c r="R24" s="69" t="n"/>
      <c r="S24" s="69" t="n"/>
      <c r="T24" s="69" t="n"/>
      <c r="U24" s="69" t="n"/>
      <c r="V24" s="69" t="n"/>
      <c r="W24" s="69" t="n"/>
      <c r="X24" s="69" t="n"/>
      <c r="Y24" s="69" t="n"/>
      <c r="Z24" s="69" t="n"/>
      <c r="AA24" s="69" t="n"/>
      <c r="AB24" s="69" t="n"/>
      <c r="AC24" s="69" t="n"/>
      <c r="AD24" s="69" t="n"/>
      <c r="AE24" s="69" t="n"/>
      <c r="AF24" s="69" t="n"/>
      <c r="AG24" s="69" t="n"/>
      <c r="AH24" s="69" t="n"/>
      <c r="AI24" s="69" t="n"/>
      <c r="AJ24" s="69" t="n"/>
      <c r="AK24" s="69" t="n"/>
      <c r="AL24" s="69" t="n"/>
      <c r="AM24" s="69" t="n"/>
      <c r="AN24" s="69" t="n"/>
      <c r="AO24" s="69" t="n"/>
      <c r="AP24" s="69" t="n"/>
      <c r="AQ24" s="69" t="n"/>
      <c r="AR24" s="69" t="n"/>
      <c r="AS24" s="69" t="n"/>
      <c r="AT24" s="69" t="n"/>
      <c r="AU24" s="69" t="n"/>
      <c r="AV24" s="69" t="n"/>
      <c r="AW24" s="69" t="n"/>
      <c r="AX24" s="69" t="n"/>
      <c r="AY24" s="69" t="n"/>
      <c r="AZ24" s="69" t="n"/>
      <c r="BA24" s="69" t="n"/>
      <c r="BB24" s="69" t="n"/>
      <c r="BC24" s="69" t="n"/>
      <c r="BD24" s="69" t="n"/>
      <c r="BE24" s="69" t="n"/>
    </row>
    <row r="25">
      <c r="A25" s="20" t="n"/>
      <c r="B25" s="20" t="n"/>
      <c r="C25" s="24" t="n"/>
      <c r="D25" s="22" t="n"/>
      <c r="E25" s="67" t="inlineStr">
        <is>
          <t>Qtd Plan. Acumulada</t>
        </is>
      </c>
      <c r="F25" s="33" t="n">
        <v>15911.04</v>
      </c>
      <c r="G25" s="33" t="n">
        <v>31822.08</v>
      </c>
      <c r="H25" s="33" t="n">
        <v>47733.12</v>
      </c>
      <c r="I25" s="33" t="n">
        <v>63644.16</v>
      </c>
      <c r="J25" s="33" t="n">
        <v>79555.2</v>
      </c>
      <c r="K25" s="33" t="n">
        <v>95466.24000000001</v>
      </c>
      <c r="L25" s="33" t="n">
        <v>105311.33</v>
      </c>
      <c r="M25" s="33" t="n">
        <v>105311.33</v>
      </c>
      <c r="N25" s="33" t="n">
        <v>105311.33</v>
      </c>
      <c r="O25" s="33" t="n">
        <v>105311.33</v>
      </c>
      <c r="P25" s="33" t="n">
        <v>105311.33</v>
      </c>
      <c r="Q25" s="33" t="n">
        <v>105311.33</v>
      </c>
      <c r="R25" s="33" t="n">
        <v>105311.33</v>
      </c>
      <c r="S25" s="33" t="n">
        <v>105311.33</v>
      </c>
      <c r="T25" s="33" t="n">
        <v>105311.33</v>
      </c>
      <c r="U25" s="33" t="n">
        <v>105311.33</v>
      </c>
      <c r="V25" s="33" t="n">
        <v>105311.33</v>
      </c>
      <c r="W25" s="33" t="n">
        <v>105311.33</v>
      </c>
      <c r="X25" s="33" t="n">
        <v>105311.33</v>
      </c>
      <c r="Y25" s="33" t="n">
        <v>105311.33</v>
      </c>
      <c r="Z25" s="33" t="n">
        <v>105311.33</v>
      </c>
      <c r="AA25" s="33" t="n">
        <v>105311.33</v>
      </c>
      <c r="AB25" s="33" t="n">
        <v>105311.33</v>
      </c>
      <c r="AC25" s="33" t="n">
        <v>105311.33</v>
      </c>
      <c r="AD25" s="33" t="n">
        <v>105311.33</v>
      </c>
      <c r="AE25" s="33" t="n">
        <v>105311.33</v>
      </c>
      <c r="AF25" s="33" t="n">
        <v>105311.33</v>
      </c>
      <c r="AG25" s="33" t="n">
        <v>105311.33</v>
      </c>
      <c r="AH25" s="33" t="n">
        <v>105311.33</v>
      </c>
      <c r="AI25" s="33" t="n">
        <v>105311.33</v>
      </c>
      <c r="AJ25" s="33" t="n">
        <v>105311.33</v>
      </c>
      <c r="AK25" s="33" t="n">
        <v>105311.33</v>
      </c>
      <c r="AL25" s="33" t="n">
        <v>105311.33</v>
      </c>
      <c r="AM25" s="33" t="n">
        <v>105311.33</v>
      </c>
      <c r="AN25" s="33" t="n">
        <v>105311.33</v>
      </c>
      <c r="AO25" s="33" t="n">
        <v>105311.33</v>
      </c>
      <c r="AP25" s="33" t="n">
        <v>105311.33</v>
      </c>
      <c r="AQ25" s="33" t="n">
        <v>105311.33</v>
      </c>
      <c r="AR25" s="33" t="n">
        <v>105311.33</v>
      </c>
      <c r="AS25" s="33" t="n">
        <v>105311.33</v>
      </c>
      <c r="AT25" s="33" t="n">
        <v>105311.33</v>
      </c>
      <c r="AU25" s="33" t="n">
        <v>105311.33</v>
      </c>
      <c r="AV25" s="33" t="n">
        <v>105311.33</v>
      </c>
      <c r="AW25" s="33" t="n">
        <v>105311.33</v>
      </c>
      <c r="AX25" s="33" t="n">
        <v>105311.33</v>
      </c>
      <c r="AY25" s="33" t="n">
        <v>105311.33</v>
      </c>
      <c r="AZ25" s="33" t="n">
        <v>105311.33</v>
      </c>
      <c r="BA25" s="33" t="n">
        <v>105311.33</v>
      </c>
      <c r="BB25" s="33" t="n">
        <v>105311.33</v>
      </c>
      <c r="BC25" s="33" t="n">
        <v>105311.33</v>
      </c>
      <c r="BD25" s="33" t="n">
        <v>105311.33</v>
      </c>
      <c r="BE25" s="33" t="n">
        <v>105311.33</v>
      </c>
    </row>
    <row r="26">
      <c r="A26" s="20" t="n"/>
      <c r="B26" s="20" t="n"/>
      <c r="C26" s="24" t="n"/>
      <c r="D26" s="22" t="n"/>
      <c r="E26" s="67" t="inlineStr">
        <is>
          <t>% Semanal</t>
        </is>
      </c>
      <c r="F26" s="70" t="n">
        <v>0.1511</v>
      </c>
      <c r="G26" s="70" t="n">
        <v>0.1511</v>
      </c>
      <c r="H26" s="70" t="n">
        <v>0.1511</v>
      </c>
      <c r="I26" s="70" t="n">
        <v>0.1511</v>
      </c>
      <c r="J26" s="70" t="n">
        <v>0.1511</v>
      </c>
      <c r="K26" s="70" t="n">
        <v>0.1511</v>
      </c>
      <c r="L26" s="70" t="n">
        <v>0.0935</v>
      </c>
      <c r="M26" s="69" t="n"/>
      <c r="N26" s="69" t="n"/>
      <c r="O26" s="69" t="n"/>
      <c r="P26" s="69" t="n"/>
      <c r="Q26" s="69" t="n"/>
      <c r="R26" s="69" t="n"/>
      <c r="S26" s="69" t="n"/>
      <c r="T26" s="69" t="n"/>
      <c r="U26" s="69" t="n"/>
      <c r="V26" s="69" t="n"/>
      <c r="W26" s="69" t="n"/>
      <c r="X26" s="69" t="n"/>
      <c r="Y26" s="69" t="n"/>
      <c r="Z26" s="69" t="n"/>
      <c r="AA26" s="69" t="n"/>
      <c r="AB26" s="69" t="n"/>
      <c r="AC26" s="69" t="n"/>
      <c r="AD26" s="69" t="n"/>
      <c r="AE26" s="69" t="n"/>
      <c r="AF26" s="69" t="n"/>
      <c r="AG26" s="69" t="n"/>
      <c r="AH26" s="69" t="n"/>
      <c r="AI26" s="69" t="n"/>
      <c r="AJ26" s="69" t="n"/>
      <c r="AK26" s="69" t="n"/>
      <c r="AL26" s="69" t="n"/>
      <c r="AM26" s="69" t="n"/>
      <c r="AN26" s="69" t="n"/>
      <c r="AO26" s="69" t="n"/>
      <c r="AP26" s="69" t="n"/>
      <c r="AQ26" s="69" t="n"/>
      <c r="AR26" s="69" t="n"/>
      <c r="AS26" s="69" t="n"/>
      <c r="AT26" s="69" t="n"/>
      <c r="AU26" s="69" t="n"/>
      <c r="AV26" s="69" t="n"/>
      <c r="AW26" s="69" t="n"/>
      <c r="AX26" s="69" t="n"/>
      <c r="AY26" s="69" t="n"/>
      <c r="AZ26" s="69" t="n"/>
      <c r="BA26" s="69" t="n"/>
      <c r="BB26" s="69" t="n"/>
      <c r="BC26" s="69" t="n"/>
      <c r="BD26" s="69" t="n"/>
      <c r="BE26" s="69" t="n"/>
    </row>
    <row r="27">
      <c r="A27" s="20" t="n"/>
      <c r="B27" s="20" t="n"/>
      <c r="C27" s="24" t="n"/>
      <c r="D27" s="22" t="n"/>
      <c r="E27" s="67" t="inlineStr">
        <is>
          <t>% Acumulado</t>
        </is>
      </c>
      <c r="F27" s="70" t="n">
        <v>0.1511</v>
      </c>
      <c r="G27" s="70" t="n">
        <v>0.3022</v>
      </c>
      <c r="H27" s="70" t="n">
        <v>0.4533</v>
      </c>
      <c r="I27" s="70" t="n">
        <v>0.6042999999999999</v>
      </c>
      <c r="J27" s="70" t="n">
        <v>0.7554</v>
      </c>
      <c r="K27" s="70" t="n">
        <v>0.9065</v>
      </c>
      <c r="L27" s="70" t="n">
        <v>1</v>
      </c>
      <c r="M27" s="70" t="n">
        <v>1</v>
      </c>
      <c r="N27" s="70" t="n">
        <v>1</v>
      </c>
      <c r="O27" s="70" t="n">
        <v>1</v>
      </c>
      <c r="P27" s="70" t="n">
        <v>1</v>
      </c>
      <c r="Q27" s="70" t="n">
        <v>1</v>
      </c>
      <c r="R27" s="70" t="n">
        <v>1</v>
      </c>
      <c r="S27" s="70" t="n">
        <v>1</v>
      </c>
      <c r="T27" s="70" t="n">
        <v>1</v>
      </c>
      <c r="U27" s="70" t="n">
        <v>1</v>
      </c>
      <c r="V27" s="70" t="n">
        <v>1</v>
      </c>
      <c r="W27" s="70" t="n">
        <v>1</v>
      </c>
      <c r="X27" s="70" t="n">
        <v>1</v>
      </c>
      <c r="Y27" s="70" t="n">
        <v>1</v>
      </c>
      <c r="Z27" s="70" t="n">
        <v>1</v>
      </c>
      <c r="AA27" s="70" t="n">
        <v>1</v>
      </c>
      <c r="AB27" s="70" t="n">
        <v>1</v>
      </c>
      <c r="AC27" s="70" t="n">
        <v>1</v>
      </c>
      <c r="AD27" s="70" t="n">
        <v>1</v>
      </c>
      <c r="AE27" s="70" t="n">
        <v>1</v>
      </c>
      <c r="AF27" s="70" t="n">
        <v>1</v>
      </c>
      <c r="AG27" s="70" t="n">
        <v>1</v>
      </c>
      <c r="AH27" s="70" t="n">
        <v>1</v>
      </c>
      <c r="AI27" s="70" t="n">
        <v>1</v>
      </c>
      <c r="AJ27" s="70" t="n">
        <v>1</v>
      </c>
      <c r="AK27" s="70" t="n">
        <v>1</v>
      </c>
      <c r="AL27" s="70" t="n">
        <v>1</v>
      </c>
      <c r="AM27" s="70" t="n">
        <v>1</v>
      </c>
      <c r="AN27" s="70" t="n">
        <v>1</v>
      </c>
      <c r="AO27" s="70" t="n">
        <v>1</v>
      </c>
      <c r="AP27" s="70" t="n">
        <v>1</v>
      </c>
      <c r="AQ27" s="70" t="n">
        <v>1</v>
      </c>
      <c r="AR27" s="70" t="n">
        <v>1</v>
      </c>
      <c r="AS27" s="70" t="n">
        <v>1</v>
      </c>
      <c r="AT27" s="70" t="n">
        <v>1</v>
      </c>
      <c r="AU27" s="70" t="n">
        <v>1</v>
      </c>
      <c r="AV27" s="70" t="n">
        <v>1</v>
      </c>
      <c r="AW27" s="70" t="n">
        <v>1</v>
      </c>
      <c r="AX27" s="70" t="n">
        <v>1</v>
      </c>
      <c r="AY27" s="70" t="n">
        <v>1</v>
      </c>
      <c r="AZ27" s="70" t="n">
        <v>1</v>
      </c>
      <c r="BA27" s="70" t="n">
        <v>1</v>
      </c>
      <c r="BB27" s="70" t="n">
        <v>1</v>
      </c>
      <c r="BC27" s="70" t="n">
        <v>1</v>
      </c>
      <c r="BD27" s="70" t="n">
        <v>1</v>
      </c>
      <c r="BE27" s="70" t="n">
        <v>1</v>
      </c>
    </row>
    <row r="28">
      <c r="A28" s="16" t="inlineStr">
        <is>
          <t>eap-1_4</t>
        </is>
      </c>
      <c r="B28" s="16" t="inlineStr">
        <is>
          <t>Esc/carg/transp 2aCat DMT&lt;=3000m</t>
        </is>
      </c>
      <c r="C28" s="52" t="inlineStr">
        <is>
          <t>m3</t>
        </is>
      </c>
      <c r="D28" s="53" t="n">
        <v>585945.7677</v>
      </c>
      <c r="E28" s="54" t="inlineStr">
        <is>
          <t>Dias Trabalhados</t>
        </is>
      </c>
      <c r="F28" s="55" t="n">
        <v>6</v>
      </c>
      <c r="G28" s="55" t="n">
        <v>6</v>
      </c>
      <c r="H28" s="55" t="n">
        <v>6</v>
      </c>
      <c r="I28" s="55" t="n">
        <v>6</v>
      </c>
      <c r="J28" s="55" t="n">
        <v>6</v>
      </c>
      <c r="K28" s="55" t="n">
        <v>6</v>
      </c>
      <c r="L28" s="55" t="n">
        <v>6</v>
      </c>
      <c r="M28" s="55" t="n">
        <v>6</v>
      </c>
      <c r="N28" s="55" t="n">
        <v>6</v>
      </c>
      <c r="O28" s="55" t="n">
        <v>6</v>
      </c>
      <c r="P28" s="55" t="n">
        <v>6</v>
      </c>
      <c r="Q28" s="55" t="n">
        <v>6</v>
      </c>
      <c r="R28" s="55" t="n">
        <v>6</v>
      </c>
      <c r="S28" s="55" t="n">
        <v>6</v>
      </c>
      <c r="T28" s="55" t="n">
        <v>6</v>
      </c>
      <c r="U28" s="55" t="n">
        <v>6</v>
      </c>
      <c r="V28" s="55" t="n">
        <v>6</v>
      </c>
      <c r="W28" s="55" t="n">
        <v>6</v>
      </c>
      <c r="X28" s="55" t="n">
        <v>6</v>
      </c>
      <c r="Y28" s="55" t="n">
        <v>6</v>
      </c>
      <c r="Z28" s="55" t="n">
        <v>6</v>
      </c>
      <c r="AA28" s="55" t="n">
        <v>6</v>
      </c>
      <c r="AB28" s="55" t="n">
        <v>6</v>
      </c>
      <c r="AC28" s="55" t="n">
        <v>6</v>
      </c>
      <c r="AD28" s="55" t="n">
        <v>6</v>
      </c>
      <c r="AE28" s="55" t="n">
        <v>6</v>
      </c>
      <c r="AF28" s="55" t="n">
        <v>6</v>
      </c>
      <c r="AG28" s="55" t="n">
        <v>6</v>
      </c>
      <c r="AH28" s="55" t="n">
        <v>6</v>
      </c>
      <c r="AI28" s="55" t="n">
        <v>6</v>
      </c>
      <c r="AJ28" s="55" t="n">
        <v>6</v>
      </c>
      <c r="AK28" s="55" t="n">
        <v>6</v>
      </c>
      <c r="AL28" s="55" t="n">
        <v>6</v>
      </c>
      <c r="AM28" s="55" t="n">
        <v>6</v>
      </c>
      <c r="AN28" s="55" t="n">
        <v>6</v>
      </c>
      <c r="AO28" s="55" t="n">
        <v>6</v>
      </c>
      <c r="AP28" s="55" t="n">
        <v>6</v>
      </c>
      <c r="AQ28" s="55" t="n">
        <v>6</v>
      </c>
      <c r="AR28" s="55" t="n">
        <v>6</v>
      </c>
      <c r="AS28" s="55" t="n">
        <v>6</v>
      </c>
      <c r="AT28" s="55" t="n">
        <v>6</v>
      </c>
      <c r="AU28" s="55" t="n">
        <v>6</v>
      </c>
      <c r="AV28" s="55" t="n">
        <v>6</v>
      </c>
      <c r="AW28" s="55" t="n">
        <v>6</v>
      </c>
      <c r="AX28" s="55" t="n">
        <v>6</v>
      </c>
      <c r="AY28" s="55" t="n">
        <v>6</v>
      </c>
      <c r="AZ28" s="55" t="n">
        <v>6</v>
      </c>
      <c r="BA28" s="55" t="n">
        <v>6</v>
      </c>
      <c r="BB28" s="55" t="n">
        <v>6</v>
      </c>
      <c r="BC28" s="55" t="n">
        <v>6</v>
      </c>
      <c r="BD28" s="55" t="n">
        <v>6</v>
      </c>
      <c r="BE28" s="56" t="n"/>
    </row>
    <row r="29">
      <c r="A29" s="10" t="n"/>
      <c r="B29" s="10" t="n"/>
      <c r="C29" s="14" t="n"/>
      <c r="D29" s="12" t="n"/>
      <c r="E29" s="57" t="inlineStr">
        <is>
          <t>Nº De Equipes</t>
        </is>
      </c>
      <c r="F29" s="58" t="n">
        <v>2</v>
      </c>
      <c r="G29" s="58" t="n">
        <v>2</v>
      </c>
      <c r="H29" s="58" t="n">
        <v>2</v>
      </c>
      <c r="I29" s="58" t="n">
        <v>2</v>
      </c>
      <c r="J29" s="58" t="n">
        <v>2</v>
      </c>
      <c r="K29" s="58" t="n">
        <v>2</v>
      </c>
      <c r="L29" s="58" t="n">
        <v>2</v>
      </c>
      <c r="M29" s="58" t="n">
        <v>2</v>
      </c>
      <c r="N29" s="58" t="n">
        <v>2</v>
      </c>
      <c r="O29" s="58" t="n">
        <v>2</v>
      </c>
      <c r="P29" s="58" t="n">
        <v>2</v>
      </c>
      <c r="Q29" s="58" t="n">
        <v>2</v>
      </c>
      <c r="R29" s="58" t="n">
        <v>2</v>
      </c>
      <c r="S29" s="58" t="n">
        <v>2</v>
      </c>
      <c r="T29" s="58" t="n">
        <v>2</v>
      </c>
      <c r="U29" s="58" t="n">
        <v>2</v>
      </c>
      <c r="V29" s="58" t="n">
        <v>2</v>
      </c>
      <c r="W29" s="58" t="n">
        <v>2</v>
      </c>
      <c r="X29" s="58" t="n">
        <v>2</v>
      </c>
      <c r="Y29" s="58" t="n">
        <v>2</v>
      </c>
      <c r="Z29" s="58" t="n">
        <v>2</v>
      </c>
      <c r="AA29" s="58" t="n">
        <v>2</v>
      </c>
      <c r="AB29" s="58" t="n">
        <v>2</v>
      </c>
      <c r="AC29" s="58" t="n">
        <v>2</v>
      </c>
      <c r="AD29" s="58" t="n">
        <v>2</v>
      </c>
      <c r="AE29" s="58" t="n">
        <v>2</v>
      </c>
      <c r="AF29" s="58" t="n">
        <v>2</v>
      </c>
      <c r="AG29" s="58" t="n">
        <v>2</v>
      </c>
      <c r="AH29" s="58" t="n">
        <v>2</v>
      </c>
      <c r="AI29" s="58" t="n">
        <v>2</v>
      </c>
      <c r="AJ29" s="58" t="n">
        <v>2</v>
      </c>
      <c r="AK29" s="58" t="n">
        <v>2</v>
      </c>
      <c r="AL29" s="58" t="n">
        <v>2</v>
      </c>
      <c r="AM29" s="58" t="n">
        <v>2</v>
      </c>
      <c r="AN29" s="58" t="n">
        <v>2</v>
      </c>
      <c r="AO29" s="58" t="n">
        <v>2</v>
      </c>
      <c r="AP29" s="58" t="n">
        <v>2</v>
      </c>
      <c r="AQ29" s="58" t="n">
        <v>2</v>
      </c>
      <c r="AR29" s="58" t="n">
        <v>2</v>
      </c>
      <c r="AS29" s="58" t="n">
        <v>2</v>
      </c>
      <c r="AT29" s="58" t="n">
        <v>2</v>
      </c>
      <c r="AU29" s="58" t="n">
        <v>2</v>
      </c>
      <c r="AV29" s="58" t="n">
        <v>2</v>
      </c>
      <c r="AW29" s="58" t="n">
        <v>2</v>
      </c>
      <c r="AX29" s="58" t="n">
        <v>2</v>
      </c>
      <c r="AY29" s="58" t="n">
        <v>2</v>
      </c>
      <c r="AZ29" s="58" t="n">
        <v>2</v>
      </c>
      <c r="BA29" s="58" t="n">
        <v>2</v>
      </c>
      <c r="BB29" s="58" t="n">
        <v>2</v>
      </c>
      <c r="BC29" s="58" t="n">
        <v>2</v>
      </c>
      <c r="BD29" s="58" t="n">
        <v>2</v>
      </c>
      <c r="BE29" s="59" t="n"/>
    </row>
    <row r="30">
      <c r="A30" s="10" t="n"/>
      <c r="B30" s="10" t="n"/>
      <c r="C30" s="14" t="n"/>
      <c r="D30" s="12" t="n"/>
      <c r="E30" s="57" t="inlineStr">
        <is>
          <t>Qtd. Planejada</t>
        </is>
      </c>
      <c r="F30" s="30" t="n">
        <v>15274.46</v>
      </c>
      <c r="G30" s="30" t="n">
        <v>15274.46</v>
      </c>
      <c r="H30" s="30" t="n">
        <v>15274.46</v>
      </c>
      <c r="I30" s="30" t="n">
        <v>15274.46</v>
      </c>
      <c r="J30" s="30" t="n">
        <v>15274.46</v>
      </c>
      <c r="K30" s="30" t="n">
        <v>15274.46</v>
      </c>
      <c r="L30" s="30" t="n">
        <v>15274.46</v>
      </c>
      <c r="M30" s="30" t="n">
        <v>15274.46</v>
      </c>
      <c r="N30" s="30" t="n">
        <v>15274.46</v>
      </c>
      <c r="O30" s="30" t="n">
        <v>15274.46</v>
      </c>
      <c r="P30" s="30" t="n">
        <v>15274.46</v>
      </c>
      <c r="Q30" s="30" t="n">
        <v>15274.46</v>
      </c>
      <c r="R30" s="30" t="n">
        <v>15274.46</v>
      </c>
      <c r="S30" s="30" t="n">
        <v>15274.46</v>
      </c>
      <c r="T30" s="30" t="n">
        <v>15274.46</v>
      </c>
      <c r="U30" s="30" t="n">
        <v>15274.46</v>
      </c>
      <c r="V30" s="30" t="n">
        <v>15274.46</v>
      </c>
      <c r="W30" s="30" t="n">
        <v>14255.65</v>
      </c>
      <c r="X30" s="30" t="n">
        <v>14255.65</v>
      </c>
      <c r="Y30" s="30" t="n">
        <v>14255.65</v>
      </c>
      <c r="Z30" s="30" t="n">
        <v>14255.65</v>
      </c>
      <c r="AA30" s="30" t="n">
        <v>14289.25</v>
      </c>
      <c r="AB30" s="30" t="n">
        <v>14289.25</v>
      </c>
      <c r="AC30" s="30" t="n">
        <v>14289.25</v>
      </c>
      <c r="AD30" s="30" t="n">
        <v>14289.25</v>
      </c>
      <c r="AE30" s="30" t="n">
        <v>14289.25</v>
      </c>
      <c r="AF30" s="30" t="n">
        <v>14289.25</v>
      </c>
      <c r="AG30" s="30" t="n">
        <v>14289.25</v>
      </c>
      <c r="AH30" s="30" t="n">
        <v>14289.25</v>
      </c>
      <c r="AI30" s="30" t="n">
        <v>14289.25</v>
      </c>
      <c r="AJ30" s="30" t="n">
        <v>12810.69</v>
      </c>
      <c r="AK30" s="30" t="n">
        <v>12810.69</v>
      </c>
      <c r="AL30" s="30" t="n">
        <v>12810.69</v>
      </c>
      <c r="AM30" s="30" t="n">
        <v>12810.69</v>
      </c>
      <c r="AN30" s="30" t="n">
        <v>12001.14</v>
      </c>
      <c r="AO30" s="30" t="n">
        <v>12001.14</v>
      </c>
      <c r="AP30" s="30" t="n">
        <v>12001.14</v>
      </c>
      <c r="AQ30" s="30" t="n">
        <v>12001.14</v>
      </c>
      <c r="AR30" s="30" t="n">
        <v>9361.709999999999</v>
      </c>
      <c r="AS30" s="30" t="n">
        <v>9361.709999999999</v>
      </c>
      <c r="AT30" s="30" t="n">
        <v>9361.709999999999</v>
      </c>
      <c r="AU30" s="30" t="n">
        <v>9361.709999999999</v>
      </c>
      <c r="AV30" s="30" t="n">
        <v>3959.95</v>
      </c>
      <c r="AW30" s="59" t="n"/>
      <c r="AX30" s="59" t="n"/>
      <c r="AY30" s="59" t="n"/>
      <c r="AZ30" s="59" t="n"/>
      <c r="BA30" s="59" t="n"/>
      <c r="BB30" s="59" t="n"/>
      <c r="BC30" s="59" t="n"/>
      <c r="BD30" s="59" t="n"/>
      <c r="BE30" s="59" t="n"/>
    </row>
    <row r="31">
      <c r="A31" s="10" t="n"/>
      <c r="B31" s="10" t="n"/>
      <c r="C31" s="14" t="n"/>
      <c r="D31" s="12" t="n"/>
      <c r="E31" s="57" t="inlineStr">
        <is>
          <t>Qtd Plan. Acumulada</t>
        </is>
      </c>
      <c r="F31" s="30" t="n">
        <v>15274.46</v>
      </c>
      <c r="G31" s="30" t="n">
        <v>30548.91</v>
      </c>
      <c r="H31" s="30" t="n">
        <v>45823.37</v>
      </c>
      <c r="I31" s="30" t="n">
        <v>61097.83</v>
      </c>
      <c r="J31" s="30" t="n">
        <v>76372.28</v>
      </c>
      <c r="K31" s="30" t="n">
        <v>91646.74000000001</v>
      </c>
      <c r="L31" s="30" t="n">
        <v>106921.2</v>
      </c>
      <c r="M31" s="30" t="n">
        <v>122195.65</v>
      </c>
      <c r="N31" s="30" t="n">
        <v>137470.11</v>
      </c>
      <c r="O31" s="30" t="n">
        <v>152744.57</v>
      </c>
      <c r="P31" s="30" t="n">
        <v>168019.02</v>
      </c>
      <c r="Q31" s="30" t="n">
        <v>183293.48</v>
      </c>
      <c r="R31" s="30" t="n">
        <v>198567.94</v>
      </c>
      <c r="S31" s="30" t="n">
        <v>213842.39</v>
      </c>
      <c r="T31" s="30" t="n">
        <v>229116.85</v>
      </c>
      <c r="U31" s="30" t="n">
        <v>244391.31</v>
      </c>
      <c r="V31" s="30" t="n">
        <v>259665.76</v>
      </c>
      <c r="W31" s="30" t="n">
        <v>273921.41</v>
      </c>
      <c r="X31" s="30" t="n">
        <v>288177.06</v>
      </c>
      <c r="Y31" s="30" t="n">
        <v>302432.71</v>
      </c>
      <c r="Z31" s="30" t="n">
        <v>316688.36</v>
      </c>
      <c r="AA31" s="30" t="n">
        <v>330977.62</v>
      </c>
      <c r="AB31" s="30" t="n">
        <v>345266.87</v>
      </c>
      <c r="AC31" s="30" t="n">
        <v>359556.13</v>
      </c>
      <c r="AD31" s="30" t="n">
        <v>373845.38</v>
      </c>
      <c r="AE31" s="30" t="n">
        <v>388134.63</v>
      </c>
      <c r="AF31" s="30" t="n">
        <v>402423.89</v>
      </c>
      <c r="AG31" s="30" t="n">
        <v>416713.14</v>
      </c>
      <c r="AH31" s="30" t="n">
        <v>431002.4</v>
      </c>
      <c r="AI31" s="30" t="n">
        <v>445291.65</v>
      </c>
      <c r="AJ31" s="30" t="n">
        <v>458102.34</v>
      </c>
      <c r="AK31" s="30" t="n">
        <v>470913.02</v>
      </c>
      <c r="AL31" s="30" t="n">
        <v>483723.71</v>
      </c>
      <c r="AM31" s="30" t="n">
        <v>496534.4</v>
      </c>
      <c r="AN31" s="30" t="n">
        <v>508535.54</v>
      </c>
      <c r="AO31" s="30" t="n">
        <v>520536.68</v>
      </c>
      <c r="AP31" s="30" t="n">
        <v>532537.8199999999</v>
      </c>
      <c r="AQ31" s="30" t="n">
        <v>544538.96</v>
      </c>
      <c r="AR31" s="30" t="n">
        <v>553900.67</v>
      </c>
      <c r="AS31" s="30" t="n">
        <v>563262.39</v>
      </c>
      <c r="AT31" s="30" t="n">
        <v>572624.1</v>
      </c>
      <c r="AU31" s="30" t="n">
        <v>581985.8199999999</v>
      </c>
      <c r="AV31" s="30" t="n">
        <v>585945.77</v>
      </c>
      <c r="AW31" s="30" t="n">
        <v>585945.77</v>
      </c>
      <c r="AX31" s="30" t="n">
        <v>585945.77</v>
      </c>
      <c r="AY31" s="30" t="n">
        <v>585945.77</v>
      </c>
      <c r="AZ31" s="30" t="n">
        <v>585945.77</v>
      </c>
      <c r="BA31" s="30" t="n">
        <v>585945.77</v>
      </c>
      <c r="BB31" s="30" t="n">
        <v>585945.77</v>
      </c>
      <c r="BC31" s="30" t="n">
        <v>585945.77</v>
      </c>
      <c r="BD31" s="30" t="n">
        <v>585945.77</v>
      </c>
      <c r="BE31" s="30" t="n">
        <v>585945.77</v>
      </c>
    </row>
    <row r="32">
      <c r="A32" s="10" t="n"/>
      <c r="B32" s="10" t="n"/>
      <c r="C32" s="14" t="n"/>
      <c r="D32" s="12" t="n"/>
      <c r="E32" s="57" t="inlineStr">
        <is>
          <t>% Semanal</t>
        </is>
      </c>
      <c r="F32" s="60" t="n">
        <v>0.0261</v>
      </c>
      <c r="G32" s="60" t="n">
        <v>0.0261</v>
      </c>
      <c r="H32" s="60" t="n">
        <v>0.0261</v>
      </c>
      <c r="I32" s="60" t="n">
        <v>0.0261</v>
      </c>
      <c r="J32" s="60" t="n">
        <v>0.0261</v>
      </c>
      <c r="K32" s="60" t="n">
        <v>0.0261</v>
      </c>
      <c r="L32" s="60" t="n">
        <v>0.0261</v>
      </c>
      <c r="M32" s="60" t="n">
        <v>0.0261</v>
      </c>
      <c r="N32" s="60" t="n">
        <v>0.0261</v>
      </c>
      <c r="O32" s="60" t="n">
        <v>0.0261</v>
      </c>
      <c r="P32" s="60" t="n">
        <v>0.0261</v>
      </c>
      <c r="Q32" s="60" t="n">
        <v>0.0261</v>
      </c>
      <c r="R32" s="60" t="n">
        <v>0.0261</v>
      </c>
      <c r="S32" s="60" t="n">
        <v>0.0261</v>
      </c>
      <c r="T32" s="60" t="n">
        <v>0.0261</v>
      </c>
      <c r="U32" s="60" t="n">
        <v>0.0261</v>
      </c>
      <c r="V32" s="60" t="n">
        <v>0.0261</v>
      </c>
      <c r="W32" s="60" t="n">
        <v>0.0243</v>
      </c>
      <c r="X32" s="60" t="n">
        <v>0.0243</v>
      </c>
      <c r="Y32" s="60" t="n">
        <v>0.0243</v>
      </c>
      <c r="Z32" s="60" t="n">
        <v>0.0243</v>
      </c>
      <c r="AA32" s="60" t="n">
        <v>0.0244</v>
      </c>
      <c r="AB32" s="60" t="n">
        <v>0.0244</v>
      </c>
      <c r="AC32" s="60" t="n">
        <v>0.0244</v>
      </c>
      <c r="AD32" s="60" t="n">
        <v>0.0244</v>
      </c>
      <c r="AE32" s="60" t="n">
        <v>0.0244</v>
      </c>
      <c r="AF32" s="60" t="n">
        <v>0.0244</v>
      </c>
      <c r="AG32" s="60" t="n">
        <v>0.0244</v>
      </c>
      <c r="AH32" s="60" t="n">
        <v>0.0244</v>
      </c>
      <c r="AI32" s="60" t="n">
        <v>0.0244</v>
      </c>
      <c r="AJ32" s="60" t="n">
        <v>0.0219</v>
      </c>
      <c r="AK32" s="60" t="n">
        <v>0.0219</v>
      </c>
      <c r="AL32" s="60" t="n">
        <v>0.0219</v>
      </c>
      <c r="AM32" s="60" t="n">
        <v>0.0219</v>
      </c>
      <c r="AN32" s="60" t="n">
        <v>0.0205</v>
      </c>
      <c r="AO32" s="60" t="n">
        <v>0.0205</v>
      </c>
      <c r="AP32" s="60" t="n">
        <v>0.0205</v>
      </c>
      <c r="AQ32" s="60" t="n">
        <v>0.0205</v>
      </c>
      <c r="AR32" s="60" t="n">
        <v>0.016</v>
      </c>
      <c r="AS32" s="60" t="n">
        <v>0.016</v>
      </c>
      <c r="AT32" s="60" t="n">
        <v>0.016</v>
      </c>
      <c r="AU32" s="60" t="n">
        <v>0.016</v>
      </c>
      <c r="AV32" s="60" t="n">
        <v>0.0068</v>
      </c>
      <c r="AW32" s="59" t="n"/>
      <c r="AX32" s="59" t="n"/>
      <c r="AY32" s="59" t="n"/>
      <c r="AZ32" s="59" t="n"/>
      <c r="BA32" s="59" t="n"/>
      <c r="BB32" s="59" t="n"/>
      <c r="BC32" s="59" t="n"/>
      <c r="BD32" s="59" t="n"/>
      <c r="BE32" s="59" t="n"/>
    </row>
    <row r="33">
      <c r="A33" s="10" t="n"/>
      <c r="B33" s="10" t="n"/>
      <c r="C33" s="14" t="n"/>
      <c r="D33" s="12" t="n"/>
      <c r="E33" s="57" t="inlineStr">
        <is>
          <t>% Acumulado</t>
        </is>
      </c>
      <c r="F33" s="60" t="n">
        <v>0.0261</v>
      </c>
      <c r="G33" s="60" t="n">
        <v>0.0521</v>
      </c>
      <c r="H33" s="60" t="n">
        <v>0.07820000000000001</v>
      </c>
      <c r="I33" s="60" t="n">
        <v>0.1043</v>
      </c>
      <c r="J33" s="60" t="n">
        <v>0.1303</v>
      </c>
      <c r="K33" s="60" t="n">
        <v>0.1564</v>
      </c>
      <c r="L33" s="60" t="n">
        <v>0.1825</v>
      </c>
      <c r="M33" s="60" t="n">
        <v>0.2085</v>
      </c>
      <c r="N33" s="60" t="n">
        <v>0.2346</v>
      </c>
      <c r="O33" s="60" t="n">
        <v>0.2607</v>
      </c>
      <c r="P33" s="60" t="n">
        <v>0.2867</v>
      </c>
      <c r="Q33" s="60" t="n">
        <v>0.3128</v>
      </c>
      <c r="R33" s="60" t="n">
        <v>0.3389</v>
      </c>
      <c r="S33" s="60" t="n">
        <v>0.365</v>
      </c>
      <c r="T33" s="60" t="n">
        <v>0.391</v>
      </c>
      <c r="U33" s="60" t="n">
        <v>0.4171</v>
      </c>
      <c r="V33" s="60" t="n">
        <v>0.4432</v>
      </c>
      <c r="W33" s="60" t="n">
        <v>0.4675</v>
      </c>
      <c r="X33" s="60" t="n">
        <v>0.4918</v>
      </c>
      <c r="Y33" s="60" t="n">
        <v>0.5161</v>
      </c>
      <c r="Z33" s="60" t="n">
        <v>0.5405</v>
      </c>
      <c r="AA33" s="60" t="n">
        <v>0.5649</v>
      </c>
      <c r="AB33" s="60" t="n">
        <v>0.5891999999999999</v>
      </c>
      <c r="AC33" s="60" t="n">
        <v>0.6136</v>
      </c>
      <c r="AD33" s="60" t="n">
        <v>0.638</v>
      </c>
      <c r="AE33" s="60" t="n">
        <v>0.6624</v>
      </c>
      <c r="AF33" s="60" t="n">
        <v>0.6868</v>
      </c>
      <c r="AG33" s="60" t="n">
        <v>0.7112000000000001</v>
      </c>
      <c r="AH33" s="60" t="n">
        <v>0.7356</v>
      </c>
      <c r="AI33" s="60" t="n">
        <v>0.76</v>
      </c>
      <c r="AJ33" s="60" t="n">
        <v>0.7818000000000001</v>
      </c>
      <c r="AK33" s="60" t="n">
        <v>0.8037</v>
      </c>
      <c r="AL33" s="60" t="n">
        <v>0.8255</v>
      </c>
      <c r="AM33" s="60" t="n">
        <v>0.8474</v>
      </c>
      <c r="AN33" s="60" t="n">
        <v>0.8679</v>
      </c>
      <c r="AO33" s="60" t="n">
        <v>0.8884</v>
      </c>
      <c r="AP33" s="60" t="n">
        <v>0.9089</v>
      </c>
      <c r="AQ33" s="60" t="n">
        <v>0.9293</v>
      </c>
      <c r="AR33" s="60" t="n">
        <v>0.9453</v>
      </c>
      <c r="AS33" s="60" t="n">
        <v>0.9613</v>
      </c>
      <c r="AT33" s="60" t="n">
        <v>0.9772999999999999</v>
      </c>
      <c r="AU33" s="60" t="n">
        <v>0.9932</v>
      </c>
      <c r="AV33" s="60" t="n">
        <v>1</v>
      </c>
      <c r="AW33" s="60" t="n">
        <v>1</v>
      </c>
      <c r="AX33" s="60" t="n">
        <v>1</v>
      </c>
      <c r="AY33" s="60" t="n">
        <v>1</v>
      </c>
      <c r="AZ33" s="60" t="n">
        <v>1</v>
      </c>
      <c r="BA33" s="60" t="n">
        <v>1</v>
      </c>
      <c r="BB33" s="60" t="n">
        <v>1</v>
      </c>
      <c r="BC33" s="60" t="n">
        <v>1</v>
      </c>
      <c r="BD33" s="60" t="n">
        <v>1</v>
      </c>
      <c r="BE33" s="60" t="n">
        <v>1</v>
      </c>
    </row>
    <row r="34">
      <c r="A34" s="61" t="inlineStr">
        <is>
          <t>eap-1_5</t>
        </is>
      </c>
      <c r="B34" s="61" t="inlineStr">
        <is>
          <t>Esc/carg/transp 3aCat DMT&lt;=2000m</t>
        </is>
      </c>
      <c r="C34" s="62" t="inlineStr">
        <is>
          <t>m3</t>
        </is>
      </c>
      <c r="D34" s="63" t="n">
        <v>304634.4556</v>
      </c>
      <c r="E34" s="64" t="inlineStr">
        <is>
          <t>Dias Trabalhados</t>
        </is>
      </c>
      <c r="F34" s="65" t="n">
        <v>6</v>
      </c>
      <c r="G34" s="65" t="n">
        <v>6</v>
      </c>
      <c r="H34" s="65" t="n">
        <v>6</v>
      </c>
      <c r="I34" s="65" t="n">
        <v>6</v>
      </c>
      <c r="J34" s="65" t="n">
        <v>6</v>
      </c>
      <c r="K34" s="65" t="n">
        <v>6</v>
      </c>
      <c r="L34" s="65" t="n">
        <v>6</v>
      </c>
      <c r="M34" s="65" t="n">
        <v>6</v>
      </c>
      <c r="N34" s="65" t="n">
        <v>6</v>
      </c>
      <c r="O34" s="65" t="n">
        <v>6</v>
      </c>
      <c r="P34" s="65" t="n">
        <v>6</v>
      </c>
      <c r="Q34" s="65" t="n">
        <v>6</v>
      </c>
      <c r="R34" s="65" t="n">
        <v>6</v>
      </c>
      <c r="S34" s="65" t="n">
        <v>6</v>
      </c>
      <c r="T34" s="65" t="n">
        <v>6</v>
      </c>
      <c r="U34" s="65" t="n">
        <v>6</v>
      </c>
      <c r="V34" s="65" t="n">
        <v>6</v>
      </c>
      <c r="W34" s="65" t="n">
        <v>6</v>
      </c>
      <c r="X34" s="65" t="n">
        <v>6</v>
      </c>
      <c r="Y34" s="65" t="n">
        <v>6</v>
      </c>
      <c r="Z34" s="65" t="n">
        <v>6</v>
      </c>
      <c r="AA34" s="65" t="n">
        <v>6</v>
      </c>
      <c r="AB34" s="65" t="n">
        <v>6</v>
      </c>
      <c r="AC34" s="65" t="n">
        <v>6</v>
      </c>
      <c r="AD34" s="65" t="n">
        <v>6</v>
      </c>
      <c r="AE34" s="65" t="n">
        <v>6</v>
      </c>
      <c r="AF34" s="65" t="n">
        <v>6</v>
      </c>
      <c r="AG34" s="65" t="n">
        <v>6</v>
      </c>
      <c r="AH34" s="65" t="n">
        <v>6</v>
      </c>
      <c r="AI34" s="65" t="n">
        <v>6</v>
      </c>
      <c r="AJ34" s="65" t="n">
        <v>6</v>
      </c>
      <c r="AK34" s="65" t="n">
        <v>6</v>
      </c>
      <c r="AL34" s="65" t="n">
        <v>6</v>
      </c>
      <c r="AM34" s="65" t="n">
        <v>6</v>
      </c>
      <c r="AN34" s="65" t="n">
        <v>6</v>
      </c>
      <c r="AO34" s="65" t="n">
        <v>6</v>
      </c>
      <c r="AP34" s="65" t="n">
        <v>6</v>
      </c>
      <c r="AQ34" s="65" t="n">
        <v>6</v>
      </c>
      <c r="AR34" s="65" t="n">
        <v>6</v>
      </c>
      <c r="AS34" s="65" t="n">
        <v>6</v>
      </c>
      <c r="AT34" s="65" t="n">
        <v>6</v>
      </c>
      <c r="AU34" s="65" t="n">
        <v>6</v>
      </c>
      <c r="AV34" s="65" t="n">
        <v>6</v>
      </c>
      <c r="AW34" s="65" t="n">
        <v>6</v>
      </c>
      <c r="AX34" s="65" t="n">
        <v>6</v>
      </c>
      <c r="AY34" s="65" t="n">
        <v>6</v>
      </c>
      <c r="AZ34" s="65" t="n">
        <v>6</v>
      </c>
      <c r="BA34" s="65" t="n">
        <v>6</v>
      </c>
      <c r="BB34" s="65" t="n">
        <v>6</v>
      </c>
      <c r="BC34" s="66" t="n"/>
      <c r="BD34" s="66" t="n"/>
      <c r="BE34" s="66" t="n"/>
    </row>
    <row r="35">
      <c r="A35" s="20" t="n"/>
      <c r="B35" s="20" t="n"/>
      <c r="C35" s="24" t="n"/>
      <c r="D35" s="22" t="n"/>
      <c r="E35" s="67" t="inlineStr">
        <is>
          <t>Nº De Equipes</t>
        </is>
      </c>
      <c r="F35" s="68" t="n">
        <v>4</v>
      </c>
      <c r="G35" s="68" t="n">
        <v>4</v>
      </c>
      <c r="H35" s="68" t="n">
        <v>4</v>
      </c>
      <c r="I35" s="68" t="n">
        <v>4</v>
      </c>
      <c r="J35" s="68" t="n">
        <v>4</v>
      </c>
      <c r="K35" s="68" t="n">
        <v>4</v>
      </c>
      <c r="L35" s="68" t="n">
        <v>4</v>
      </c>
      <c r="M35" s="68" t="n">
        <v>4</v>
      </c>
      <c r="N35" s="68" t="n">
        <v>4</v>
      </c>
      <c r="O35" s="68" t="n">
        <v>4</v>
      </c>
      <c r="P35" s="68" t="n">
        <v>4</v>
      </c>
      <c r="Q35" s="68" t="n">
        <v>4</v>
      </c>
      <c r="R35" s="68" t="n">
        <v>4</v>
      </c>
      <c r="S35" s="68" t="n">
        <v>4</v>
      </c>
      <c r="T35" s="68" t="n">
        <v>4</v>
      </c>
      <c r="U35" s="68" t="n">
        <v>4</v>
      </c>
      <c r="V35" s="68" t="n">
        <v>4</v>
      </c>
      <c r="W35" s="68" t="n">
        <v>4</v>
      </c>
      <c r="X35" s="68" t="n">
        <v>4</v>
      </c>
      <c r="Y35" s="68" t="n">
        <v>4</v>
      </c>
      <c r="Z35" s="68" t="n">
        <v>4</v>
      </c>
      <c r="AA35" s="68" t="n">
        <v>4</v>
      </c>
      <c r="AB35" s="68" t="n">
        <v>4</v>
      </c>
      <c r="AC35" s="68" t="n">
        <v>4</v>
      </c>
      <c r="AD35" s="68" t="n">
        <v>4</v>
      </c>
      <c r="AE35" s="68" t="n">
        <v>4</v>
      </c>
      <c r="AF35" s="68" t="n">
        <v>4</v>
      </c>
      <c r="AG35" s="68" t="n">
        <v>4</v>
      </c>
      <c r="AH35" s="68" t="n">
        <v>4</v>
      </c>
      <c r="AI35" s="68" t="n">
        <v>4</v>
      </c>
      <c r="AJ35" s="68" t="n">
        <v>4</v>
      </c>
      <c r="AK35" s="68" t="n">
        <v>4</v>
      </c>
      <c r="AL35" s="68" t="n">
        <v>4</v>
      </c>
      <c r="AM35" s="68" t="n">
        <v>4</v>
      </c>
      <c r="AN35" s="68" t="n">
        <v>4</v>
      </c>
      <c r="AO35" s="68" t="n">
        <v>4</v>
      </c>
      <c r="AP35" s="68" t="n">
        <v>4</v>
      </c>
      <c r="AQ35" s="68" t="n">
        <v>4</v>
      </c>
      <c r="AR35" s="68" t="n">
        <v>4</v>
      </c>
      <c r="AS35" s="68" t="n">
        <v>4</v>
      </c>
      <c r="AT35" s="68" t="n">
        <v>4</v>
      </c>
      <c r="AU35" s="68" t="n">
        <v>4</v>
      </c>
      <c r="AV35" s="68" t="n">
        <v>4</v>
      </c>
      <c r="AW35" s="68" t="n">
        <v>4</v>
      </c>
      <c r="AX35" s="68" t="n">
        <v>4</v>
      </c>
      <c r="AY35" s="68" t="n">
        <v>4</v>
      </c>
      <c r="AZ35" s="68" t="n">
        <v>4</v>
      </c>
      <c r="BA35" s="68" t="n">
        <v>4</v>
      </c>
      <c r="BB35" s="68" t="n">
        <v>4</v>
      </c>
      <c r="BC35" s="69" t="n"/>
      <c r="BD35" s="69" t="n"/>
      <c r="BE35" s="69" t="n"/>
    </row>
    <row r="36">
      <c r="A36" s="20" t="n"/>
      <c r="B36" s="20" t="n"/>
      <c r="C36" s="24" t="n"/>
      <c r="D36" s="22" t="n"/>
      <c r="E36" s="67" t="inlineStr">
        <is>
          <t>Qtd. Planejada</t>
        </is>
      </c>
      <c r="F36" s="33" t="n">
        <v>27751.96</v>
      </c>
      <c r="G36" s="33" t="n">
        <v>27751.96</v>
      </c>
      <c r="H36" s="33" t="n">
        <v>27751.96</v>
      </c>
      <c r="I36" s="33" t="n">
        <v>27751.96</v>
      </c>
      <c r="J36" s="33" t="n">
        <v>27751.96</v>
      </c>
      <c r="K36" s="33" t="n">
        <v>27751.96</v>
      </c>
      <c r="L36" s="33" t="n">
        <v>27751.96</v>
      </c>
      <c r="M36" s="33" t="n">
        <v>27751.96</v>
      </c>
      <c r="N36" s="33" t="n">
        <v>27751.96</v>
      </c>
      <c r="O36" s="33" t="n">
        <v>27751.96</v>
      </c>
      <c r="P36" s="33" t="n">
        <v>27114.83</v>
      </c>
      <c r="Q36" s="69" t="n"/>
      <c r="R36" s="69" t="n"/>
      <c r="S36" s="69" t="n"/>
      <c r="T36" s="69" t="n"/>
      <c r="U36" s="69" t="n"/>
      <c r="V36" s="69" t="n"/>
      <c r="W36" s="69" t="n"/>
      <c r="X36" s="69" t="n"/>
      <c r="Y36" s="69" t="n"/>
      <c r="Z36" s="69" t="n"/>
      <c r="AA36" s="69" t="n"/>
      <c r="AB36" s="69" t="n"/>
      <c r="AC36" s="69" t="n"/>
      <c r="AD36" s="69" t="n"/>
      <c r="AE36" s="69" t="n"/>
      <c r="AF36" s="69" t="n"/>
      <c r="AG36" s="69" t="n"/>
      <c r="AH36" s="69" t="n"/>
      <c r="AI36" s="69" t="n"/>
      <c r="AJ36" s="69" t="n"/>
      <c r="AK36" s="69" t="n"/>
      <c r="AL36" s="69" t="n"/>
      <c r="AM36" s="69" t="n"/>
      <c r="AN36" s="69" t="n"/>
      <c r="AO36" s="69" t="n"/>
      <c r="AP36" s="69" t="n"/>
      <c r="AQ36" s="69" t="n"/>
      <c r="AR36" s="69" t="n"/>
      <c r="AS36" s="69" t="n"/>
      <c r="AT36" s="69" t="n"/>
      <c r="AU36" s="69" t="n"/>
      <c r="AV36" s="69" t="n"/>
      <c r="AW36" s="69" t="n"/>
      <c r="AX36" s="69" t="n"/>
      <c r="AY36" s="69" t="n"/>
      <c r="AZ36" s="69" t="n"/>
      <c r="BA36" s="69" t="n"/>
      <c r="BB36" s="69" t="n"/>
      <c r="BC36" s="69" t="n"/>
      <c r="BD36" s="69" t="n"/>
      <c r="BE36" s="69" t="n"/>
    </row>
    <row r="37">
      <c r="A37" s="20" t="n"/>
      <c r="B37" s="20" t="n"/>
      <c r="C37" s="24" t="n"/>
      <c r="D37" s="22" t="n"/>
      <c r="E37" s="67" t="inlineStr">
        <is>
          <t>Qtd Plan. Acumulada</t>
        </is>
      </c>
      <c r="F37" s="33" t="n">
        <v>27751.96</v>
      </c>
      <c r="G37" s="33" t="n">
        <v>55503.93</v>
      </c>
      <c r="H37" s="33" t="n">
        <v>83255.89</v>
      </c>
      <c r="I37" s="33" t="n">
        <v>111007.85</v>
      </c>
      <c r="J37" s="33" t="n">
        <v>138759.81</v>
      </c>
      <c r="K37" s="33" t="n">
        <v>166511.78</v>
      </c>
      <c r="L37" s="33" t="n">
        <v>194263.74</v>
      </c>
      <c r="M37" s="33" t="n">
        <v>222015.7</v>
      </c>
      <c r="N37" s="33" t="n">
        <v>249767.67</v>
      </c>
      <c r="O37" s="33" t="n">
        <v>277519.63</v>
      </c>
      <c r="P37" s="33" t="n">
        <v>304634.46</v>
      </c>
      <c r="Q37" s="33" t="n">
        <v>304634.46</v>
      </c>
      <c r="R37" s="33" t="n">
        <v>304634.46</v>
      </c>
      <c r="S37" s="33" t="n">
        <v>304634.46</v>
      </c>
      <c r="T37" s="33" t="n">
        <v>304634.46</v>
      </c>
      <c r="U37" s="33" t="n">
        <v>304634.46</v>
      </c>
      <c r="V37" s="33" t="n">
        <v>304634.46</v>
      </c>
      <c r="W37" s="33" t="n">
        <v>304634.46</v>
      </c>
      <c r="X37" s="33" t="n">
        <v>304634.46</v>
      </c>
      <c r="Y37" s="33" t="n">
        <v>304634.46</v>
      </c>
      <c r="Z37" s="33" t="n">
        <v>304634.46</v>
      </c>
      <c r="AA37" s="33" t="n">
        <v>304634.46</v>
      </c>
      <c r="AB37" s="33" t="n">
        <v>304634.46</v>
      </c>
      <c r="AC37" s="33" t="n">
        <v>304634.46</v>
      </c>
      <c r="AD37" s="33" t="n">
        <v>304634.46</v>
      </c>
      <c r="AE37" s="33" t="n">
        <v>304634.46</v>
      </c>
      <c r="AF37" s="33" t="n">
        <v>304634.46</v>
      </c>
      <c r="AG37" s="33" t="n">
        <v>304634.46</v>
      </c>
      <c r="AH37" s="33" t="n">
        <v>304634.46</v>
      </c>
      <c r="AI37" s="33" t="n">
        <v>304634.46</v>
      </c>
      <c r="AJ37" s="33" t="n">
        <v>304634.46</v>
      </c>
      <c r="AK37" s="33" t="n">
        <v>304634.46</v>
      </c>
      <c r="AL37" s="33" t="n">
        <v>304634.46</v>
      </c>
      <c r="AM37" s="33" t="n">
        <v>304634.46</v>
      </c>
      <c r="AN37" s="33" t="n">
        <v>304634.46</v>
      </c>
      <c r="AO37" s="33" t="n">
        <v>304634.46</v>
      </c>
      <c r="AP37" s="33" t="n">
        <v>304634.46</v>
      </c>
      <c r="AQ37" s="33" t="n">
        <v>304634.46</v>
      </c>
      <c r="AR37" s="33" t="n">
        <v>304634.46</v>
      </c>
      <c r="AS37" s="33" t="n">
        <v>304634.46</v>
      </c>
      <c r="AT37" s="33" t="n">
        <v>304634.46</v>
      </c>
      <c r="AU37" s="33" t="n">
        <v>304634.46</v>
      </c>
      <c r="AV37" s="33" t="n">
        <v>304634.46</v>
      </c>
      <c r="AW37" s="33" t="n">
        <v>304634.46</v>
      </c>
      <c r="AX37" s="33" t="n">
        <v>304634.46</v>
      </c>
      <c r="AY37" s="33" t="n">
        <v>304634.46</v>
      </c>
      <c r="AZ37" s="33" t="n">
        <v>304634.46</v>
      </c>
      <c r="BA37" s="33" t="n">
        <v>304634.46</v>
      </c>
      <c r="BB37" s="33" t="n">
        <v>304634.46</v>
      </c>
      <c r="BC37" s="33" t="n">
        <v>304634.46</v>
      </c>
      <c r="BD37" s="33" t="n">
        <v>304634.46</v>
      </c>
      <c r="BE37" s="33" t="n">
        <v>304634.46</v>
      </c>
    </row>
    <row r="38">
      <c r="A38" s="20" t="n"/>
      <c r="B38" s="20" t="n"/>
      <c r="C38" s="24" t="n"/>
      <c r="D38" s="22" t="n"/>
      <c r="E38" s="67" t="inlineStr">
        <is>
          <t>% Semanal</t>
        </is>
      </c>
      <c r="F38" s="70" t="n">
        <v>0.0911</v>
      </c>
      <c r="G38" s="70" t="n">
        <v>0.0911</v>
      </c>
      <c r="H38" s="70" t="n">
        <v>0.0911</v>
      </c>
      <c r="I38" s="70" t="n">
        <v>0.0911</v>
      </c>
      <c r="J38" s="70" t="n">
        <v>0.0911</v>
      </c>
      <c r="K38" s="70" t="n">
        <v>0.0911</v>
      </c>
      <c r="L38" s="70" t="n">
        <v>0.0911</v>
      </c>
      <c r="M38" s="70" t="n">
        <v>0.0911</v>
      </c>
      <c r="N38" s="70" t="n">
        <v>0.0911</v>
      </c>
      <c r="O38" s="70" t="n">
        <v>0.0911</v>
      </c>
      <c r="P38" s="70" t="n">
        <v>0.089</v>
      </c>
      <c r="Q38" s="69" t="n"/>
      <c r="R38" s="69" t="n"/>
      <c r="S38" s="69" t="n"/>
      <c r="T38" s="69" t="n"/>
      <c r="U38" s="69" t="n"/>
      <c r="V38" s="69" t="n"/>
      <c r="W38" s="69" t="n"/>
      <c r="X38" s="69" t="n"/>
      <c r="Y38" s="69" t="n"/>
      <c r="Z38" s="69" t="n"/>
      <c r="AA38" s="69" t="n"/>
      <c r="AB38" s="69" t="n"/>
      <c r="AC38" s="69" t="n"/>
      <c r="AD38" s="69" t="n"/>
      <c r="AE38" s="69" t="n"/>
      <c r="AF38" s="69" t="n"/>
      <c r="AG38" s="69" t="n"/>
      <c r="AH38" s="69" t="n"/>
      <c r="AI38" s="69" t="n"/>
      <c r="AJ38" s="69" t="n"/>
      <c r="AK38" s="69" t="n"/>
      <c r="AL38" s="69" t="n"/>
      <c r="AM38" s="69" t="n"/>
      <c r="AN38" s="69" t="n"/>
      <c r="AO38" s="69" t="n"/>
      <c r="AP38" s="69" t="n"/>
      <c r="AQ38" s="69" t="n"/>
      <c r="AR38" s="69" t="n"/>
      <c r="AS38" s="69" t="n"/>
      <c r="AT38" s="69" t="n"/>
      <c r="AU38" s="69" t="n"/>
      <c r="AV38" s="69" t="n"/>
      <c r="AW38" s="69" t="n"/>
      <c r="AX38" s="69" t="n"/>
      <c r="AY38" s="69" t="n"/>
      <c r="AZ38" s="69" t="n"/>
      <c r="BA38" s="69" t="n"/>
      <c r="BB38" s="69" t="n"/>
      <c r="BC38" s="69" t="n"/>
      <c r="BD38" s="69" t="n"/>
      <c r="BE38" s="69" t="n"/>
    </row>
    <row r="39">
      <c r="A39" s="20" t="n"/>
      <c r="B39" s="20" t="n"/>
      <c r="C39" s="24" t="n"/>
      <c r="D39" s="22" t="n"/>
      <c r="E39" s="67" t="inlineStr">
        <is>
          <t>% Acumulado</t>
        </is>
      </c>
      <c r="F39" s="70" t="n">
        <v>0.0911</v>
      </c>
      <c r="G39" s="70" t="n">
        <v>0.1822</v>
      </c>
      <c r="H39" s="70" t="n">
        <v>0.2733</v>
      </c>
      <c r="I39" s="70" t="n">
        <v>0.3644</v>
      </c>
      <c r="J39" s="70" t="n">
        <v>0.4555</v>
      </c>
      <c r="K39" s="70" t="n">
        <v>0.5466</v>
      </c>
      <c r="L39" s="70" t="n">
        <v>0.6377</v>
      </c>
      <c r="M39" s="70" t="n">
        <v>0.7288</v>
      </c>
      <c r="N39" s="70" t="n">
        <v>0.8199</v>
      </c>
      <c r="O39" s="70" t="n">
        <v>0.911</v>
      </c>
      <c r="P39" s="70" t="n">
        <v>1</v>
      </c>
      <c r="Q39" s="70" t="n">
        <v>1</v>
      </c>
      <c r="R39" s="70" t="n">
        <v>1</v>
      </c>
      <c r="S39" s="70" t="n">
        <v>1</v>
      </c>
      <c r="T39" s="70" t="n">
        <v>1</v>
      </c>
      <c r="U39" s="70" t="n">
        <v>1</v>
      </c>
      <c r="V39" s="70" t="n">
        <v>1</v>
      </c>
      <c r="W39" s="70" t="n">
        <v>1</v>
      </c>
      <c r="X39" s="70" t="n">
        <v>1</v>
      </c>
      <c r="Y39" s="70" t="n">
        <v>1</v>
      </c>
      <c r="Z39" s="70" t="n">
        <v>1</v>
      </c>
      <c r="AA39" s="70" t="n">
        <v>1</v>
      </c>
      <c r="AB39" s="70" t="n">
        <v>1</v>
      </c>
      <c r="AC39" s="70" t="n">
        <v>1</v>
      </c>
      <c r="AD39" s="70" t="n">
        <v>1</v>
      </c>
      <c r="AE39" s="70" t="n">
        <v>1</v>
      </c>
      <c r="AF39" s="70" t="n">
        <v>1</v>
      </c>
      <c r="AG39" s="70" t="n">
        <v>1</v>
      </c>
      <c r="AH39" s="70" t="n">
        <v>1</v>
      </c>
      <c r="AI39" s="70" t="n">
        <v>1</v>
      </c>
      <c r="AJ39" s="70" t="n">
        <v>1</v>
      </c>
      <c r="AK39" s="70" t="n">
        <v>1</v>
      </c>
      <c r="AL39" s="70" t="n">
        <v>1</v>
      </c>
      <c r="AM39" s="70" t="n">
        <v>1</v>
      </c>
      <c r="AN39" s="70" t="n">
        <v>1</v>
      </c>
      <c r="AO39" s="70" t="n">
        <v>1</v>
      </c>
      <c r="AP39" s="70" t="n">
        <v>1</v>
      </c>
      <c r="AQ39" s="70" t="n">
        <v>1</v>
      </c>
      <c r="AR39" s="70" t="n">
        <v>1</v>
      </c>
      <c r="AS39" s="70" t="n">
        <v>1</v>
      </c>
      <c r="AT39" s="70" t="n">
        <v>1</v>
      </c>
      <c r="AU39" s="70" t="n">
        <v>1</v>
      </c>
      <c r="AV39" s="70" t="n">
        <v>1</v>
      </c>
      <c r="AW39" s="70" t="n">
        <v>1</v>
      </c>
      <c r="AX39" s="70" t="n">
        <v>1</v>
      </c>
      <c r="AY39" s="70" t="n">
        <v>1</v>
      </c>
      <c r="AZ39" s="70" t="n">
        <v>1</v>
      </c>
      <c r="BA39" s="70" t="n">
        <v>1</v>
      </c>
      <c r="BB39" s="70" t="n">
        <v>1</v>
      </c>
      <c r="BC39" s="70" t="n">
        <v>1</v>
      </c>
      <c r="BD39" s="70" t="n">
        <v>1</v>
      </c>
      <c r="BE39" s="70" t="n">
        <v>1</v>
      </c>
    </row>
    <row r="40">
      <c r="A40" s="16" t="inlineStr">
        <is>
          <t>eap-1_6</t>
        </is>
      </c>
      <c r="B40" s="16" t="inlineStr">
        <is>
          <t>Esc/carg/transp 3aCat DMT&lt;=3000m</t>
        </is>
      </c>
      <c r="C40" s="52" t="inlineStr">
        <is>
          <t>m3</t>
        </is>
      </c>
      <c r="D40" s="53" t="n">
        <v>676519.0444</v>
      </c>
      <c r="E40" s="54" t="inlineStr">
        <is>
          <t>Dias Trabalhados</t>
        </is>
      </c>
      <c r="F40" s="55" t="n">
        <v>6</v>
      </c>
      <c r="G40" s="55" t="n">
        <v>6</v>
      </c>
      <c r="H40" s="55" t="n">
        <v>6</v>
      </c>
      <c r="I40" s="55" t="n">
        <v>6</v>
      </c>
      <c r="J40" s="55" t="n">
        <v>6</v>
      </c>
      <c r="K40" s="55" t="n">
        <v>6</v>
      </c>
      <c r="L40" s="55" t="n">
        <v>6</v>
      </c>
      <c r="M40" s="55" t="n">
        <v>6</v>
      </c>
      <c r="N40" s="55" t="n">
        <v>6</v>
      </c>
      <c r="O40" s="55" t="n">
        <v>6</v>
      </c>
      <c r="P40" s="55" t="n">
        <v>6</v>
      </c>
      <c r="Q40" s="55" t="n">
        <v>6</v>
      </c>
      <c r="R40" s="55" t="n">
        <v>6</v>
      </c>
      <c r="S40" s="55" t="n">
        <v>6</v>
      </c>
      <c r="T40" s="55" t="n">
        <v>6</v>
      </c>
      <c r="U40" s="55" t="n">
        <v>6</v>
      </c>
      <c r="V40" s="55" t="n">
        <v>6</v>
      </c>
      <c r="W40" s="55" t="n">
        <v>6</v>
      </c>
      <c r="X40" s="55" t="n">
        <v>6</v>
      </c>
      <c r="Y40" s="55" t="n">
        <v>6</v>
      </c>
      <c r="Z40" s="55" t="n">
        <v>6</v>
      </c>
      <c r="AA40" s="55" t="n">
        <v>6</v>
      </c>
      <c r="AB40" s="55" t="n">
        <v>6</v>
      </c>
      <c r="AC40" s="55" t="n">
        <v>6</v>
      </c>
      <c r="AD40" s="55" t="n">
        <v>6</v>
      </c>
      <c r="AE40" s="55" t="n">
        <v>6</v>
      </c>
      <c r="AF40" s="55" t="n">
        <v>6</v>
      </c>
      <c r="AG40" s="55" t="n">
        <v>6</v>
      </c>
      <c r="AH40" s="55" t="n">
        <v>6</v>
      </c>
      <c r="AI40" s="55" t="n">
        <v>6</v>
      </c>
      <c r="AJ40" s="55" t="n">
        <v>6</v>
      </c>
      <c r="AK40" s="55" t="n">
        <v>6</v>
      </c>
      <c r="AL40" s="55" t="n">
        <v>6</v>
      </c>
      <c r="AM40" s="55" t="n">
        <v>6</v>
      </c>
      <c r="AN40" s="55" t="n">
        <v>6</v>
      </c>
      <c r="AO40" s="55" t="n">
        <v>6</v>
      </c>
      <c r="AP40" s="55" t="n">
        <v>6</v>
      </c>
      <c r="AQ40" s="55" t="n">
        <v>6</v>
      </c>
      <c r="AR40" s="55" t="n">
        <v>6</v>
      </c>
      <c r="AS40" s="55" t="n">
        <v>6</v>
      </c>
      <c r="AT40" s="55" t="n">
        <v>6</v>
      </c>
      <c r="AU40" s="55" t="n">
        <v>6</v>
      </c>
      <c r="AV40" s="55" t="n">
        <v>6</v>
      </c>
      <c r="AW40" s="55" t="n">
        <v>6</v>
      </c>
      <c r="AX40" s="55" t="n">
        <v>6</v>
      </c>
      <c r="AY40" s="55" t="n">
        <v>6</v>
      </c>
      <c r="AZ40" s="55" t="n">
        <v>6</v>
      </c>
      <c r="BA40" s="55" t="n">
        <v>6</v>
      </c>
      <c r="BB40" s="55" t="n">
        <v>6</v>
      </c>
      <c r="BC40" s="56" t="n"/>
      <c r="BD40" s="56" t="n"/>
      <c r="BE40" s="56" t="n"/>
    </row>
    <row r="41">
      <c r="A41" s="10" t="n"/>
      <c r="B41" s="10" t="n"/>
      <c r="C41" s="14" t="n"/>
      <c r="D41" s="12" t="n"/>
      <c r="E41" s="57" t="inlineStr">
        <is>
          <t>Nº De Equipes</t>
        </is>
      </c>
      <c r="F41" s="58" t="n">
        <v>4</v>
      </c>
      <c r="G41" s="58" t="n">
        <v>4</v>
      </c>
      <c r="H41" s="58" t="n">
        <v>4</v>
      </c>
      <c r="I41" s="58" t="n">
        <v>4</v>
      </c>
      <c r="J41" s="58" t="n">
        <v>4</v>
      </c>
      <c r="K41" s="58" t="n">
        <v>4</v>
      </c>
      <c r="L41" s="58" t="n">
        <v>4</v>
      </c>
      <c r="M41" s="58" t="n">
        <v>4</v>
      </c>
      <c r="N41" s="58" t="n">
        <v>4</v>
      </c>
      <c r="O41" s="58" t="n">
        <v>4</v>
      </c>
      <c r="P41" s="58" t="n">
        <v>4</v>
      </c>
      <c r="Q41" s="58" t="n">
        <v>4</v>
      </c>
      <c r="R41" s="58" t="n">
        <v>4</v>
      </c>
      <c r="S41" s="58" t="n">
        <v>4</v>
      </c>
      <c r="T41" s="58" t="n">
        <v>4</v>
      </c>
      <c r="U41" s="58" t="n">
        <v>4</v>
      </c>
      <c r="V41" s="58" t="n">
        <v>4</v>
      </c>
      <c r="W41" s="58" t="n">
        <v>4</v>
      </c>
      <c r="X41" s="58" t="n">
        <v>4</v>
      </c>
      <c r="Y41" s="58" t="n">
        <v>4</v>
      </c>
      <c r="Z41" s="58" t="n">
        <v>4</v>
      </c>
      <c r="AA41" s="58" t="n">
        <v>4</v>
      </c>
      <c r="AB41" s="58" t="n">
        <v>4</v>
      </c>
      <c r="AC41" s="58" t="n">
        <v>4</v>
      </c>
      <c r="AD41" s="58" t="n">
        <v>4</v>
      </c>
      <c r="AE41" s="58" t="n">
        <v>4</v>
      </c>
      <c r="AF41" s="58" t="n">
        <v>4</v>
      </c>
      <c r="AG41" s="58" t="n">
        <v>4</v>
      </c>
      <c r="AH41" s="58" t="n">
        <v>4</v>
      </c>
      <c r="AI41" s="58" t="n">
        <v>4</v>
      </c>
      <c r="AJ41" s="58" t="n">
        <v>4</v>
      </c>
      <c r="AK41" s="58" t="n">
        <v>4</v>
      </c>
      <c r="AL41" s="58" t="n">
        <v>4</v>
      </c>
      <c r="AM41" s="58" t="n">
        <v>4</v>
      </c>
      <c r="AN41" s="58" t="n">
        <v>4</v>
      </c>
      <c r="AO41" s="58" t="n">
        <v>4</v>
      </c>
      <c r="AP41" s="58" t="n">
        <v>4</v>
      </c>
      <c r="AQ41" s="58" t="n">
        <v>4</v>
      </c>
      <c r="AR41" s="58" t="n">
        <v>4</v>
      </c>
      <c r="AS41" s="58" t="n">
        <v>4</v>
      </c>
      <c r="AT41" s="58" t="n">
        <v>4</v>
      </c>
      <c r="AU41" s="58" t="n">
        <v>4</v>
      </c>
      <c r="AV41" s="58" t="n">
        <v>4</v>
      </c>
      <c r="AW41" s="58" t="n">
        <v>4</v>
      </c>
      <c r="AX41" s="58" t="n">
        <v>4</v>
      </c>
      <c r="AY41" s="58" t="n">
        <v>4</v>
      </c>
      <c r="AZ41" s="58" t="n">
        <v>4</v>
      </c>
      <c r="BA41" s="58" t="n">
        <v>4</v>
      </c>
      <c r="BB41" s="58" t="n">
        <v>4</v>
      </c>
      <c r="BC41" s="59" t="n"/>
      <c r="BD41" s="59" t="n"/>
      <c r="BE41" s="59" t="n"/>
    </row>
    <row r="42">
      <c r="A42" s="10" t="n"/>
      <c r="B42" s="10" t="n"/>
      <c r="C42" s="14" t="n"/>
      <c r="D42" s="12" t="n"/>
      <c r="E42" s="57" t="inlineStr">
        <is>
          <t>Qtd. Planejada</t>
        </is>
      </c>
      <c r="F42" s="30" t="n">
        <v>27751.96</v>
      </c>
      <c r="G42" s="30" t="n">
        <v>27751.96</v>
      </c>
      <c r="H42" s="30" t="n">
        <v>27751.96</v>
      </c>
      <c r="I42" s="30" t="n">
        <v>27751.96</v>
      </c>
      <c r="J42" s="30" t="n">
        <v>27751.96</v>
      </c>
      <c r="K42" s="30" t="n">
        <v>27751.96</v>
      </c>
      <c r="L42" s="30" t="n">
        <v>27751.96</v>
      </c>
      <c r="M42" s="30" t="n">
        <v>27751.96</v>
      </c>
      <c r="N42" s="30" t="n">
        <v>27751.96</v>
      </c>
      <c r="O42" s="30" t="n">
        <v>27751.96</v>
      </c>
      <c r="P42" s="30" t="n">
        <v>27751.96</v>
      </c>
      <c r="Q42" s="30" t="n">
        <v>27751.96</v>
      </c>
      <c r="R42" s="30" t="n">
        <v>27751.96</v>
      </c>
      <c r="S42" s="30" t="n">
        <v>27751.96</v>
      </c>
      <c r="T42" s="30" t="n">
        <v>27751.96</v>
      </c>
      <c r="U42" s="30" t="n">
        <v>27751.96</v>
      </c>
      <c r="V42" s="30" t="n">
        <v>27751.96</v>
      </c>
      <c r="W42" s="30" t="n">
        <v>25900.91</v>
      </c>
      <c r="X42" s="30" t="n">
        <v>25900.91</v>
      </c>
      <c r="Y42" s="30" t="n">
        <v>25900.91</v>
      </c>
      <c r="Z42" s="30" t="n">
        <v>25900.91</v>
      </c>
      <c r="AA42" s="30" t="n">
        <v>25961.96</v>
      </c>
      <c r="AB42" s="30" t="n">
        <v>25961.96</v>
      </c>
      <c r="AC42" s="30" t="n">
        <v>25961.96</v>
      </c>
      <c r="AD42" s="30" t="n">
        <v>23246.17</v>
      </c>
      <c r="AE42" s="59" t="n"/>
      <c r="AF42" s="59" t="n"/>
      <c r="AG42" s="59" t="n"/>
      <c r="AH42" s="59" t="n"/>
      <c r="AI42" s="59" t="n"/>
      <c r="AJ42" s="59" t="n"/>
      <c r="AK42" s="59" t="n"/>
      <c r="AL42" s="59" t="n"/>
      <c r="AM42" s="59" t="n"/>
      <c r="AN42" s="59" t="n"/>
      <c r="AO42" s="59" t="n"/>
      <c r="AP42" s="59" t="n"/>
      <c r="AQ42" s="59" t="n"/>
      <c r="AR42" s="59" t="n"/>
      <c r="AS42" s="59" t="n"/>
      <c r="AT42" s="59" t="n"/>
      <c r="AU42" s="59" t="n"/>
      <c r="AV42" s="59" t="n"/>
      <c r="AW42" s="59" t="n"/>
      <c r="AX42" s="59" t="n"/>
      <c r="AY42" s="59" t="n"/>
      <c r="AZ42" s="59" t="n"/>
      <c r="BA42" s="59" t="n"/>
      <c r="BB42" s="59" t="n"/>
      <c r="BC42" s="59" t="n"/>
      <c r="BD42" s="59" t="n"/>
      <c r="BE42" s="59" t="n"/>
    </row>
    <row r="43">
      <c r="A43" s="10" t="n"/>
      <c r="B43" s="10" t="n"/>
      <c r="C43" s="14" t="n"/>
      <c r="D43" s="12" t="n"/>
      <c r="E43" s="57" t="inlineStr">
        <is>
          <t>Qtd Plan. Acumulada</t>
        </is>
      </c>
      <c r="F43" s="30" t="n">
        <v>27751.96</v>
      </c>
      <c r="G43" s="30" t="n">
        <v>55503.93</v>
      </c>
      <c r="H43" s="30" t="n">
        <v>83255.89</v>
      </c>
      <c r="I43" s="30" t="n">
        <v>111007.85</v>
      </c>
      <c r="J43" s="30" t="n">
        <v>138759.81</v>
      </c>
      <c r="K43" s="30" t="n">
        <v>166511.78</v>
      </c>
      <c r="L43" s="30" t="n">
        <v>194263.74</v>
      </c>
      <c r="M43" s="30" t="n">
        <v>222015.7</v>
      </c>
      <c r="N43" s="30" t="n">
        <v>249767.67</v>
      </c>
      <c r="O43" s="30" t="n">
        <v>277519.63</v>
      </c>
      <c r="P43" s="30" t="n">
        <v>305271.59</v>
      </c>
      <c r="Q43" s="30" t="n">
        <v>333023.55</v>
      </c>
      <c r="R43" s="30" t="n">
        <v>360775.52</v>
      </c>
      <c r="S43" s="30" t="n">
        <v>388527.48</v>
      </c>
      <c r="T43" s="30" t="n">
        <v>416279.44</v>
      </c>
      <c r="U43" s="30" t="n">
        <v>444031.41</v>
      </c>
      <c r="V43" s="30" t="n">
        <v>471783.37</v>
      </c>
      <c r="W43" s="30" t="n">
        <v>497684.27</v>
      </c>
      <c r="X43" s="30" t="n">
        <v>523585.18</v>
      </c>
      <c r="Y43" s="30" t="n">
        <v>549486.09</v>
      </c>
      <c r="Z43" s="30" t="n">
        <v>575387</v>
      </c>
      <c r="AA43" s="30" t="n">
        <v>601348.96</v>
      </c>
      <c r="AB43" s="30" t="n">
        <v>627310.92</v>
      </c>
      <c r="AC43" s="30" t="n">
        <v>653272.88</v>
      </c>
      <c r="AD43" s="30" t="n">
        <v>676519.04</v>
      </c>
      <c r="AE43" s="30" t="n">
        <v>676519.04</v>
      </c>
      <c r="AF43" s="30" t="n">
        <v>676519.04</v>
      </c>
      <c r="AG43" s="30" t="n">
        <v>676519.04</v>
      </c>
      <c r="AH43" s="30" t="n">
        <v>676519.04</v>
      </c>
      <c r="AI43" s="30" t="n">
        <v>676519.04</v>
      </c>
      <c r="AJ43" s="30" t="n">
        <v>676519.04</v>
      </c>
      <c r="AK43" s="30" t="n">
        <v>676519.04</v>
      </c>
      <c r="AL43" s="30" t="n">
        <v>676519.04</v>
      </c>
      <c r="AM43" s="30" t="n">
        <v>676519.04</v>
      </c>
      <c r="AN43" s="30" t="n">
        <v>676519.04</v>
      </c>
      <c r="AO43" s="30" t="n">
        <v>676519.04</v>
      </c>
      <c r="AP43" s="30" t="n">
        <v>676519.04</v>
      </c>
      <c r="AQ43" s="30" t="n">
        <v>676519.04</v>
      </c>
      <c r="AR43" s="30" t="n">
        <v>676519.04</v>
      </c>
      <c r="AS43" s="30" t="n">
        <v>676519.04</v>
      </c>
      <c r="AT43" s="30" t="n">
        <v>676519.04</v>
      </c>
      <c r="AU43" s="30" t="n">
        <v>676519.04</v>
      </c>
      <c r="AV43" s="30" t="n">
        <v>676519.04</v>
      </c>
      <c r="AW43" s="30" t="n">
        <v>676519.04</v>
      </c>
      <c r="AX43" s="30" t="n">
        <v>676519.04</v>
      </c>
      <c r="AY43" s="30" t="n">
        <v>676519.04</v>
      </c>
      <c r="AZ43" s="30" t="n">
        <v>676519.04</v>
      </c>
      <c r="BA43" s="30" t="n">
        <v>676519.04</v>
      </c>
      <c r="BB43" s="30" t="n">
        <v>676519.04</v>
      </c>
      <c r="BC43" s="30" t="n">
        <v>676519.04</v>
      </c>
      <c r="BD43" s="30" t="n">
        <v>676519.04</v>
      </c>
      <c r="BE43" s="30" t="n">
        <v>676519.04</v>
      </c>
    </row>
    <row r="44">
      <c r="A44" s="10" t="n"/>
      <c r="B44" s="10" t="n"/>
      <c r="C44" s="14" t="n"/>
      <c r="D44" s="12" t="n"/>
      <c r="E44" s="57" t="inlineStr">
        <is>
          <t>% Semanal</t>
        </is>
      </c>
      <c r="F44" s="60" t="n">
        <v>0.041</v>
      </c>
      <c r="G44" s="60" t="n">
        <v>0.041</v>
      </c>
      <c r="H44" s="60" t="n">
        <v>0.041</v>
      </c>
      <c r="I44" s="60" t="n">
        <v>0.041</v>
      </c>
      <c r="J44" s="60" t="n">
        <v>0.041</v>
      </c>
      <c r="K44" s="60" t="n">
        <v>0.041</v>
      </c>
      <c r="L44" s="60" t="n">
        <v>0.041</v>
      </c>
      <c r="M44" s="60" t="n">
        <v>0.041</v>
      </c>
      <c r="N44" s="60" t="n">
        <v>0.041</v>
      </c>
      <c r="O44" s="60" t="n">
        <v>0.041</v>
      </c>
      <c r="P44" s="60" t="n">
        <v>0.041</v>
      </c>
      <c r="Q44" s="60" t="n">
        <v>0.041</v>
      </c>
      <c r="R44" s="60" t="n">
        <v>0.041</v>
      </c>
      <c r="S44" s="60" t="n">
        <v>0.041</v>
      </c>
      <c r="T44" s="60" t="n">
        <v>0.041</v>
      </c>
      <c r="U44" s="60" t="n">
        <v>0.041</v>
      </c>
      <c r="V44" s="60" t="n">
        <v>0.041</v>
      </c>
      <c r="W44" s="60" t="n">
        <v>0.0383</v>
      </c>
      <c r="X44" s="60" t="n">
        <v>0.0383</v>
      </c>
      <c r="Y44" s="60" t="n">
        <v>0.0383</v>
      </c>
      <c r="Z44" s="60" t="n">
        <v>0.0383</v>
      </c>
      <c r="AA44" s="60" t="n">
        <v>0.0384</v>
      </c>
      <c r="AB44" s="60" t="n">
        <v>0.0384</v>
      </c>
      <c r="AC44" s="60" t="n">
        <v>0.0384</v>
      </c>
      <c r="AD44" s="60" t="n">
        <v>0.0344</v>
      </c>
      <c r="AE44" s="59" t="n"/>
      <c r="AF44" s="59" t="n"/>
      <c r="AG44" s="59" t="n"/>
      <c r="AH44" s="59" t="n"/>
      <c r="AI44" s="59" t="n"/>
      <c r="AJ44" s="59" t="n"/>
      <c r="AK44" s="59" t="n"/>
      <c r="AL44" s="59" t="n"/>
      <c r="AM44" s="59" t="n"/>
      <c r="AN44" s="59" t="n"/>
      <c r="AO44" s="59" t="n"/>
      <c r="AP44" s="59" t="n"/>
      <c r="AQ44" s="59" t="n"/>
      <c r="AR44" s="59" t="n"/>
      <c r="AS44" s="59" t="n"/>
      <c r="AT44" s="59" t="n"/>
      <c r="AU44" s="59" t="n"/>
      <c r="AV44" s="59" t="n"/>
      <c r="AW44" s="59" t="n"/>
      <c r="AX44" s="59" t="n"/>
      <c r="AY44" s="59" t="n"/>
      <c r="AZ44" s="59" t="n"/>
      <c r="BA44" s="59" t="n"/>
      <c r="BB44" s="59" t="n"/>
      <c r="BC44" s="59" t="n"/>
      <c r="BD44" s="59" t="n"/>
      <c r="BE44" s="59" t="n"/>
    </row>
    <row r="45">
      <c r="A45" s="10" t="n"/>
      <c r="B45" s="10" t="n"/>
      <c r="C45" s="14" t="n"/>
      <c r="D45" s="12" t="n"/>
      <c r="E45" s="57" t="inlineStr">
        <is>
          <t>% Acumulado</t>
        </is>
      </c>
      <c r="F45" s="60" t="n">
        <v>0.041</v>
      </c>
      <c r="G45" s="60" t="n">
        <v>0.082</v>
      </c>
      <c r="H45" s="60" t="n">
        <v>0.1231</v>
      </c>
      <c r="I45" s="60" t="n">
        <v>0.1641</v>
      </c>
      <c r="J45" s="60" t="n">
        <v>0.2051</v>
      </c>
      <c r="K45" s="60" t="n">
        <v>0.2461</v>
      </c>
      <c r="L45" s="60" t="n">
        <v>0.2872</v>
      </c>
      <c r="M45" s="60" t="n">
        <v>0.3282</v>
      </c>
      <c r="N45" s="60" t="n">
        <v>0.3692</v>
      </c>
      <c r="O45" s="60" t="n">
        <v>0.4102</v>
      </c>
      <c r="P45" s="60" t="n">
        <v>0.4512</v>
      </c>
      <c r="Q45" s="60" t="n">
        <v>0.4923</v>
      </c>
      <c r="R45" s="60" t="n">
        <v>0.5333</v>
      </c>
      <c r="S45" s="60" t="n">
        <v>0.5743</v>
      </c>
      <c r="T45" s="60" t="n">
        <v>0.6153</v>
      </c>
      <c r="U45" s="60" t="n">
        <v>0.6563</v>
      </c>
      <c r="V45" s="60" t="n">
        <v>0.6974</v>
      </c>
      <c r="W45" s="60" t="n">
        <v>0.7357</v>
      </c>
      <c r="X45" s="60" t="n">
        <v>0.7739</v>
      </c>
      <c r="Y45" s="60" t="n">
        <v>0.8122</v>
      </c>
      <c r="Z45" s="60" t="n">
        <v>0.8505</v>
      </c>
      <c r="AA45" s="60" t="n">
        <v>0.8889</v>
      </c>
      <c r="AB45" s="60" t="n">
        <v>0.9273</v>
      </c>
      <c r="AC45" s="60" t="n">
        <v>0.9656</v>
      </c>
      <c r="AD45" s="60" t="n">
        <v>1</v>
      </c>
      <c r="AE45" s="60" t="n">
        <v>1</v>
      </c>
      <c r="AF45" s="60" t="n">
        <v>1</v>
      </c>
      <c r="AG45" s="60" t="n">
        <v>1</v>
      </c>
      <c r="AH45" s="60" t="n">
        <v>1</v>
      </c>
      <c r="AI45" s="60" t="n">
        <v>1</v>
      </c>
      <c r="AJ45" s="60" t="n">
        <v>1</v>
      </c>
      <c r="AK45" s="60" t="n">
        <v>1</v>
      </c>
      <c r="AL45" s="60" t="n">
        <v>1</v>
      </c>
      <c r="AM45" s="60" t="n">
        <v>1</v>
      </c>
      <c r="AN45" s="60" t="n">
        <v>1</v>
      </c>
      <c r="AO45" s="60" t="n">
        <v>1</v>
      </c>
      <c r="AP45" s="60" t="n">
        <v>1</v>
      </c>
      <c r="AQ45" s="60" t="n">
        <v>1</v>
      </c>
      <c r="AR45" s="60" t="n">
        <v>1</v>
      </c>
      <c r="AS45" s="60" t="n">
        <v>1</v>
      </c>
      <c r="AT45" s="60" t="n">
        <v>1</v>
      </c>
      <c r="AU45" s="60" t="n">
        <v>1</v>
      </c>
      <c r="AV45" s="60" t="n">
        <v>1</v>
      </c>
      <c r="AW45" s="60" t="n">
        <v>1</v>
      </c>
      <c r="AX45" s="60" t="n">
        <v>1</v>
      </c>
      <c r="AY45" s="60" t="n">
        <v>1</v>
      </c>
      <c r="AZ45" s="60" t="n">
        <v>1</v>
      </c>
      <c r="BA45" s="60" t="n">
        <v>1</v>
      </c>
      <c r="BB45" s="60" t="n">
        <v>1</v>
      </c>
      <c r="BC45" s="60" t="n">
        <v>1</v>
      </c>
      <c r="BD45" s="60" t="n">
        <v>1</v>
      </c>
      <c r="BE45" s="60" t="n">
        <v>1</v>
      </c>
    </row>
    <row r="46">
      <c r="A46" s="61" t="inlineStr">
        <is>
          <t>eap-1_7</t>
        </is>
      </c>
      <c r="B46" s="61" t="inlineStr">
        <is>
          <t>Compactacao aterros 100% Proctor Normal</t>
        </is>
      </c>
      <c r="C46" s="62" t="inlineStr">
        <is>
          <t>m3</t>
        </is>
      </c>
      <c r="D46" s="63" t="n">
        <v>1135635.3</v>
      </c>
      <c r="E46" s="64" t="inlineStr">
        <is>
          <t>Dias Trabalhados</t>
        </is>
      </c>
      <c r="F46" s="65" t="n">
        <v>6</v>
      </c>
      <c r="G46" s="65" t="n">
        <v>6</v>
      </c>
      <c r="H46" s="65" t="n">
        <v>6</v>
      </c>
      <c r="I46" s="65" t="n">
        <v>6</v>
      </c>
      <c r="J46" s="65" t="n">
        <v>6</v>
      </c>
      <c r="K46" s="65" t="n">
        <v>6</v>
      </c>
      <c r="L46" s="65" t="n">
        <v>6</v>
      </c>
      <c r="M46" s="65" t="n">
        <v>6</v>
      </c>
      <c r="N46" s="65" t="n">
        <v>6</v>
      </c>
      <c r="O46" s="65" t="n">
        <v>6</v>
      </c>
      <c r="P46" s="65" t="n">
        <v>6</v>
      </c>
      <c r="Q46" s="65" t="n">
        <v>6</v>
      </c>
      <c r="R46" s="65" t="n">
        <v>6</v>
      </c>
      <c r="S46" s="65" t="n">
        <v>6</v>
      </c>
      <c r="T46" s="65" t="n">
        <v>6</v>
      </c>
      <c r="U46" s="65" t="n">
        <v>6</v>
      </c>
      <c r="V46" s="65" t="n">
        <v>6</v>
      </c>
      <c r="W46" s="65" t="n">
        <v>6</v>
      </c>
      <c r="X46" s="65" t="n">
        <v>6</v>
      </c>
      <c r="Y46" s="65" t="n">
        <v>6</v>
      </c>
      <c r="Z46" s="65" t="n">
        <v>6</v>
      </c>
      <c r="AA46" s="65" t="n">
        <v>6</v>
      </c>
      <c r="AB46" s="65" t="n">
        <v>6</v>
      </c>
      <c r="AC46" s="65" t="n">
        <v>6</v>
      </c>
      <c r="AD46" s="65" t="n">
        <v>6</v>
      </c>
      <c r="AE46" s="65" t="n">
        <v>6</v>
      </c>
      <c r="AF46" s="65" t="n">
        <v>6</v>
      </c>
      <c r="AG46" s="65" t="n">
        <v>6</v>
      </c>
      <c r="AH46" s="65" t="n">
        <v>6</v>
      </c>
      <c r="AI46" s="65" t="n">
        <v>6</v>
      </c>
      <c r="AJ46" s="65" t="n">
        <v>6</v>
      </c>
      <c r="AK46" s="65" t="n">
        <v>6</v>
      </c>
      <c r="AL46" s="65" t="n">
        <v>6</v>
      </c>
      <c r="AM46" s="65" t="n">
        <v>6</v>
      </c>
      <c r="AN46" s="65" t="n">
        <v>6</v>
      </c>
      <c r="AO46" s="65" t="n">
        <v>6</v>
      </c>
      <c r="AP46" s="65" t="n">
        <v>6</v>
      </c>
      <c r="AQ46" s="65" t="n">
        <v>6</v>
      </c>
      <c r="AR46" s="65" t="n">
        <v>6</v>
      </c>
      <c r="AS46" s="65" t="n">
        <v>6</v>
      </c>
      <c r="AT46" s="65" t="n">
        <v>6</v>
      </c>
      <c r="AU46" s="65" t="n">
        <v>6</v>
      </c>
      <c r="AV46" s="65" t="n">
        <v>6</v>
      </c>
      <c r="AW46" s="65" t="n">
        <v>6</v>
      </c>
      <c r="AX46" s="65" t="n">
        <v>6</v>
      </c>
      <c r="AY46" s="65" t="n">
        <v>6</v>
      </c>
      <c r="AZ46" s="65" t="n">
        <v>6</v>
      </c>
      <c r="BA46" s="65" t="n">
        <v>6</v>
      </c>
      <c r="BB46" s="65" t="n">
        <v>6</v>
      </c>
      <c r="BC46" s="65" t="n">
        <v>6</v>
      </c>
      <c r="BD46" s="65" t="n">
        <v>6</v>
      </c>
      <c r="BE46" s="66" t="n"/>
    </row>
    <row r="47">
      <c r="A47" s="20" t="n"/>
      <c r="B47" s="20" t="n"/>
      <c r="C47" s="24" t="n"/>
      <c r="D47" s="22" t="n"/>
      <c r="E47" s="67" t="inlineStr">
        <is>
          <t>Nº De Equipes</t>
        </is>
      </c>
      <c r="F47" s="68" t="n">
        <v>3</v>
      </c>
      <c r="G47" s="68" t="n">
        <v>3</v>
      </c>
      <c r="H47" s="68" t="n">
        <v>3</v>
      </c>
      <c r="I47" s="68" t="n">
        <v>3</v>
      </c>
      <c r="J47" s="68" t="n">
        <v>3</v>
      </c>
      <c r="K47" s="68" t="n">
        <v>3</v>
      </c>
      <c r="L47" s="68" t="n">
        <v>3</v>
      </c>
      <c r="M47" s="68" t="n">
        <v>3</v>
      </c>
      <c r="N47" s="68" t="n">
        <v>3</v>
      </c>
      <c r="O47" s="68" t="n">
        <v>3</v>
      </c>
      <c r="P47" s="68" t="n">
        <v>3</v>
      </c>
      <c r="Q47" s="68" t="n">
        <v>3</v>
      </c>
      <c r="R47" s="68" t="n">
        <v>3</v>
      </c>
      <c r="S47" s="68" t="n">
        <v>3</v>
      </c>
      <c r="T47" s="68" t="n">
        <v>3</v>
      </c>
      <c r="U47" s="68" t="n">
        <v>3</v>
      </c>
      <c r="V47" s="68" t="n">
        <v>3</v>
      </c>
      <c r="W47" s="68" t="n">
        <v>3</v>
      </c>
      <c r="X47" s="68" t="n">
        <v>3</v>
      </c>
      <c r="Y47" s="68" t="n">
        <v>3</v>
      </c>
      <c r="Z47" s="68" t="n">
        <v>3</v>
      </c>
      <c r="AA47" s="68" t="n">
        <v>3</v>
      </c>
      <c r="AB47" s="68" t="n">
        <v>3</v>
      </c>
      <c r="AC47" s="68" t="n">
        <v>3</v>
      </c>
      <c r="AD47" s="68" t="n">
        <v>3</v>
      </c>
      <c r="AE47" s="68" t="n">
        <v>3</v>
      </c>
      <c r="AF47" s="68" t="n">
        <v>3</v>
      </c>
      <c r="AG47" s="68" t="n">
        <v>3</v>
      </c>
      <c r="AH47" s="68" t="n">
        <v>3</v>
      </c>
      <c r="AI47" s="68" t="n">
        <v>3</v>
      </c>
      <c r="AJ47" s="68" t="n">
        <v>3</v>
      </c>
      <c r="AK47" s="68" t="n">
        <v>3</v>
      </c>
      <c r="AL47" s="68" t="n">
        <v>3</v>
      </c>
      <c r="AM47" s="68" t="n">
        <v>3</v>
      </c>
      <c r="AN47" s="68" t="n">
        <v>3</v>
      </c>
      <c r="AO47" s="68" t="n">
        <v>3</v>
      </c>
      <c r="AP47" s="68" t="n">
        <v>3</v>
      </c>
      <c r="AQ47" s="68" t="n">
        <v>3</v>
      </c>
      <c r="AR47" s="68" t="n">
        <v>3</v>
      </c>
      <c r="AS47" s="68" t="n">
        <v>3</v>
      </c>
      <c r="AT47" s="68" t="n">
        <v>3</v>
      </c>
      <c r="AU47" s="68" t="n">
        <v>3</v>
      </c>
      <c r="AV47" s="68" t="n">
        <v>3</v>
      </c>
      <c r="AW47" s="68" t="n">
        <v>3</v>
      </c>
      <c r="AX47" s="68" t="n">
        <v>3</v>
      </c>
      <c r="AY47" s="68" t="n">
        <v>3</v>
      </c>
      <c r="AZ47" s="68" t="n">
        <v>3</v>
      </c>
      <c r="BA47" s="68" t="n">
        <v>3</v>
      </c>
      <c r="BB47" s="68" t="n">
        <v>3</v>
      </c>
      <c r="BC47" s="68" t="n">
        <v>3</v>
      </c>
      <c r="BD47" s="68" t="n">
        <v>3</v>
      </c>
      <c r="BE47" s="69" t="n"/>
    </row>
    <row r="48">
      <c r="A48" s="20" t="n"/>
      <c r="B48" s="20" t="n"/>
      <c r="C48" s="24" t="n"/>
      <c r="D48" s="22" t="n"/>
      <c r="E48" s="67" t="inlineStr">
        <is>
          <t>Qtd. Planejada</t>
        </is>
      </c>
      <c r="F48" s="33" t="n">
        <v>27681.12</v>
      </c>
      <c r="G48" s="33" t="n">
        <v>27681.12</v>
      </c>
      <c r="H48" s="33" t="n">
        <v>27681.12</v>
      </c>
      <c r="I48" s="33" t="n">
        <v>27681.12</v>
      </c>
      <c r="J48" s="33" t="n">
        <v>27681.12</v>
      </c>
      <c r="K48" s="33" t="n">
        <v>27681.12</v>
      </c>
      <c r="L48" s="33" t="n">
        <v>27681.12</v>
      </c>
      <c r="M48" s="33" t="n">
        <v>27681.12</v>
      </c>
      <c r="N48" s="33" t="n">
        <v>27681.12</v>
      </c>
      <c r="O48" s="33" t="n">
        <v>27681.12</v>
      </c>
      <c r="P48" s="33" t="n">
        <v>27681.12</v>
      </c>
      <c r="Q48" s="33" t="n">
        <v>27681.12</v>
      </c>
      <c r="R48" s="33" t="n">
        <v>27681.12</v>
      </c>
      <c r="S48" s="33" t="n">
        <v>27681.12</v>
      </c>
      <c r="T48" s="33" t="n">
        <v>27681.12</v>
      </c>
      <c r="U48" s="33" t="n">
        <v>27681.12</v>
      </c>
      <c r="V48" s="33" t="n">
        <v>27681.12</v>
      </c>
      <c r="W48" s="33" t="n">
        <v>25834.79</v>
      </c>
      <c r="X48" s="33" t="n">
        <v>25834.79</v>
      </c>
      <c r="Y48" s="33" t="n">
        <v>25834.79</v>
      </c>
      <c r="Z48" s="33" t="n">
        <v>25834.79</v>
      </c>
      <c r="AA48" s="33" t="n">
        <v>25895.69</v>
      </c>
      <c r="AB48" s="33" t="n">
        <v>25895.69</v>
      </c>
      <c r="AC48" s="33" t="n">
        <v>25895.69</v>
      </c>
      <c r="AD48" s="33" t="n">
        <v>25895.69</v>
      </c>
      <c r="AE48" s="33" t="n">
        <v>25895.69</v>
      </c>
      <c r="AF48" s="33" t="n">
        <v>25895.69</v>
      </c>
      <c r="AG48" s="33" t="n">
        <v>25895.69</v>
      </c>
      <c r="AH48" s="33" t="n">
        <v>25895.69</v>
      </c>
      <c r="AI48" s="33" t="n">
        <v>25895.69</v>
      </c>
      <c r="AJ48" s="33" t="n">
        <v>23216.16</v>
      </c>
      <c r="AK48" s="33" t="n">
        <v>23216.16</v>
      </c>
      <c r="AL48" s="33" t="n">
        <v>23216.16</v>
      </c>
      <c r="AM48" s="33" t="n">
        <v>23216.16</v>
      </c>
      <c r="AN48" s="33" t="n">
        <v>21749.06</v>
      </c>
      <c r="AO48" s="33" t="n">
        <v>21749.06</v>
      </c>
      <c r="AP48" s="33" t="n">
        <v>21749.06</v>
      </c>
      <c r="AQ48" s="33" t="n">
        <v>21749.06</v>
      </c>
      <c r="AR48" s="33" t="n">
        <v>16965.76</v>
      </c>
      <c r="AS48" s="33" t="n">
        <v>16965.76</v>
      </c>
      <c r="AT48" s="33" t="n">
        <v>16965.76</v>
      </c>
      <c r="AU48" s="33" t="n">
        <v>16965.76</v>
      </c>
      <c r="AV48" s="33" t="n">
        <v>24913.01</v>
      </c>
      <c r="AW48" s="33" t="n">
        <v>24913.01</v>
      </c>
      <c r="AX48" s="33" t="n">
        <v>24913.01</v>
      </c>
      <c r="AY48" s="33" t="n">
        <v>6193.01</v>
      </c>
      <c r="AZ48" s="69" t="n"/>
      <c r="BA48" s="69" t="n"/>
      <c r="BB48" s="69" t="n"/>
      <c r="BC48" s="69" t="n"/>
      <c r="BD48" s="69" t="n"/>
      <c r="BE48" s="69" t="n"/>
    </row>
    <row r="49">
      <c r="A49" s="20" t="n"/>
      <c r="B49" s="20" t="n"/>
      <c r="C49" s="24" t="n"/>
      <c r="D49" s="22" t="n"/>
      <c r="E49" s="67" t="inlineStr">
        <is>
          <t>Qtd Plan. Acumulada</t>
        </is>
      </c>
      <c r="F49" s="33" t="n">
        <v>27681.12</v>
      </c>
      <c r="G49" s="33" t="n">
        <v>55362.24</v>
      </c>
      <c r="H49" s="33" t="n">
        <v>83043.36</v>
      </c>
      <c r="I49" s="33" t="n">
        <v>110724.48</v>
      </c>
      <c r="J49" s="33" t="n">
        <v>138405.6</v>
      </c>
      <c r="K49" s="33" t="n">
        <v>166086.72</v>
      </c>
      <c r="L49" s="33" t="n">
        <v>193767.84</v>
      </c>
      <c r="M49" s="33" t="n">
        <v>221448.96</v>
      </c>
      <c r="N49" s="33" t="n">
        <v>249130.08</v>
      </c>
      <c r="O49" s="33" t="n">
        <v>276811.2</v>
      </c>
      <c r="P49" s="33" t="n">
        <v>304492.32</v>
      </c>
      <c r="Q49" s="33" t="n">
        <v>332173.44</v>
      </c>
      <c r="R49" s="33" t="n">
        <v>359854.56</v>
      </c>
      <c r="S49" s="33" t="n">
        <v>387535.68</v>
      </c>
      <c r="T49" s="33" t="n">
        <v>415216.8</v>
      </c>
      <c r="U49" s="33" t="n">
        <v>442897.92</v>
      </c>
      <c r="V49" s="33" t="n">
        <v>470579.04</v>
      </c>
      <c r="W49" s="33" t="n">
        <v>496413.83</v>
      </c>
      <c r="X49" s="33" t="n">
        <v>522248.62</v>
      </c>
      <c r="Y49" s="33" t="n">
        <v>548083.41</v>
      </c>
      <c r="Z49" s="33" t="n">
        <v>573918.2</v>
      </c>
      <c r="AA49" s="33" t="n">
        <v>599813.88</v>
      </c>
      <c r="AB49" s="33" t="n">
        <v>625709.5699999999</v>
      </c>
      <c r="AC49" s="33" t="n">
        <v>651605.26</v>
      </c>
      <c r="AD49" s="33" t="n">
        <v>677500.95</v>
      </c>
      <c r="AE49" s="33" t="n">
        <v>703396.64</v>
      </c>
      <c r="AF49" s="33" t="n">
        <v>729292.3199999999</v>
      </c>
      <c r="AG49" s="33" t="n">
        <v>755188.01</v>
      </c>
      <c r="AH49" s="33" t="n">
        <v>781083.7</v>
      </c>
      <c r="AI49" s="33" t="n">
        <v>806979.39</v>
      </c>
      <c r="AJ49" s="33" t="n">
        <v>830195.54</v>
      </c>
      <c r="AK49" s="33" t="n">
        <v>853411.7</v>
      </c>
      <c r="AL49" s="33" t="n">
        <v>876627.85</v>
      </c>
      <c r="AM49" s="33" t="n">
        <v>899844.01</v>
      </c>
      <c r="AN49" s="33" t="n">
        <v>921593.0600000001</v>
      </c>
      <c r="AO49" s="33" t="n">
        <v>943342.12</v>
      </c>
      <c r="AP49" s="33" t="n">
        <v>965091.1800000001</v>
      </c>
      <c r="AQ49" s="33" t="n">
        <v>986840.23</v>
      </c>
      <c r="AR49" s="33" t="n">
        <v>1003805.99</v>
      </c>
      <c r="AS49" s="33" t="n">
        <v>1020771.75</v>
      </c>
      <c r="AT49" s="33" t="n">
        <v>1037737.51</v>
      </c>
      <c r="AU49" s="33" t="n">
        <v>1054703.27</v>
      </c>
      <c r="AV49" s="33" t="n">
        <v>1079616.27</v>
      </c>
      <c r="AW49" s="33" t="n">
        <v>1104529.28</v>
      </c>
      <c r="AX49" s="33" t="n">
        <v>1129442.29</v>
      </c>
      <c r="AY49" s="33" t="n">
        <v>1135635.3</v>
      </c>
      <c r="AZ49" s="33" t="n">
        <v>1135635.3</v>
      </c>
      <c r="BA49" s="33" t="n">
        <v>1135635.3</v>
      </c>
      <c r="BB49" s="33" t="n">
        <v>1135635.3</v>
      </c>
      <c r="BC49" s="33" t="n">
        <v>1135635.3</v>
      </c>
      <c r="BD49" s="33" t="n">
        <v>1135635.3</v>
      </c>
      <c r="BE49" s="33" t="n">
        <v>1135635.3</v>
      </c>
    </row>
    <row r="50">
      <c r="A50" s="20" t="n"/>
      <c r="B50" s="20" t="n"/>
      <c r="C50" s="24" t="n"/>
      <c r="D50" s="22" t="n"/>
      <c r="E50" s="67" t="inlineStr">
        <is>
          <t>% Semanal</t>
        </is>
      </c>
      <c r="F50" s="70" t="n">
        <v>0.0244</v>
      </c>
      <c r="G50" s="70" t="n">
        <v>0.0244</v>
      </c>
      <c r="H50" s="70" t="n">
        <v>0.0244</v>
      </c>
      <c r="I50" s="70" t="n">
        <v>0.0244</v>
      </c>
      <c r="J50" s="70" t="n">
        <v>0.0244</v>
      </c>
      <c r="K50" s="70" t="n">
        <v>0.0244</v>
      </c>
      <c r="L50" s="70" t="n">
        <v>0.0244</v>
      </c>
      <c r="M50" s="70" t="n">
        <v>0.0244</v>
      </c>
      <c r="N50" s="70" t="n">
        <v>0.0244</v>
      </c>
      <c r="O50" s="70" t="n">
        <v>0.0244</v>
      </c>
      <c r="P50" s="70" t="n">
        <v>0.0244</v>
      </c>
      <c r="Q50" s="70" t="n">
        <v>0.0244</v>
      </c>
      <c r="R50" s="70" t="n">
        <v>0.0244</v>
      </c>
      <c r="S50" s="70" t="n">
        <v>0.0244</v>
      </c>
      <c r="T50" s="70" t="n">
        <v>0.0244</v>
      </c>
      <c r="U50" s="70" t="n">
        <v>0.0244</v>
      </c>
      <c r="V50" s="70" t="n">
        <v>0.0244</v>
      </c>
      <c r="W50" s="70" t="n">
        <v>0.0227</v>
      </c>
      <c r="X50" s="70" t="n">
        <v>0.0227</v>
      </c>
      <c r="Y50" s="70" t="n">
        <v>0.0227</v>
      </c>
      <c r="Z50" s="70" t="n">
        <v>0.0227</v>
      </c>
      <c r="AA50" s="70" t="n">
        <v>0.0228</v>
      </c>
      <c r="AB50" s="70" t="n">
        <v>0.0228</v>
      </c>
      <c r="AC50" s="70" t="n">
        <v>0.0228</v>
      </c>
      <c r="AD50" s="70" t="n">
        <v>0.0228</v>
      </c>
      <c r="AE50" s="70" t="n">
        <v>0.0228</v>
      </c>
      <c r="AF50" s="70" t="n">
        <v>0.0228</v>
      </c>
      <c r="AG50" s="70" t="n">
        <v>0.0228</v>
      </c>
      <c r="AH50" s="70" t="n">
        <v>0.0228</v>
      </c>
      <c r="AI50" s="70" t="n">
        <v>0.0228</v>
      </c>
      <c r="AJ50" s="70" t="n">
        <v>0.0204</v>
      </c>
      <c r="AK50" s="70" t="n">
        <v>0.0204</v>
      </c>
      <c r="AL50" s="70" t="n">
        <v>0.0204</v>
      </c>
      <c r="AM50" s="70" t="n">
        <v>0.0204</v>
      </c>
      <c r="AN50" s="70" t="n">
        <v>0.0192</v>
      </c>
      <c r="AO50" s="70" t="n">
        <v>0.0192</v>
      </c>
      <c r="AP50" s="70" t="n">
        <v>0.0192</v>
      </c>
      <c r="AQ50" s="70" t="n">
        <v>0.0192</v>
      </c>
      <c r="AR50" s="70" t="n">
        <v>0.0149</v>
      </c>
      <c r="AS50" s="70" t="n">
        <v>0.0149</v>
      </c>
      <c r="AT50" s="70" t="n">
        <v>0.0149</v>
      </c>
      <c r="AU50" s="70" t="n">
        <v>0.0149</v>
      </c>
      <c r="AV50" s="70" t="n">
        <v>0.0219</v>
      </c>
      <c r="AW50" s="70" t="n">
        <v>0.0219</v>
      </c>
      <c r="AX50" s="70" t="n">
        <v>0.0219</v>
      </c>
      <c r="AY50" s="70" t="n">
        <v>0.0055</v>
      </c>
      <c r="AZ50" s="69" t="n"/>
      <c r="BA50" s="69" t="n"/>
      <c r="BB50" s="69" t="n"/>
      <c r="BC50" s="69" t="n"/>
      <c r="BD50" s="69" t="n"/>
      <c r="BE50" s="69" t="n"/>
    </row>
    <row r="51">
      <c r="A51" s="20" t="n"/>
      <c r="B51" s="20" t="n"/>
      <c r="C51" s="24" t="n"/>
      <c r="D51" s="22" t="n"/>
      <c r="E51" s="67" t="inlineStr">
        <is>
          <t>% Acumulado</t>
        </is>
      </c>
      <c r="F51" s="70" t="n">
        <v>0.0244</v>
      </c>
      <c r="G51" s="70" t="n">
        <v>0.0488</v>
      </c>
      <c r="H51" s="70" t="n">
        <v>0.0731</v>
      </c>
      <c r="I51" s="70" t="n">
        <v>0.0975</v>
      </c>
      <c r="J51" s="70" t="n">
        <v>0.1219</v>
      </c>
      <c r="K51" s="70" t="n">
        <v>0.1463</v>
      </c>
      <c r="L51" s="70" t="n">
        <v>0.1706</v>
      </c>
      <c r="M51" s="70" t="n">
        <v>0.195</v>
      </c>
      <c r="N51" s="70" t="n">
        <v>0.2194</v>
      </c>
      <c r="O51" s="70" t="n">
        <v>0.2438</v>
      </c>
      <c r="P51" s="70" t="n">
        <v>0.2681</v>
      </c>
      <c r="Q51" s="70" t="n">
        <v>0.2925</v>
      </c>
      <c r="R51" s="70" t="n">
        <v>0.3169</v>
      </c>
      <c r="S51" s="70" t="n">
        <v>0.3413</v>
      </c>
      <c r="T51" s="70" t="n">
        <v>0.3656</v>
      </c>
      <c r="U51" s="70" t="n">
        <v>0.39</v>
      </c>
      <c r="V51" s="70" t="n">
        <v>0.4144</v>
      </c>
      <c r="W51" s="70" t="n">
        <v>0.4371</v>
      </c>
      <c r="X51" s="70" t="n">
        <v>0.4599</v>
      </c>
      <c r="Y51" s="70" t="n">
        <v>0.4826</v>
      </c>
      <c r="Z51" s="70" t="n">
        <v>0.5054</v>
      </c>
      <c r="AA51" s="70" t="n">
        <v>0.5282</v>
      </c>
      <c r="AB51" s="70" t="n">
        <v>0.551</v>
      </c>
      <c r="AC51" s="70" t="n">
        <v>0.5738</v>
      </c>
      <c r="AD51" s="70" t="n">
        <v>0.5966</v>
      </c>
      <c r="AE51" s="70" t="n">
        <v>0.6194</v>
      </c>
      <c r="AF51" s="70" t="n">
        <v>0.6422</v>
      </c>
      <c r="AG51" s="70" t="n">
        <v>0.665</v>
      </c>
      <c r="AH51" s="70" t="n">
        <v>0.6878</v>
      </c>
      <c r="AI51" s="70" t="n">
        <v>0.7106</v>
      </c>
      <c r="AJ51" s="70" t="n">
        <v>0.731</v>
      </c>
      <c r="AK51" s="70" t="n">
        <v>0.7514999999999999</v>
      </c>
      <c r="AL51" s="70" t="n">
        <v>0.7719</v>
      </c>
      <c r="AM51" s="70" t="n">
        <v>0.7924</v>
      </c>
      <c r="AN51" s="70" t="n">
        <v>0.8115</v>
      </c>
      <c r="AO51" s="70" t="n">
        <v>0.8307</v>
      </c>
      <c r="AP51" s="70" t="n">
        <v>0.8498</v>
      </c>
      <c r="AQ51" s="70" t="n">
        <v>0.869</v>
      </c>
      <c r="AR51" s="70" t="n">
        <v>0.8839</v>
      </c>
      <c r="AS51" s="70" t="n">
        <v>0.8989</v>
      </c>
      <c r="AT51" s="70" t="n">
        <v>0.9137999999999999</v>
      </c>
      <c r="AU51" s="70" t="n">
        <v>0.9287</v>
      </c>
      <c r="AV51" s="70" t="n">
        <v>0.9507</v>
      </c>
      <c r="AW51" s="70" t="n">
        <v>0.9726</v>
      </c>
      <c r="AX51" s="70" t="n">
        <v>0.9945000000000001</v>
      </c>
      <c r="AY51" s="70" t="n">
        <v>1</v>
      </c>
      <c r="AZ51" s="70" t="n">
        <v>1</v>
      </c>
      <c r="BA51" s="70" t="n">
        <v>1</v>
      </c>
      <c r="BB51" s="70" t="n">
        <v>1</v>
      </c>
      <c r="BC51" s="70" t="n">
        <v>1</v>
      </c>
      <c r="BD51" s="70" t="n">
        <v>1</v>
      </c>
      <c r="BE51" s="70" t="n">
        <v>1</v>
      </c>
    </row>
    <row r="52">
      <c r="A52" s="16" t="inlineStr">
        <is>
          <t>eap-1_8</t>
        </is>
      </c>
      <c r="B52" s="16" t="inlineStr">
        <is>
          <t>Compactacao aterros 100% Proctor Intermediario</t>
        </is>
      </c>
      <c r="C52" s="52" t="inlineStr">
        <is>
          <t>m3</t>
        </is>
      </c>
      <c r="D52" s="53" t="n">
        <v>29411</v>
      </c>
      <c r="E52" s="54" t="inlineStr">
        <is>
          <t>Dias Trabalhados</t>
        </is>
      </c>
      <c r="F52" s="55" t="n">
        <v>6</v>
      </c>
      <c r="G52" s="55" t="n">
        <v>6</v>
      </c>
      <c r="H52" s="55" t="n">
        <v>6</v>
      </c>
      <c r="I52" s="56" t="n"/>
      <c r="J52" s="56" t="n"/>
      <c r="K52" s="56" t="n"/>
      <c r="L52" s="56" t="n"/>
      <c r="M52" s="56" t="n"/>
      <c r="N52" s="56" t="n"/>
      <c r="O52" s="56" t="n"/>
      <c r="P52" s="56" t="n"/>
      <c r="Q52" s="56" t="n"/>
      <c r="R52" s="56" t="n"/>
      <c r="S52" s="56" t="n"/>
      <c r="T52" s="56" t="n"/>
      <c r="U52" s="56" t="n"/>
      <c r="V52" s="56" t="n"/>
      <c r="W52" s="56" t="n"/>
      <c r="X52" s="56" t="n"/>
      <c r="Y52" s="56" t="n"/>
      <c r="Z52" s="56" t="n"/>
      <c r="AA52" s="56" t="n"/>
      <c r="AB52" s="56" t="n"/>
      <c r="AC52" s="56" t="n"/>
      <c r="AD52" s="56" t="n"/>
      <c r="AE52" s="56" t="n"/>
      <c r="AF52" s="56" t="n"/>
      <c r="AG52" s="56" t="n"/>
      <c r="AH52" s="56" t="n"/>
      <c r="AI52" s="56" t="n"/>
      <c r="AJ52" s="56" t="n"/>
      <c r="AK52" s="56" t="n"/>
      <c r="AL52" s="56" t="n"/>
      <c r="AM52" s="56" t="n"/>
      <c r="AN52" s="56" t="n"/>
      <c r="AO52" s="56" t="n"/>
      <c r="AP52" s="56" t="n"/>
      <c r="AQ52" s="56" t="n"/>
      <c r="AR52" s="56" t="n"/>
      <c r="AS52" s="56" t="n"/>
      <c r="AT52" s="56" t="n"/>
      <c r="AU52" s="56" t="n"/>
      <c r="AV52" s="56" t="n"/>
      <c r="AW52" s="56" t="n"/>
      <c r="AX52" s="56" t="n"/>
      <c r="AY52" s="56" t="n"/>
      <c r="AZ52" s="56" t="n"/>
      <c r="BA52" s="56" t="n"/>
      <c r="BB52" s="56" t="n"/>
      <c r="BC52" s="56" t="n"/>
      <c r="BD52" s="56" t="n"/>
      <c r="BE52" s="56" t="n"/>
    </row>
    <row r="53">
      <c r="A53" s="10" t="n"/>
      <c r="B53" s="10" t="n"/>
      <c r="C53" s="14" t="n"/>
      <c r="D53" s="12" t="n"/>
      <c r="E53" s="57" t="inlineStr">
        <is>
          <t>Nº De Equipes</t>
        </is>
      </c>
      <c r="F53" s="58" t="n">
        <v>2</v>
      </c>
      <c r="G53" s="58" t="n">
        <v>2</v>
      </c>
      <c r="H53" s="58" t="n">
        <v>2</v>
      </c>
      <c r="I53" s="59" t="n"/>
      <c r="J53" s="59" t="n"/>
      <c r="K53" s="59" t="n"/>
      <c r="L53" s="59" t="n"/>
      <c r="M53" s="59" t="n"/>
      <c r="N53" s="59" t="n"/>
      <c r="O53" s="59" t="n"/>
      <c r="P53" s="59" t="n"/>
      <c r="Q53" s="59" t="n"/>
      <c r="R53" s="59" t="n"/>
      <c r="S53" s="59" t="n"/>
      <c r="T53" s="59" t="n"/>
      <c r="U53" s="59" t="n"/>
      <c r="V53" s="59" t="n"/>
      <c r="W53" s="59" t="n"/>
      <c r="X53" s="59" t="n"/>
      <c r="Y53" s="59" t="n"/>
      <c r="Z53" s="59" t="n"/>
      <c r="AA53" s="59" t="n"/>
      <c r="AB53" s="59" t="n"/>
      <c r="AC53" s="59" t="n"/>
      <c r="AD53" s="59" t="n"/>
      <c r="AE53" s="59" t="n"/>
      <c r="AF53" s="59" t="n"/>
      <c r="AG53" s="59" t="n"/>
      <c r="AH53" s="59" t="n"/>
      <c r="AI53" s="59" t="n"/>
      <c r="AJ53" s="59" t="n"/>
      <c r="AK53" s="59" t="n"/>
      <c r="AL53" s="59" t="n"/>
      <c r="AM53" s="59" t="n"/>
      <c r="AN53" s="59" t="n"/>
      <c r="AO53" s="59" t="n"/>
      <c r="AP53" s="59" t="n"/>
      <c r="AQ53" s="59" t="n"/>
      <c r="AR53" s="59" t="n"/>
      <c r="AS53" s="59" t="n"/>
      <c r="AT53" s="59" t="n"/>
      <c r="AU53" s="59" t="n"/>
      <c r="AV53" s="59" t="n"/>
      <c r="AW53" s="59" t="n"/>
      <c r="AX53" s="59" t="n"/>
      <c r="AY53" s="59" t="n"/>
      <c r="AZ53" s="59" t="n"/>
      <c r="BA53" s="59" t="n"/>
      <c r="BB53" s="59" t="n"/>
      <c r="BC53" s="59" t="n"/>
      <c r="BD53" s="59" t="n"/>
      <c r="BE53" s="59" t="n"/>
    </row>
    <row r="54">
      <c r="A54" s="10" t="n"/>
      <c r="B54" s="10" t="n"/>
      <c r="C54" s="14" t="n"/>
      <c r="D54" s="12" t="n"/>
      <c r="E54" s="57" t="inlineStr">
        <is>
          <t>Qtd. Planejada</t>
        </is>
      </c>
      <c r="F54" s="30" t="n">
        <v>14352.96</v>
      </c>
      <c r="G54" s="30" t="n">
        <v>14352.96</v>
      </c>
      <c r="H54" s="30" t="n">
        <v>705.08</v>
      </c>
      <c r="I54" s="59" t="n"/>
      <c r="J54" s="59" t="n"/>
      <c r="K54" s="59" t="n"/>
      <c r="L54" s="59" t="n"/>
      <c r="M54" s="59" t="n"/>
      <c r="N54" s="59" t="n"/>
      <c r="O54" s="59" t="n"/>
      <c r="P54" s="59" t="n"/>
      <c r="Q54" s="59" t="n"/>
      <c r="R54" s="59" t="n"/>
      <c r="S54" s="59" t="n"/>
      <c r="T54" s="59" t="n"/>
      <c r="U54" s="59" t="n"/>
      <c r="V54" s="59" t="n"/>
      <c r="W54" s="59" t="n"/>
      <c r="X54" s="59" t="n"/>
      <c r="Y54" s="59" t="n"/>
      <c r="Z54" s="59" t="n"/>
      <c r="AA54" s="59" t="n"/>
      <c r="AB54" s="59" t="n"/>
      <c r="AC54" s="59" t="n"/>
      <c r="AD54" s="59" t="n"/>
      <c r="AE54" s="59" t="n"/>
      <c r="AF54" s="59" t="n"/>
      <c r="AG54" s="59" t="n"/>
      <c r="AH54" s="59" t="n"/>
      <c r="AI54" s="59" t="n"/>
      <c r="AJ54" s="59" t="n"/>
      <c r="AK54" s="59" t="n"/>
      <c r="AL54" s="59" t="n"/>
      <c r="AM54" s="59" t="n"/>
      <c r="AN54" s="59" t="n"/>
      <c r="AO54" s="59" t="n"/>
      <c r="AP54" s="59" t="n"/>
      <c r="AQ54" s="59" t="n"/>
      <c r="AR54" s="59" t="n"/>
      <c r="AS54" s="59" t="n"/>
      <c r="AT54" s="59" t="n"/>
      <c r="AU54" s="59" t="n"/>
      <c r="AV54" s="59" t="n"/>
      <c r="AW54" s="59" t="n"/>
      <c r="AX54" s="59" t="n"/>
      <c r="AY54" s="59" t="n"/>
      <c r="AZ54" s="59" t="n"/>
      <c r="BA54" s="59" t="n"/>
      <c r="BB54" s="59" t="n"/>
      <c r="BC54" s="59" t="n"/>
      <c r="BD54" s="59" t="n"/>
      <c r="BE54" s="59" t="n"/>
    </row>
    <row r="55">
      <c r="A55" s="10" t="n"/>
      <c r="B55" s="10" t="n"/>
      <c r="C55" s="14" t="n"/>
      <c r="D55" s="12" t="n"/>
      <c r="E55" s="57" t="inlineStr">
        <is>
          <t>Qtd Plan. Acumulada</t>
        </is>
      </c>
      <c r="F55" s="30" t="n">
        <v>14352.96</v>
      </c>
      <c r="G55" s="30" t="n">
        <v>28705.92</v>
      </c>
      <c r="H55" s="30" t="n">
        <v>29411</v>
      </c>
      <c r="I55" s="30" t="n">
        <v>29411</v>
      </c>
      <c r="J55" s="30" t="n">
        <v>29411</v>
      </c>
      <c r="K55" s="30" t="n">
        <v>29411</v>
      </c>
      <c r="L55" s="30" t="n">
        <v>29411</v>
      </c>
      <c r="M55" s="30" t="n">
        <v>29411</v>
      </c>
      <c r="N55" s="30" t="n">
        <v>29411</v>
      </c>
      <c r="O55" s="30" t="n">
        <v>29411</v>
      </c>
      <c r="P55" s="30" t="n">
        <v>29411</v>
      </c>
      <c r="Q55" s="30" t="n">
        <v>29411</v>
      </c>
      <c r="R55" s="30" t="n">
        <v>29411</v>
      </c>
      <c r="S55" s="30" t="n">
        <v>29411</v>
      </c>
      <c r="T55" s="30" t="n">
        <v>29411</v>
      </c>
      <c r="U55" s="30" t="n">
        <v>29411</v>
      </c>
      <c r="V55" s="30" t="n">
        <v>29411</v>
      </c>
      <c r="W55" s="30" t="n">
        <v>29411</v>
      </c>
      <c r="X55" s="30" t="n">
        <v>29411</v>
      </c>
      <c r="Y55" s="30" t="n">
        <v>29411</v>
      </c>
      <c r="Z55" s="30" t="n">
        <v>29411</v>
      </c>
      <c r="AA55" s="30" t="n">
        <v>29411</v>
      </c>
      <c r="AB55" s="30" t="n">
        <v>29411</v>
      </c>
      <c r="AC55" s="30" t="n">
        <v>29411</v>
      </c>
      <c r="AD55" s="30" t="n">
        <v>29411</v>
      </c>
      <c r="AE55" s="30" t="n">
        <v>29411</v>
      </c>
      <c r="AF55" s="30" t="n">
        <v>29411</v>
      </c>
      <c r="AG55" s="30" t="n">
        <v>29411</v>
      </c>
      <c r="AH55" s="30" t="n">
        <v>29411</v>
      </c>
      <c r="AI55" s="30" t="n">
        <v>29411</v>
      </c>
      <c r="AJ55" s="30" t="n">
        <v>29411</v>
      </c>
      <c r="AK55" s="30" t="n">
        <v>29411</v>
      </c>
      <c r="AL55" s="30" t="n">
        <v>29411</v>
      </c>
      <c r="AM55" s="30" t="n">
        <v>29411</v>
      </c>
      <c r="AN55" s="30" t="n">
        <v>29411</v>
      </c>
      <c r="AO55" s="30" t="n">
        <v>29411</v>
      </c>
      <c r="AP55" s="30" t="n">
        <v>29411</v>
      </c>
      <c r="AQ55" s="30" t="n">
        <v>29411</v>
      </c>
      <c r="AR55" s="30" t="n">
        <v>29411</v>
      </c>
      <c r="AS55" s="30" t="n">
        <v>29411</v>
      </c>
      <c r="AT55" s="30" t="n">
        <v>29411</v>
      </c>
      <c r="AU55" s="30" t="n">
        <v>29411</v>
      </c>
      <c r="AV55" s="30" t="n">
        <v>29411</v>
      </c>
      <c r="AW55" s="30" t="n">
        <v>29411</v>
      </c>
      <c r="AX55" s="30" t="n">
        <v>29411</v>
      </c>
      <c r="AY55" s="30" t="n">
        <v>29411</v>
      </c>
      <c r="AZ55" s="30" t="n">
        <v>29411</v>
      </c>
      <c r="BA55" s="30" t="n">
        <v>29411</v>
      </c>
      <c r="BB55" s="30" t="n">
        <v>29411</v>
      </c>
      <c r="BC55" s="30" t="n">
        <v>29411</v>
      </c>
      <c r="BD55" s="30" t="n">
        <v>29411</v>
      </c>
      <c r="BE55" s="30" t="n">
        <v>29411</v>
      </c>
    </row>
    <row r="56">
      <c r="A56" s="10" t="n"/>
      <c r="B56" s="10" t="n"/>
      <c r="C56" s="14" t="n"/>
      <c r="D56" s="12" t="n"/>
      <c r="E56" s="57" t="inlineStr">
        <is>
          <t>% Semanal</t>
        </is>
      </c>
      <c r="F56" s="60" t="n">
        <v>0.488</v>
      </c>
      <c r="G56" s="60" t="n">
        <v>0.488</v>
      </c>
      <c r="H56" s="60" t="n">
        <v>0.024</v>
      </c>
      <c r="I56" s="59" t="n"/>
      <c r="J56" s="59" t="n"/>
      <c r="K56" s="59" t="n"/>
      <c r="L56" s="59" t="n"/>
      <c r="M56" s="59" t="n"/>
      <c r="N56" s="59" t="n"/>
      <c r="O56" s="59" t="n"/>
      <c r="P56" s="59" t="n"/>
      <c r="Q56" s="59" t="n"/>
      <c r="R56" s="59" t="n"/>
      <c r="S56" s="59" t="n"/>
      <c r="T56" s="59" t="n"/>
      <c r="U56" s="59" t="n"/>
      <c r="V56" s="59" t="n"/>
      <c r="W56" s="59" t="n"/>
      <c r="X56" s="59" t="n"/>
      <c r="Y56" s="59" t="n"/>
      <c r="Z56" s="59" t="n"/>
      <c r="AA56" s="59" t="n"/>
      <c r="AB56" s="59" t="n"/>
      <c r="AC56" s="59" t="n"/>
      <c r="AD56" s="59" t="n"/>
      <c r="AE56" s="59" t="n"/>
      <c r="AF56" s="59" t="n"/>
      <c r="AG56" s="59" t="n"/>
      <c r="AH56" s="59" t="n"/>
      <c r="AI56" s="59" t="n"/>
      <c r="AJ56" s="59" t="n"/>
      <c r="AK56" s="59" t="n"/>
      <c r="AL56" s="59" t="n"/>
      <c r="AM56" s="59" t="n"/>
      <c r="AN56" s="59" t="n"/>
      <c r="AO56" s="59" t="n"/>
      <c r="AP56" s="59" t="n"/>
      <c r="AQ56" s="59" t="n"/>
      <c r="AR56" s="59" t="n"/>
      <c r="AS56" s="59" t="n"/>
      <c r="AT56" s="59" t="n"/>
      <c r="AU56" s="59" t="n"/>
      <c r="AV56" s="59" t="n"/>
      <c r="AW56" s="59" t="n"/>
      <c r="AX56" s="59" t="n"/>
      <c r="AY56" s="59" t="n"/>
      <c r="AZ56" s="59" t="n"/>
      <c r="BA56" s="59" t="n"/>
      <c r="BB56" s="59" t="n"/>
      <c r="BC56" s="59" t="n"/>
      <c r="BD56" s="59" t="n"/>
      <c r="BE56" s="59" t="n"/>
    </row>
    <row r="57">
      <c r="A57" s="10" t="n"/>
      <c r="B57" s="10" t="n"/>
      <c r="C57" s="14" t="n"/>
      <c r="D57" s="12" t="n"/>
      <c r="E57" s="57" t="inlineStr">
        <is>
          <t>% Acumulado</t>
        </is>
      </c>
      <c r="F57" s="60" t="n">
        <v>0.488</v>
      </c>
      <c r="G57" s="60" t="n">
        <v>0.976</v>
      </c>
      <c r="H57" s="60" t="n">
        <v>1</v>
      </c>
      <c r="I57" s="60" t="n">
        <v>1</v>
      </c>
      <c r="J57" s="60" t="n">
        <v>1</v>
      </c>
      <c r="K57" s="60" t="n">
        <v>1</v>
      </c>
      <c r="L57" s="60" t="n">
        <v>1</v>
      </c>
      <c r="M57" s="60" t="n">
        <v>1</v>
      </c>
      <c r="N57" s="60" t="n">
        <v>1</v>
      </c>
      <c r="O57" s="60" t="n">
        <v>1</v>
      </c>
      <c r="P57" s="60" t="n">
        <v>1</v>
      </c>
      <c r="Q57" s="60" t="n">
        <v>1</v>
      </c>
      <c r="R57" s="60" t="n">
        <v>1</v>
      </c>
      <c r="S57" s="60" t="n">
        <v>1</v>
      </c>
      <c r="T57" s="60" t="n">
        <v>1</v>
      </c>
      <c r="U57" s="60" t="n">
        <v>1</v>
      </c>
      <c r="V57" s="60" t="n">
        <v>1</v>
      </c>
      <c r="W57" s="60" t="n">
        <v>1</v>
      </c>
      <c r="X57" s="60" t="n">
        <v>1</v>
      </c>
      <c r="Y57" s="60" t="n">
        <v>1</v>
      </c>
      <c r="Z57" s="60" t="n">
        <v>1</v>
      </c>
      <c r="AA57" s="60" t="n">
        <v>1</v>
      </c>
      <c r="AB57" s="60" t="n">
        <v>1</v>
      </c>
      <c r="AC57" s="60" t="n">
        <v>1</v>
      </c>
      <c r="AD57" s="60" t="n">
        <v>1</v>
      </c>
      <c r="AE57" s="60" t="n">
        <v>1</v>
      </c>
      <c r="AF57" s="60" t="n">
        <v>1</v>
      </c>
      <c r="AG57" s="60" t="n">
        <v>1</v>
      </c>
      <c r="AH57" s="60" t="n">
        <v>1</v>
      </c>
      <c r="AI57" s="60" t="n">
        <v>1</v>
      </c>
      <c r="AJ57" s="60" t="n">
        <v>1</v>
      </c>
      <c r="AK57" s="60" t="n">
        <v>1</v>
      </c>
      <c r="AL57" s="60" t="n">
        <v>1</v>
      </c>
      <c r="AM57" s="60" t="n">
        <v>1</v>
      </c>
      <c r="AN57" s="60" t="n">
        <v>1</v>
      </c>
      <c r="AO57" s="60" t="n">
        <v>1</v>
      </c>
      <c r="AP57" s="60" t="n">
        <v>1</v>
      </c>
      <c r="AQ57" s="60" t="n">
        <v>1</v>
      </c>
      <c r="AR57" s="60" t="n">
        <v>1</v>
      </c>
      <c r="AS57" s="60" t="n">
        <v>1</v>
      </c>
      <c r="AT57" s="60" t="n">
        <v>1</v>
      </c>
      <c r="AU57" s="60" t="n">
        <v>1</v>
      </c>
      <c r="AV57" s="60" t="n">
        <v>1</v>
      </c>
      <c r="AW57" s="60" t="n">
        <v>1</v>
      </c>
      <c r="AX57" s="60" t="n">
        <v>1</v>
      </c>
      <c r="AY57" s="60" t="n">
        <v>1</v>
      </c>
      <c r="AZ57" s="60" t="n">
        <v>1</v>
      </c>
      <c r="BA57" s="60" t="n">
        <v>1</v>
      </c>
      <c r="BB57" s="60" t="n">
        <v>1</v>
      </c>
      <c r="BC57" s="60" t="n">
        <v>1</v>
      </c>
      <c r="BD57" s="60" t="n">
        <v>1</v>
      </c>
      <c r="BE57" s="60" t="n">
        <v>1</v>
      </c>
    </row>
    <row r="58">
      <c r="A58" s="61" t="inlineStr">
        <is>
          <t>eap-1_9</t>
        </is>
      </c>
      <c r="B58" s="61" t="inlineStr">
        <is>
          <t>Construcao corpo aterro material 3a categoria</t>
        </is>
      </c>
      <c r="C58" s="62" t="inlineStr">
        <is>
          <t>m3</t>
        </is>
      </c>
      <c r="D58" s="63" t="n">
        <v>981153.5</v>
      </c>
      <c r="E58" s="64" t="inlineStr">
        <is>
          <t>Dias Trabalhados</t>
        </is>
      </c>
      <c r="F58" s="65" t="n">
        <v>6</v>
      </c>
      <c r="G58" s="65" t="n">
        <v>6</v>
      </c>
      <c r="H58" s="65" t="n">
        <v>6</v>
      </c>
      <c r="I58" s="65" t="n">
        <v>6</v>
      </c>
      <c r="J58" s="65" t="n">
        <v>6</v>
      </c>
      <c r="K58" s="65" t="n">
        <v>6</v>
      </c>
      <c r="L58" s="65" t="n">
        <v>6</v>
      </c>
      <c r="M58" s="65" t="n">
        <v>6</v>
      </c>
      <c r="N58" s="65" t="n">
        <v>6</v>
      </c>
      <c r="O58" s="65" t="n">
        <v>6</v>
      </c>
      <c r="P58" s="65" t="n">
        <v>6</v>
      </c>
      <c r="Q58" s="65" t="n">
        <v>6</v>
      </c>
      <c r="R58" s="65" t="n">
        <v>6</v>
      </c>
      <c r="S58" s="65" t="n">
        <v>6</v>
      </c>
      <c r="T58" s="65" t="n">
        <v>6</v>
      </c>
      <c r="U58" s="65" t="n">
        <v>6</v>
      </c>
      <c r="V58" s="65" t="n">
        <v>6</v>
      </c>
      <c r="W58" s="65" t="n">
        <v>6</v>
      </c>
      <c r="X58" s="65" t="n">
        <v>6</v>
      </c>
      <c r="Y58" s="65" t="n">
        <v>6</v>
      </c>
      <c r="Z58" s="65" t="n">
        <v>6</v>
      </c>
      <c r="AA58" s="65" t="n">
        <v>6</v>
      </c>
      <c r="AB58" s="65" t="n">
        <v>6</v>
      </c>
      <c r="AC58" s="65" t="n">
        <v>6</v>
      </c>
      <c r="AD58" s="65" t="n">
        <v>6</v>
      </c>
      <c r="AE58" s="65" t="n">
        <v>6</v>
      </c>
      <c r="AF58" s="65" t="n">
        <v>6</v>
      </c>
      <c r="AG58" s="65" t="n">
        <v>6</v>
      </c>
      <c r="AH58" s="65" t="n">
        <v>6</v>
      </c>
      <c r="AI58" s="65" t="n">
        <v>6</v>
      </c>
      <c r="AJ58" s="65" t="n">
        <v>6</v>
      </c>
      <c r="AK58" s="65" t="n">
        <v>6</v>
      </c>
      <c r="AL58" s="65" t="n">
        <v>6</v>
      </c>
      <c r="AM58" s="65" t="n">
        <v>6</v>
      </c>
      <c r="AN58" s="65" t="n">
        <v>6</v>
      </c>
      <c r="AO58" s="65" t="n">
        <v>6</v>
      </c>
      <c r="AP58" s="65" t="n">
        <v>6</v>
      </c>
      <c r="AQ58" s="65" t="n">
        <v>6</v>
      </c>
      <c r="AR58" s="65" t="n">
        <v>6</v>
      </c>
      <c r="AS58" s="65" t="n">
        <v>6</v>
      </c>
      <c r="AT58" s="65" t="n">
        <v>6</v>
      </c>
      <c r="AU58" s="65" t="n">
        <v>6</v>
      </c>
      <c r="AV58" s="65" t="n">
        <v>6</v>
      </c>
      <c r="AW58" s="65" t="n">
        <v>6</v>
      </c>
      <c r="AX58" s="65" t="n">
        <v>6</v>
      </c>
      <c r="AY58" s="65" t="n">
        <v>6</v>
      </c>
      <c r="AZ58" s="65" t="n">
        <v>6</v>
      </c>
      <c r="BA58" s="65" t="n">
        <v>6</v>
      </c>
      <c r="BB58" s="65" t="n">
        <v>6</v>
      </c>
      <c r="BC58" s="65" t="n">
        <v>6</v>
      </c>
      <c r="BD58" s="65" t="n">
        <v>6</v>
      </c>
      <c r="BE58" s="65" t="n">
        <v>6</v>
      </c>
    </row>
    <row r="59">
      <c r="A59" s="20" t="n"/>
      <c r="B59" s="20" t="n"/>
      <c r="C59" s="24" t="n"/>
      <c r="D59" s="22" t="n"/>
      <c r="E59" s="67" t="inlineStr">
        <is>
          <t>Nº De Equipes</t>
        </is>
      </c>
      <c r="F59" s="68" t="n">
        <v>2</v>
      </c>
      <c r="G59" s="68" t="n">
        <v>2</v>
      </c>
      <c r="H59" s="68" t="n">
        <v>2</v>
      </c>
      <c r="I59" s="68" t="n">
        <v>2</v>
      </c>
      <c r="J59" s="68" t="n">
        <v>2</v>
      </c>
      <c r="K59" s="68" t="n">
        <v>2</v>
      </c>
      <c r="L59" s="68" t="n">
        <v>2</v>
      </c>
      <c r="M59" s="68" t="n">
        <v>2</v>
      </c>
      <c r="N59" s="68" t="n">
        <v>2</v>
      </c>
      <c r="O59" s="68" t="n">
        <v>2</v>
      </c>
      <c r="P59" s="68" t="n">
        <v>2</v>
      </c>
      <c r="Q59" s="68" t="n">
        <v>2</v>
      </c>
      <c r="R59" s="68" t="n">
        <v>2</v>
      </c>
      <c r="S59" s="68" t="n">
        <v>2</v>
      </c>
      <c r="T59" s="68" t="n">
        <v>2</v>
      </c>
      <c r="U59" s="68" t="n">
        <v>2</v>
      </c>
      <c r="V59" s="68" t="n">
        <v>2</v>
      </c>
      <c r="W59" s="68" t="n">
        <v>2</v>
      </c>
      <c r="X59" s="68" t="n">
        <v>2</v>
      </c>
      <c r="Y59" s="68" t="n">
        <v>2</v>
      </c>
      <c r="Z59" s="68" t="n">
        <v>2</v>
      </c>
      <c r="AA59" s="68" t="n">
        <v>2</v>
      </c>
      <c r="AB59" s="68" t="n">
        <v>2</v>
      </c>
      <c r="AC59" s="68" t="n">
        <v>2</v>
      </c>
      <c r="AD59" s="68" t="n">
        <v>2</v>
      </c>
      <c r="AE59" s="68" t="n">
        <v>2</v>
      </c>
      <c r="AF59" s="68" t="n">
        <v>2</v>
      </c>
      <c r="AG59" s="68" t="n">
        <v>2</v>
      </c>
      <c r="AH59" s="68" t="n">
        <v>2</v>
      </c>
      <c r="AI59" s="68" t="n">
        <v>2</v>
      </c>
      <c r="AJ59" s="68" t="n">
        <v>2</v>
      </c>
      <c r="AK59" s="68" t="n">
        <v>2</v>
      </c>
      <c r="AL59" s="68" t="n">
        <v>2</v>
      </c>
      <c r="AM59" s="68" t="n">
        <v>2</v>
      </c>
      <c r="AN59" s="68" t="n">
        <v>2</v>
      </c>
      <c r="AO59" s="68" t="n">
        <v>2</v>
      </c>
      <c r="AP59" s="68" t="n">
        <v>2</v>
      </c>
      <c r="AQ59" s="68" t="n">
        <v>2</v>
      </c>
      <c r="AR59" s="68" t="n">
        <v>2</v>
      </c>
      <c r="AS59" s="68" t="n">
        <v>2</v>
      </c>
      <c r="AT59" s="68" t="n">
        <v>2</v>
      </c>
      <c r="AU59" s="68" t="n">
        <v>2</v>
      </c>
      <c r="AV59" s="68" t="n">
        <v>2</v>
      </c>
      <c r="AW59" s="68" t="n">
        <v>2</v>
      </c>
      <c r="AX59" s="68" t="n">
        <v>2</v>
      </c>
      <c r="AY59" s="68" t="n">
        <v>2</v>
      </c>
      <c r="AZ59" s="68" t="n">
        <v>2</v>
      </c>
      <c r="BA59" s="68" t="n">
        <v>2</v>
      </c>
      <c r="BB59" s="68" t="n">
        <v>2</v>
      </c>
      <c r="BC59" s="68" t="n">
        <v>2</v>
      </c>
      <c r="BD59" s="68" t="n">
        <v>2</v>
      </c>
      <c r="BE59" s="68" t="n">
        <v>2</v>
      </c>
    </row>
    <row r="60">
      <c r="A60" s="20" t="n"/>
      <c r="B60" s="20" t="n"/>
      <c r="C60" s="24" t="n"/>
      <c r="D60" s="22" t="n"/>
      <c r="E60" s="67" t="inlineStr">
        <is>
          <t>Qtd. Planejada</t>
        </is>
      </c>
      <c r="F60" s="33" t="n">
        <v>23040</v>
      </c>
      <c r="G60" s="33" t="n">
        <v>23040</v>
      </c>
      <c r="H60" s="33" t="n">
        <v>23040</v>
      </c>
      <c r="I60" s="33" t="n">
        <v>23040</v>
      </c>
      <c r="J60" s="33" t="n">
        <v>23040</v>
      </c>
      <c r="K60" s="33" t="n">
        <v>23040</v>
      </c>
      <c r="L60" s="33" t="n">
        <v>23040</v>
      </c>
      <c r="M60" s="33" t="n">
        <v>23040</v>
      </c>
      <c r="N60" s="33" t="n">
        <v>23040</v>
      </c>
      <c r="O60" s="33" t="n">
        <v>23040</v>
      </c>
      <c r="P60" s="33" t="n">
        <v>23040</v>
      </c>
      <c r="Q60" s="33" t="n">
        <v>23040</v>
      </c>
      <c r="R60" s="33" t="n">
        <v>23040</v>
      </c>
      <c r="S60" s="33" t="n">
        <v>23040</v>
      </c>
      <c r="T60" s="33" t="n">
        <v>23040</v>
      </c>
      <c r="U60" s="33" t="n">
        <v>23040</v>
      </c>
      <c r="V60" s="33" t="n">
        <v>23040</v>
      </c>
      <c r="W60" s="33" t="n">
        <v>21503.23</v>
      </c>
      <c r="X60" s="33" t="n">
        <v>21503.23</v>
      </c>
      <c r="Y60" s="33" t="n">
        <v>21503.23</v>
      </c>
      <c r="Z60" s="33" t="n">
        <v>21503.23</v>
      </c>
      <c r="AA60" s="33" t="n">
        <v>21553.92</v>
      </c>
      <c r="AB60" s="33" t="n">
        <v>21553.92</v>
      </c>
      <c r="AC60" s="33" t="n">
        <v>21553.92</v>
      </c>
      <c r="AD60" s="33" t="n">
        <v>21553.92</v>
      </c>
      <c r="AE60" s="33" t="n">
        <v>21553.92</v>
      </c>
      <c r="AF60" s="33" t="n">
        <v>21553.92</v>
      </c>
      <c r="AG60" s="33" t="n">
        <v>21553.92</v>
      </c>
      <c r="AH60" s="33" t="n">
        <v>21553.92</v>
      </c>
      <c r="AI60" s="33" t="n">
        <v>21553.92</v>
      </c>
      <c r="AJ60" s="33" t="n">
        <v>19323.65</v>
      </c>
      <c r="AK60" s="33" t="n">
        <v>19323.65</v>
      </c>
      <c r="AL60" s="33" t="n">
        <v>19323.65</v>
      </c>
      <c r="AM60" s="33" t="n">
        <v>19323.65</v>
      </c>
      <c r="AN60" s="33" t="n">
        <v>18102.53</v>
      </c>
      <c r="AO60" s="33" t="n">
        <v>18102.53</v>
      </c>
      <c r="AP60" s="33" t="n">
        <v>18102.53</v>
      </c>
      <c r="AQ60" s="33" t="n">
        <v>18102.53</v>
      </c>
      <c r="AR60" s="33" t="n">
        <v>14121.22</v>
      </c>
      <c r="AS60" s="33" t="n">
        <v>14121.22</v>
      </c>
      <c r="AT60" s="33" t="n">
        <v>14121.22</v>
      </c>
      <c r="AU60" s="33" t="n">
        <v>14121.22</v>
      </c>
      <c r="AV60" s="33" t="n">
        <v>20736</v>
      </c>
      <c r="AW60" s="33" t="n">
        <v>20736</v>
      </c>
      <c r="AX60" s="33" t="n">
        <v>20736</v>
      </c>
      <c r="AY60" s="33" t="n">
        <v>20736</v>
      </c>
      <c r="AZ60" s="33" t="n">
        <v>20067.84</v>
      </c>
      <c r="BA60" s="33" t="n">
        <v>273.88</v>
      </c>
      <c r="BB60" s="69" t="n"/>
      <c r="BC60" s="69" t="n"/>
      <c r="BD60" s="69" t="n"/>
      <c r="BE60" s="69" t="n"/>
    </row>
    <row r="61">
      <c r="A61" s="20" t="n"/>
      <c r="B61" s="20" t="n"/>
      <c r="C61" s="24" t="n"/>
      <c r="D61" s="22" t="n"/>
      <c r="E61" s="67" t="inlineStr">
        <is>
          <t>Qtd Plan. Acumulada</t>
        </is>
      </c>
      <c r="F61" s="33" t="n">
        <v>23040</v>
      </c>
      <c r="G61" s="33" t="n">
        <v>46080</v>
      </c>
      <c r="H61" s="33" t="n">
        <v>69120</v>
      </c>
      <c r="I61" s="33" t="n">
        <v>92160</v>
      </c>
      <c r="J61" s="33" t="n">
        <v>115200</v>
      </c>
      <c r="K61" s="33" t="n">
        <v>138240</v>
      </c>
      <c r="L61" s="33" t="n">
        <v>161280</v>
      </c>
      <c r="M61" s="33" t="n">
        <v>184320</v>
      </c>
      <c r="N61" s="33" t="n">
        <v>207360</v>
      </c>
      <c r="O61" s="33" t="n">
        <v>230400</v>
      </c>
      <c r="P61" s="33" t="n">
        <v>253440</v>
      </c>
      <c r="Q61" s="33" t="n">
        <v>276480</v>
      </c>
      <c r="R61" s="33" t="n">
        <v>299520</v>
      </c>
      <c r="S61" s="33" t="n">
        <v>322560</v>
      </c>
      <c r="T61" s="33" t="n">
        <v>345600</v>
      </c>
      <c r="U61" s="33" t="n">
        <v>368640</v>
      </c>
      <c r="V61" s="33" t="n">
        <v>391680</v>
      </c>
      <c r="W61" s="33" t="n">
        <v>413183.23</v>
      </c>
      <c r="X61" s="33" t="n">
        <v>434686.46</v>
      </c>
      <c r="Y61" s="33" t="n">
        <v>456189.7</v>
      </c>
      <c r="Z61" s="33" t="n">
        <v>477692.93</v>
      </c>
      <c r="AA61" s="33" t="n">
        <v>499246.85</v>
      </c>
      <c r="AB61" s="33" t="n">
        <v>520800.77</v>
      </c>
      <c r="AC61" s="33" t="n">
        <v>542354.6899999999</v>
      </c>
      <c r="AD61" s="33" t="n">
        <v>563908.61</v>
      </c>
      <c r="AE61" s="33" t="n">
        <v>585462.53</v>
      </c>
      <c r="AF61" s="33" t="n">
        <v>607016.45</v>
      </c>
      <c r="AG61" s="33" t="n">
        <v>628570.37</v>
      </c>
      <c r="AH61" s="33" t="n">
        <v>650124.29</v>
      </c>
      <c r="AI61" s="33" t="n">
        <v>671678.21</v>
      </c>
      <c r="AJ61" s="33" t="n">
        <v>691001.86</v>
      </c>
      <c r="AK61" s="33" t="n">
        <v>710325.5</v>
      </c>
      <c r="AL61" s="33" t="n">
        <v>729649.15</v>
      </c>
      <c r="AM61" s="33" t="n">
        <v>748972.8</v>
      </c>
      <c r="AN61" s="33" t="n">
        <v>767075.33</v>
      </c>
      <c r="AO61" s="33" t="n">
        <v>785177.86</v>
      </c>
      <c r="AP61" s="33" t="n">
        <v>803280.38</v>
      </c>
      <c r="AQ61" s="33" t="n">
        <v>821382.91</v>
      </c>
      <c r="AR61" s="33" t="n">
        <v>835504.13</v>
      </c>
      <c r="AS61" s="33" t="n">
        <v>849625.34</v>
      </c>
      <c r="AT61" s="33" t="n">
        <v>863746.5600000001</v>
      </c>
      <c r="AU61" s="33" t="n">
        <v>877867.78</v>
      </c>
      <c r="AV61" s="33" t="n">
        <v>898603.78</v>
      </c>
      <c r="AW61" s="33" t="n">
        <v>919339.78</v>
      </c>
      <c r="AX61" s="33" t="n">
        <v>940075.78</v>
      </c>
      <c r="AY61" s="33" t="n">
        <v>960811.78</v>
      </c>
      <c r="AZ61" s="33" t="n">
        <v>980879.62</v>
      </c>
      <c r="BA61" s="33" t="n">
        <v>981153.5</v>
      </c>
      <c r="BB61" s="33" t="n">
        <v>981153.5</v>
      </c>
      <c r="BC61" s="33" t="n">
        <v>981153.5</v>
      </c>
      <c r="BD61" s="33" t="n">
        <v>981153.5</v>
      </c>
      <c r="BE61" s="33" t="n">
        <v>981153.5</v>
      </c>
    </row>
    <row r="62">
      <c r="A62" s="20" t="n"/>
      <c r="B62" s="20" t="n"/>
      <c r="C62" s="24" t="n"/>
      <c r="D62" s="22" t="n"/>
      <c r="E62" s="67" t="inlineStr">
        <is>
          <t>% Semanal</t>
        </is>
      </c>
      <c r="F62" s="70" t="n">
        <v>0.0235</v>
      </c>
      <c r="G62" s="70" t="n">
        <v>0.0235</v>
      </c>
      <c r="H62" s="70" t="n">
        <v>0.0235</v>
      </c>
      <c r="I62" s="70" t="n">
        <v>0.0235</v>
      </c>
      <c r="J62" s="70" t="n">
        <v>0.0235</v>
      </c>
      <c r="K62" s="70" t="n">
        <v>0.0235</v>
      </c>
      <c r="L62" s="70" t="n">
        <v>0.0235</v>
      </c>
      <c r="M62" s="70" t="n">
        <v>0.0235</v>
      </c>
      <c r="N62" s="70" t="n">
        <v>0.0235</v>
      </c>
      <c r="O62" s="70" t="n">
        <v>0.0235</v>
      </c>
      <c r="P62" s="70" t="n">
        <v>0.0235</v>
      </c>
      <c r="Q62" s="70" t="n">
        <v>0.0235</v>
      </c>
      <c r="R62" s="70" t="n">
        <v>0.0235</v>
      </c>
      <c r="S62" s="70" t="n">
        <v>0.0235</v>
      </c>
      <c r="T62" s="70" t="n">
        <v>0.0235</v>
      </c>
      <c r="U62" s="70" t="n">
        <v>0.0235</v>
      </c>
      <c r="V62" s="70" t="n">
        <v>0.0235</v>
      </c>
      <c r="W62" s="70" t="n">
        <v>0.0219</v>
      </c>
      <c r="X62" s="70" t="n">
        <v>0.0219</v>
      </c>
      <c r="Y62" s="70" t="n">
        <v>0.0219</v>
      </c>
      <c r="Z62" s="70" t="n">
        <v>0.0219</v>
      </c>
      <c r="AA62" s="70" t="n">
        <v>0.022</v>
      </c>
      <c r="AB62" s="70" t="n">
        <v>0.022</v>
      </c>
      <c r="AC62" s="70" t="n">
        <v>0.022</v>
      </c>
      <c r="AD62" s="70" t="n">
        <v>0.022</v>
      </c>
      <c r="AE62" s="70" t="n">
        <v>0.022</v>
      </c>
      <c r="AF62" s="70" t="n">
        <v>0.022</v>
      </c>
      <c r="AG62" s="70" t="n">
        <v>0.022</v>
      </c>
      <c r="AH62" s="70" t="n">
        <v>0.022</v>
      </c>
      <c r="AI62" s="70" t="n">
        <v>0.022</v>
      </c>
      <c r="AJ62" s="70" t="n">
        <v>0.0197</v>
      </c>
      <c r="AK62" s="70" t="n">
        <v>0.0197</v>
      </c>
      <c r="AL62" s="70" t="n">
        <v>0.0197</v>
      </c>
      <c r="AM62" s="70" t="n">
        <v>0.0197</v>
      </c>
      <c r="AN62" s="70" t="n">
        <v>0.0185</v>
      </c>
      <c r="AO62" s="70" t="n">
        <v>0.0185</v>
      </c>
      <c r="AP62" s="70" t="n">
        <v>0.0185</v>
      </c>
      <c r="AQ62" s="70" t="n">
        <v>0.0185</v>
      </c>
      <c r="AR62" s="70" t="n">
        <v>0.0144</v>
      </c>
      <c r="AS62" s="70" t="n">
        <v>0.0144</v>
      </c>
      <c r="AT62" s="70" t="n">
        <v>0.0144</v>
      </c>
      <c r="AU62" s="70" t="n">
        <v>0.0144</v>
      </c>
      <c r="AV62" s="70" t="n">
        <v>0.0211</v>
      </c>
      <c r="AW62" s="70" t="n">
        <v>0.0211</v>
      </c>
      <c r="AX62" s="70" t="n">
        <v>0.0211</v>
      </c>
      <c r="AY62" s="70" t="n">
        <v>0.0211</v>
      </c>
      <c r="AZ62" s="70" t="n">
        <v>0.0205</v>
      </c>
      <c r="BA62" s="70" t="n">
        <v>0.0003</v>
      </c>
      <c r="BB62" s="69" t="n"/>
      <c r="BC62" s="69" t="n"/>
      <c r="BD62" s="69" t="n"/>
      <c r="BE62" s="69" t="n"/>
    </row>
    <row r="63">
      <c r="A63" s="20" t="n"/>
      <c r="B63" s="20" t="n"/>
      <c r="C63" s="24" t="n"/>
      <c r="D63" s="22" t="n"/>
      <c r="E63" s="67" t="inlineStr">
        <is>
          <t>% Acumulado</t>
        </is>
      </c>
      <c r="F63" s="70" t="n">
        <v>0.0235</v>
      </c>
      <c r="G63" s="70" t="n">
        <v>0.047</v>
      </c>
      <c r="H63" s="70" t="n">
        <v>0.0704</v>
      </c>
      <c r="I63" s="70" t="n">
        <v>0.0939</v>
      </c>
      <c r="J63" s="70" t="n">
        <v>0.1174</v>
      </c>
      <c r="K63" s="70" t="n">
        <v>0.1409</v>
      </c>
      <c r="L63" s="70" t="n">
        <v>0.1644</v>
      </c>
      <c r="M63" s="70" t="n">
        <v>0.1879</v>
      </c>
      <c r="N63" s="70" t="n">
        <v>0.2113</v>
      </c>
      <c r="O63" s="70" t="n">
        <v>0.2348</v>
      </c>
      <c r="P63" s="70" t="n">
        <v>0.2583</v>
      </c>
      <c r="Q63" s="70" t="n">
        <v>0.2818</v>
      </c>
      <c r="R63" s="70" t="n">
        <v>0.3053</v>
      </c>
      <c r="S63" s="70" t="n">
        <v>0.3288</v>
      </c>
      <c r="T63" s="70" t="n">
        <v>0.3522</v>
      </c>
      <c r="U63" s="70" t="n">
        <v>0.3757</v>
      </c>
      <c r="V63" s="70" t="n">
        <v>0.3992</v>
      </c>
      <c r="W63" s="70" t="n">
        <v>0.4211</v>
      </c>
      <c r="X63" s="70" t="n">
        <v>0.443</v>
      </c>
      <c r="Y63" s="70" t="n">
        <v>0.465</v>
      </c>
      <c r="Z63" s="70" t="n">
        <v>0.4869</v>
      </c>
      <c r="AA63" s="70" t="n">
        <v>0.5088</v>
      </c>
      <c r="AB63" s="70" t="n">
        <v>0.5308</v>
      </c>
      <c r="AC63" s="70" t="n">
        <v>0.5528</v>
      </c>
      <c r="AD63" s="70" t="n">
        <v>0.5747</v>
      </c>
      <c r="AE63" s="70" t="n">
        <v>0.5967</v>
      </c>
      <c r="AF63" s="70" t="n">
        <v>0.6187</v>
      </c>
      <c r="AG63" s="70" t="n">
        <v>0.6405999999999999</v>
      </c>
      <c r="AH63" s="70" t="n">
        <v>0.6626</v>
      </c>
      <c r="AI63" s="70" t="n">
        <v>0.6846</v>
      </c>
      <c r="AJ63" s="70" t="n">
        <v>0.7043</v>
      </c>
      <c r="AK63" s="70" t="n">
        <v>0.724</v>
      </c>
      <c r="AL63" s="70" t="n">
        <v>0.7437</v>
      </c>
      <c r="AM63" s="70" t="n">
        <v>0.7634</v>
      </c>
      <c r="AN63" s="70" t="n">
        <v>0.7818000000000001</v>
      </c>
      <c r="AO63" s="70" t="n">
        <v>0.8003</v>
      </c>
      <c r="AP63" s="70" t="n">
        <v>0.8187</v>
      </c>
      <c r="AQ63" s="70" t="n">
        <v>0.8372000000000001</v>
      </c>
      <c r="AR63" s="70" t="n">
        <v>0.8516</v>
      </c>
      <c r="AS63" s="70" t="n">
        <v>0.8659</v>
      </c>
      <c r="AT63" s="70" t="n">
        <v>0.8803</v>
      </c>
      <c r="AU63" s="70" t="n">
        <v>0.8947000000000001</v>
      </c>
      <c r="AV63" s="70" t="n">
        <v>0.9159</v>
      </c>
      <c r="AW63" s="70" t="n">
        <v>0.9370000000000001</v>
      </c>
      <c r="AX63" s="70" t="n">
        <v>0.9581</v>
      </c>
      <c r="AY63" s="70" t="n">
        <v>0.9792999999999999</v>
      </c>
      <c r="AZ63" s="70" t="n">
        <v>0.9997</v>
      </c>
      <c r="BA63" s="70" t="n">
        <v>1</v>
      </c>
      <c r="BB63" s="70" t="n">
        <v>1</v>
      </c>
      <c r="BC63" s="70" t="n">
        <v>1</v>
      </c>
      <c r="BD63" s="70" t="n">
        <v>1</v>
      </c>
      <c r="BE63" s="70" t="n">
        <v>1</v>
      </c>
    </row>
    <row r="64">
      <c r="A64" s="16" t="inlineStr">
        <is>
          <t>eap-1_10</t>
        </is>
      </c>
      <c r="B64" s="16" t="inlineStr">
        <is>
          <t>Compactacao camada final aterro sobre rocha</t>
        </is>
      </c>
      <c r="C64" s="52" t="inlineStr">
        <is>
          <t>m3</t>
        </is>
      </c>
      <c r="D64" s="53" t="n">
        <v>24721.17</v>
      </c>
      <c r="E64" s="54" t="inlineStr">
        <is>
          <t>Dias Trabalhados</t>
        </is>
      </c>
      <c r="F64" s="55" t="n">
        <v>6</v>
      </c>
      <c r="G64" s="55" t="n">
        <v>6</v>
      </c>
      <c r="H64" s="55" t="n">
        <v>6</v>
      </c>
      <c r="I64" s="55" t="n">
        <v>6</v>
      </c>
      <c r="J64" s="55" t="n">
        <v>6</v>
      </c>
      <c r="K64" s="55" t="n">
        <v>6</v>
      </c>
      <c r="L64" s="56" t="n"/>
      <c r="M64" s="56" t="n"/>
      <c r="N64" s="56" t="n"/>
      <c r="O64" s="56" t="n"/>
      <c r="P64" s="56" t="n"/>
      <c r="Q64" s="56" t="n"/>
      <c r="R64" s="56" t="n"/>
      <c r="S64" s="56" t="n"/>
      <c r="T64" s="56" t="n"/>
      <c r="U64" s="56" t="n"/>
      <c r="V64" s="56" t="n"/>
      <c r="W64" s="56" t="n"/>
      <c r="X64" s="56" t="n"/>
      <c r="Y64" s="56" t="n"/>
      <c r="Z64" s="56" t="n"/>
      <c r="AA64" s="56" t="n"/>
      <c r="AB64" s="56" t="n"/>
      <c r="AC64" s="56" t="n"/>
      <c r="AD64" s="56" t="n"/>
      <c r="AE64" s="56" t="n"/>
      <c r="AF64" s="56" t="n"/>
      <c r="AG64" s="56" t="n"/>
      <c r="AH64" s="56" t="n"/>
      <c r="AI64" s="56" t="n"/>
      <c r="AJ64" s="56" t="n"/>
      <c r="AK64" s="56" t="n"/>
      <c r="AL64" s="56" t="n"/>
      <c r="AM64" s="56" t="n"/>
      <c r="AN64" s="56" t="n"/>
      <c r="AO64" s="56" t="n"/>
      <c r="AP64" s="56" t="n"/>
      <c r="AQ64" s="56" t="n"/>
      <c r="AR64" s="56" t="n"/>
      <c r="AS64" s="56" t="n"/>
      <c r="AT64" s="56" t="n"/>
      <c r="AU64" s="56" t="n"/>
      <c r="AV64" s="56" t="n"/>
      <c r="AW64" s="56" t="n"/>
      <c r="AX64" s="56" t="n"/>
      <c r="AY64" s="56" t="n"/>
      <c r="AZ64" s="56" t="n"/>
      <c r="BA64" s="56" t="n"/>
      <c r="BB64" s="56" t="n"/>
      <c r="BC64" s="56" t="n"/>
      <c r="BD64" s="56" t="n"/>
      <c r="BE64" s="56" t="n"/>
    </row>
    <row r="65">
      <c r="A65" s="10" t="n"/>
      <c r="B65" s="10" t="n"/>
      <c r="C65" s="14" t="n"/>
      <c r="D65" s="12" t="n"/>
      <c r="E65" s="57" t="inlineStr">
        <is>
          <t>Nº De Equipes</t>
        </is>
      </c>
      <c r="F65" s="58" t="n">
        <v>1</v>
      </c>
      <c r="G65" s="58" t="n">
        <v>1</v>
      </c>
      <c r="H65" s="58" t="n">
        <v>1</v>
      </c>
      <c r="I65" s="58" t="n">
        <v>1</v>
      </c>
      <c r="J65" s="58" t="n">
        <v>1</v>
      </c>
      <c r="K65" s="58" t="n">
        <v>1</v>
      </c>
      <c r="L65" s="59" t="n"/>
      <c r="M65" s="59" t="n"/>
      <c r="N65" s="59" t="n"/>
      <c r="O65" s="59" t="n"/>
      <c r="P65" s="59" t="n"/>
      <c r="Q65" s="59" t="n"/>
      <c r="R65" s="59" t="n"/>
      <c r="S65" s="59" t="n"/>
      <c r="T65" s="59" t="n"/>
      <c r="U65" s="59" t="n"/>
      <c r="V65" s="59" t="n"/>
      <c r="W65" s="59" t="n"/>
      <c r="X65" s="59" t="n"/>
      <c r="Y65" s="59" t="n"/>
      <c r="Z65" s="59" t="n"/>
      <c r="AA65" s="59" t="n"/>
      <c r="AB65" s="59" t="n"/>
      <c r="AC65" s="59" t="n"/>
      <c r="AD65" s="59" t="n"/>
      <c r="AE65" s="59" t="n"/>
      <c r="AF65" s="59" t="n"/>
      <c r="AG65" s="59" t="n"/>
      <c r="AH65" s="59" t="n"/>
      <c r="AI65" s="59" t="n"/>
      <c r="AJ65" s="59" t="n"/>
      <c r="AK65" s="59" t="n"/>
      <c r="AL65" s="59" t="n"/>
      <c r="AM65" s="59" t="n"/>
      <c r="AN65" s="59" t="n"/>
      <c r="AO65" s="59" t="n"/>
      <c r="AP65" s="59" t="n"/>
      <c r="AQ65" s="59" t="n"/>
      <c r="AR65" s="59" t="n"/>
      <c r="AS65" s="59" t="n"/>
      <c r="AT65" s="59" t="n"/>
      <c r="AU65" s="59" t="n"/>
      <c r="AV65" s="59" t="n"/>
      <c r="AW65" s="59" t="n"/>
      <c r="AX65" s="59" t="n"/>
      <c r="AY65" s="59" t="n"/>
      <c r="AZ65" s="59" t="n"/>
      <c r="BA65" s="59" t="n"/>
      <c r="BB65" s="59" t="n"/>
      <c r="BC65" s="59" t="n"/>
      <c r="BD65" s="59" t="n"/>
      <c r="BE65" s="59" t="n"/>
    </row>
    <row r="66">
      <c r="A66" s="10" t="n"/>
      <c r="B66" s="10" t="n"/>
      <c r="C66" s="14" t="n"/>
      <c r="D66" s="12" t="n"/>
      <c r="E66" s="57" t="inlineStr">
        <is>
          <t>Qtd. Planejada</t>
        </is>
      </c>
      <c r="F66" s="30" t="n">
        <v>4800</v>
      </c>
      <c r="G66" s="30" t="n">
        <v>4800</v>
      </c>
      <c r="H66" s="30" t="n">
        <v>4800</v>
      </c>
      <c r="I66" s="30" t="n">
        <v>4800</v>
      </c>
      <c r="J66" s="30" t="n">
        <v>4800</v>
      </c>
      <c r="K66" s="30" t="n">
        <v>721.17</v>
      </c>
      <c r="L66" s="59" t="n"/>
      <c r="M66" s="59" t="n"/>
      <c r="N66" s="59" t="n"/>
      <c r="O66" s="59" t="n"/>
      <c r="P66" s="59" t="n"/>
      <c r="Q66" s="59" t="n"/>
      <c r="R66" s="59" t="n"/>
      <c r="S66" s="59" t="n"/>
      <c r="T66" s="59" t="n"/>
      <c r="U66" s="59" t="n"/>
      <c r="V66" s="59" t="n"/>
      <c r="W66" s="59" t="n"/>
      <c r="X66" s="59" t="n"/>
      <c r="Y66" s="59" t="n"/>
      <c r="Z66" s="59" t="n"/>
      <c r="AA66" s="59" t="n"/>
      <c r="AB66" s="59" t="n"/>
      <c r="AC66" s="59" t="n"/>
      <c r="AD66" s="59" t="n"/>
      <c r="AE66" s="59" t="n"/>
      <c r="AF66" s="59" t="n"/>
      <c r="AG66" s="59" t="n"/>
      <c r="AH66" s="59" t="n"/>
      <c r="AI66" s="59" t="n"/>
      <c r="AJ66" s="59" t="n"/>
      <c r="AK66" s="59" t="n"/>
      <c r="AL66" s="59" t="n"/>
      <c r="AM66" s="59" t="n"/>
      <c r="AN66" s="59" t="n"/>
      <c r="AO66" s="59" t="n"/>
      <c r="AP66" s="59" t="n"/>
      <c r="AQ66" s="59" t="n"/>
      <c r="AR66" s="59" t="n"/>
      <c r="AS66" s="59" t="n"/>
      <c r="AT66" s="59" t="n"/>
      <c r="AU66" s="59" t="n"/>
      <c r="AV66" s="59" t="n"/>
      <c r="AW66" s="59" t="n"/>
      <c r="AX66" s="59" t="n"/>
      <c r="AY66" s="59" t="n"/>
      <c r="AZ66" s="59" t="n"/>
      <c r="BA66" s="59" t="n"/>
      <c r="BB66" s="59" t="n"/>
      <c r="BC66" s="59" t="n"/>
      <c r="BD66" s="59" t="n"/>
      <c r="BE66" s="59" t="n"/>
    </row>
    <row r="67">
      <c r="A67" s="10" t="n"/>
      <c r="B67" s="10" t="n"/>
      <c r="C67" s="14" t="n"/>
      <c r="D67" s="12" t="n"/>
      <c r="E67" s="57" t="inlineStr">
        <is>
          <t>Qtd Plan. Acumulada</t>
        </is>
      </c>
      <c r="F67" s="30" t="n">
        <v>4800</v>
      </c>
      <c r="G67" s="30" t="n">
        <v>9600</v>
      </c>
      <c r="H67" s="30" t="n">
        <v>14400</v>
      </c>
      <c r="I67" s="30" t="n">
        <v>19200</v>
      </c>
      <c r="J67" s="30" t="n">
        <v>24000</v>
      </c>
      <c r="K67" s="30" t="n">
        <v>24721.17</v>
      </c>
      <c r="L67" s="30" t="n">
        <v>24721.17</v>
      </c>
      <c r="M67" s="30" t="n">
        <v>24721.17</v>
      </c>
      <c r="N67" s="30" t="n">
        <v>24721.17</v>
      </c>
      <c r="O67" s="30" t="n">
        <v>24721.17</v>
      </c>
      <c r="P67" s="30" t="n">
        <v>24721.17</v>
      </c>
      <c r="Q67" s="30" t="n">
        <v>24721.17</v>
      </c>
      <c r="R67" s="30" t="n">
        <v>24721.17</v>
      </c>
      <c r="S67" s="30" t="n">
        <v>24721.17</v>
      </c>
      <c r="T67" s="30" t="n">
        <v>24721.17</v>
      </c>
      <c r="U67" s="30" t="n">
        <v>24721.17</v>
      </c>
      <c r="V67" s="30" t="n">
        <v>24721.17</v>
      </c>
      <c r="W67" s="30" t="n">
        <v>24721.17</v>
      </c>
      <c r="X67" s="30" t="n">
        <v>24721.17</v>
      </c>
      <c r="Y67" s="30" t="n">
        <v>24721.17</v>
      </c>
      <c r="Z67" s="30" t="n">
        <v>24721.17</v>
      </c>
      <c r="AA67" s="30" t="n">
        <v>24721.17</v>
      </c>
      <c r="AB67" s="30" t="n">
        <v>24721.17</v>
      </c>
      <c r="AC67" s="30" t="n">
        <v>24721.17</v>
      </c>
      <c r="AD67" s="30" t="n">
        <v>24721.17</v>
      </c>
      <c r="AE67" s="30" t="n">
        <v>24721.17</v>
      </c>
      <c r="AF67" s="30" t="n">
        <v>24721.17</v>
      </c>
      <c r="AG67" s="30" t="n">
        <v>24721.17</v>
      </c>
      <c r="AH67" s="30" t="n">
        <v>24721.17</v>
      </c>
      <c r="AI67" s="30" t="n">
        <v>24721.17</v>
      </c>
      <c r="AJ67" s="30" t="n">
        <v>24721.17</v>
      </c>
      <c r="AK67" s="30" t="n">
        <v>24721.17</v>
      </c>
      <c r="AL67" s="30" t="n">
        <v>24721.17</v>
      </c>
      <c r="AM67" s="30" t="n">
        <v>24721.17</v>
      </c>
      <c r="AN67" s="30" t="n">
        <v>24721.17</v>
      </c>
      <c r="AO67" s="30" t="n">
        <v>24721.17</v>
      </c>
      <c r="AP67" s="30" t="n">
        <v>24721.17</v>
      </c>
      <c r="AQ67" s="30" t="n">
        <v>24721.17</v>
      </c>
      <c r="AR67" s="30" t="n">
        <v>24721.17</v>
      </c>
      <c r="AS67" s="30" t="n">
        <v>24721.17</v>
      </c>
      <c r="AT67" s="30" t="n">
        <v>24721.17</v>
      </c>
      <c r="AU67" s="30" t="n">
        <v>24721.17</v>
      </c>
      <c r="AV67" s="30" t="n">
        <v>24721.17</v>
      </c>
      <c r="AW67" s="30" t="n">
        <v>24721.17</v>
      </c>
      <c r="AX67" s="30" t="n">
        <v>24721.17</v>
      </c>
      <c r="AY67" s="30" t="n">
        <v>24721.17</v>
      </c>
      <c r="AZ67" s="30" t="n">
        <v>24721.17</v>
      </c>
      <c r="BA67" s="30" t="n">
        <v>24721.17</v>
      </c>
      <c r="BB67" s="30" t="n">
        <v>24721.17</v>
      </c>
      <c r="BC67" s="30" t="n">
        <v>24721.17</v>
      </c>
      <c r="BD67" s="30" t="n">
        <v>24721.17</v>
      </c>
      <c r="BE67" s="30" t="n">
        <v>24721.17</v>
      </c>
    </row>
    <row r="68">
      <c r="A68" s="10" t="n"/>
      <c r="B68" s="10" t="n"/>
      <c r="C68" s="14" t="n"/>
      <c r="D68" s="12" t="n"/>
      <c r="E68" s="57" t="inlineStr">
        <is>
          <t>% Semanal</t>
        </is>
      </c>
      <c r="F68" s="60" t="n">
        <v>0.1942</v>
      </c>
      <c r="G68" s="60" t="n">
        <v>0.1942</v>
      </c>
      <c r="H68" s="60" t="n">
        <v>0.1942</v>
      </c>
      <c r="I68" s="60" t="n">
        <v>0.1942</v>
      </c>
      <c r="J68" s="60" t="n">
        <v>0.1942</v>
      </c>
      <c r="K68" s="60" t="n">
        <v>0.0292</v>
      </c>
      <c r="L68" s="59" t="n"/>
      <c r="M68" s="59" t="n"/>
      <c r="N68" s="59" t="n"/>
      <c r="O68" s="59" t="n"/>
      <c r="P68" s="59" t="n"/>
      <c r="Q68" s="59" t="n"/>
      <c r="R68" s="59" t="n"/>
      <c r="S68" s="59" t="n"/>
      <c r="T68" s="59" t="n"/>
      <c r="U68" s="59" t="n"/>
      <c r="V68" s="59" t="n"/>
      <c r="W68" s="59" t="n"/>
      <c r="X68" s="59" t="n"/>
      <c r="Y68" s="59" t="n"/>
      <c r="Z68" s="59" t="n"/>
      <c r="AA68" s="59" t="n"/>
      <c r="AB68" s="59" t="n"/>
      <c r="AC68" s="59" t="n"/>
      <c r="AD68" s="59" t="n"/>
      <c r="AE68" s="59" t="n"/>
      <c r="AF68" s="59" t="n"/>
      <c r="AG68" s="59" t="n"/>
      <c r="AH68" s="59" t="n"/>
      <c r="AI68" s="59" t="n"/>
      <c r="AJ68" s="59" t="n"/>
      <c r="AK68" s="59" t="n"/>
      <c r="AL68" s="59" t="n"/>
      <c r="AM68" s="59" t="n"/>
      <c r="AN68" s="59" t="n"/>
      <c r="AO68" s="59" t="n"/>
      <c r="AP68" s="59" t="n"/>
      <c r="AQ68" s="59" t="n"/>
      <c r="AR68" s="59" t="n"/>
      <c r="AS68" s="59" t="n"/>
      <c r="AT68" s="59" t="n"/>
      <c r="AU68" s="59" t="n"/>
      <c r="AV68" s="59" t="n"/>
      <c r="AW68" s="59" t="n"/>
      <c r="AX68" s="59" t="n"/>
      <c r="AY68" s="59" t="n"/>
      <c r="AZ68" s="59" t="n"/>
      <c r="BA68" s="59" t="n"/>
      <c r="BB68" s="59" t="n"/>
      <c r="BC68" s="59" t="n"/>
      <c r="BD68" s="59" t="n"/>
      <c r="BE68" s="59" t="n"/>
    </row>
    <row r="69">
      <c r="A69" s="10" t="n"/>
      <c r="B69" s="10" t="n"/>
      <c r="C69" s="14" t="n"/>
      <c r="D69" s="12" t="n"/>
      <c r="E69" s="57" t="inlineStr">
        <is>
          <t>% Acumulado</t>
        </is>
      </c>
      <c r="F69" s="60" t="n">
        <v>0.1942</v>
      </c>
      <c r="G69" s="60" t="n">
        <v>0.3883</v>
      </c>
      <c r="H69" s="60" t="n">
        <v>0.5825</v>
      </c>
      <c r="I69" s="60" t="n">
        <v>0.7766999999999999</v>
      </c>
      <c r="J69" s="60" t="n">
        <v>0.9708</v>
      </c>
      <c r="K69" s="60" t="n">
        <v>1</v>
      </c>
      <c r="L69" s="60" t="n">
        <v>1</v>
      </c>
      <c r="M69" s="60" t="n">
        <v>1</v>
      </c>
      <c r="N69" s="60" t="n">
        <v>1</v>
      </c>
      <c r="O69" s="60" t="n">
        <v>1</v>
      </c>
      <c r="P69" s="60" t="n">
        <v>1</v>
      </c>
      <c r="Q69" s="60" t="n">
        <v>1</v>
      </c>
      <c r="R69" s="60" t="n">
        <v>1</v>
      </c>
      <c r="S69" s="60" t="n">
        <v>1</v>
      </c>
      <c r="T69" s="60" t="n">
        <v>1</v>
      </c>
      <c r="U69" s="60" t="n">
        <v>1</v>
      </c>
      <c r="V69" s="60" t="n">
        <v>1</v>
      </c>
      <c r="W69" s="60" t="n">
        <v>1</v>
      </c>
      <c r="X69" s="60" t="n">
        <v>1</v>
      </c>
      <c r="Y69" s="60" t="n">
        <v>1</v>
      </c>
      <c r="Z69" s="60" t="n">
        <v>1</v>
      </c>
      <c r="AA69" s="60" t="n">
        <v>1</v>
      </c>
      <c r="AB69" s="60" t="n">
        <v>1</v>
      </c>
      <c r="AC69" s="60" t="n">
        <v>1</v>
      </c>
      <c r="AD69" s="60" t="n">
        <v>1</v>
      </c>
      <c r="AE69" s="60" t="n">
        <v>1</v>
      </c>
      <c r="AF69" s="60" t="n">
        <v>1</v>
      </c>
      <c r="AG69" s="60" t="n">
        <v>1</v>
      </c>
      <c r="AH69" s="60" t="n">
        <v>1</v>
      </c>
      <c r="AI69" s="60" t="n">
        <v>1</v>
      </c>
      <c r="AJ69" s="60" t="n">
        <v>1</v>
      </c>
      <c r="AK69" s="60" t="n">
        <v>1</v>
      </c>
      <c r="AL69" s="60" t="n">
        <v>1</v>
      </c>
      <c r="AM69" s="60" t="n">
        <v>1</v>
      </c>
      <c r="AN69" s="60" t="n">
        <v>1</v>
      </c>
      <c r="AO69" s="60" t="n">
        <v>1</v>
      </c>
      <c r="AP69" s="60" t="n">
        <v>1</v>
      </c>
      <c r="AQ69" s="60" t="n">
        <v>1</v>
      </c>
      <c r="AR69" s="60" t="n">
        <v>1</v>
      </c>
      <c r="AS69" s="60" t="n">
        <v>1</v>
      </c>
      <c r="AT69" s="60" t="n">
        <v>1</v>
      </c>
      <c r="AU69" s="60" t="n">
        <v>1</v>
      </c>
      <c r="AV69" s="60" t="n">
        <v>1</v>
      </c>
      <c r="AW69" s="60" t="n">
        <v>1</v>
      </c>
      <c r="AX69" s="60" t="n">
        <v>1</v>
      </c>
      <c r="AY69" s="60" t="n">
        <v>1</v>
      </c>
      <c r="AZ69" s="60" t="n">
        <v>1</v>
      </c>
      <c r="BA69" s="60" t="n">
        <v>1</v>
      </c>
      <c r="BB69" s="60" t="n">
        <v>1</v>
      </c>
      <c r="BC69" s="60" t="n">
        <v>1</v>
      </c>
      <c r="BD69" s="60" t="n">
        <v>1</v>
      </c>
      <c r="BE69" s="60" t="n">
        <v>1</v>
      </c>
    </row>
  </sheetData>
  <mergeCells count="1">
    <mergeCell ref="A1:B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4" ySplit="2" topLeftCell="E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CRONOGRAMA RESUMIDO — PRODUÇÃO MENSAL POR EAP</t>
        </is>
      </c>
    </row>
    <row r="2">
      <c r="A2" s="2" t="inlineStr">
        <is>
          <t>Item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Total Qtd</t>
        </is>
      </c>
      <c r="E2" s="2" t="inlineStr">
        <is>
          <t>Jun/26</t>
        </is>
      </c>
      <c r="F2" s="2" t="inlineStr">
        <is>
          <t>Jul/26</t>
        </is>
      </c>
      <c r="G2" s="2" t="inlineStr">
        <is>
          <t>Ago/26</t>
        </is>
      </c>
      <c r="H2" s="2" t="inlineStr">
        <is>
          <t>Set/26</t>
        </is>
      </c>
      <c r="I2" s="2" t="inlineStr">
        <is>
          <t>Out/26</t>
        </is>
      </c>
      <c r="J2" s="2" t="inlineStr">
        <is>
          <t>Nov/26</t>
        </is>
      </c>
      <c r="K2" s="2" t="inlineStr">
        <is>
          <t>Dez/26</t>
        </is>
      </c>
      <c r="L2" s="2" t="inlineStr">
        <is>
          <t>Jan/27</t>
        </is>
      </c>
      <c r="M2" s="2" t="inlineStr">
        <is>
          <t>Fev/27</t>
        </is>
      </c>
      <c r="N2" s="2" t="inlineStr">
        <is>
          <t>Mar/27</t>
        </is>
      </c>
      <c r="O2" s="2" t="inlineStr">
        <is>
          <t>Abr/27</t>
        </is>
      </c>
      <c r="P2" s="2" t="inlineStr">
        <is>
          <t>Mai/27</t>
        </is>
      </c>
    </row>
    <row r="3">
      <c r="A3" s="10" t="inlineStr">
        <is>
          <t>eap-1_0</t>
        </is>
      </c>
      <c r="B3" s="71" t="inlineStr">
        <is>
          <t>Desmatamento e limpeza de area vegetada</t>
        </is>
      </c>
      <c r="C3" s="14" t="inlineStr">
        <is>
          <t>m2</t>
        </is>
      </c>
      <c r="D3" s="29" t="n">
        <v>2400000</v>
      </c>
      <c r="E3" s="29" t="n">
        <v>720000</v>
      </c>
      <c r="F3" s="29" t="n">
        <v>720000</v>
      </c>
      <c r="G3" s="29" t="n">
        <v>900000</v>
      </c>
      <c r="H3" s="29" t="n">
        <v>60000</v>
      </c>
      <c r="I3" s="35" t="n"/>
      <c r="J3" s="35" t="n"/>
      <c r="K3" s="35" t="n"/>
      <c r="L3" s="35" t="n"/>
      <c r="M3" s="35" t="n"/>
      <c r="N3" s="35" t="n"/>
      <c r="O3" s="35" t="n"/>
      <c r="P3" s="35" t="n"/>
    </row>
    <row r="4">
      <c r="A4" s="20" t="inlineStr">
        <is>
          <t>eap-1_1</t>
        </is>
      </c>
      <c r="B4" s="72" t="inlineStr">
        <is>
          <t>Esc/carg/transp 1aCat DMT&lt;=2000m</t>
        </is>
      </c>
      <c r="C4" s="24" t="inlineStr">
        <is>
          <t>m3</t>
        </is>
      </c>
      <c r="D4" s="32" t="n">
        <v>107463.1053</v>
      </c>
      <c r="E4" s="32" t="n">
        <v>45895.68</v>
      </c>
      <c r="F4" s="32" t="n">
        <v>45895.68</v>
      </c>
      <c r="G4" s="32" t="n">
        <v>15671.75</v>
      </c>
      <c r="H4" s="36" t="n"/>
      <c r="I4" s="36" t="n"/>
      <c r="J4" s="36" t="n"/>
      <c r="K4" s="36" t="n"/>
      <c r="L4" s="36" t="n"/>
      <c r="M4" s="36" t="n"/>
      <c r="N4" s="36" t="n"/>
      <c r="O4" s="36" t="n"/>
      <c r="P4" s="36" t="n"/>
    </row>
    <row r="5">
      <c r="A5" s="10" t="inlineStr">
        <is>
          <t>eap-1_2</t>
        </is>
      </c>
      <c r="B5" s="71" t="inlineStr">
        <is>
          <t>Esc/carg/transp 1aCat DMT&lt;=3000m</t>
        </is>
      </c>
      <c r="C5" s="14" t="inlineStr">
        <is>
          <t>m3</t>
        </is>
      </c>
      <c r="D5" s="29" t="n">
        <v>336915.0947</v>
      </c>
      <c r="E5" s="29" t="n">
        <v>44840.08</v>
      </c>
      <c r="F5" s="29" t="n">
        <v>44840.08</v>
      </c>
      <c r="G5" s="29" t="n">
        <v>56050.1</v>
      </c>
      <c r="H5" s="29" t="n">
        <v>44840.08</v>
      </c>
      <c r="I5" s="29" t="n">
        <v>41849.24</v>
      </c>
      <c r="J5" s="29" t="n">
        <v>52434.85</v>
      </c>
      <c r="K5" s="29" t="n">
        <v>41947.88</v>
      </c>
      <c r="L5" s="29" t="n">
        <v>10112.75</v>
      </c>
      <c r="M5" s="35" t="n"/>
      <c r="N5" s="35" t="n"/>
      <c r="O5" s="35" t="n"/>
      <c r="P5" s="35" t="n"/>
    </row>
    <row r="6">
      <c r="A6" s="20" t="inlineStr">
        <is>
          <t>eap-1_3</t>
        </is>
      </c>
      <c r="B6" s="72" t="inlineStr">
        <is>
          <t>Esc/carg/transp 2aCat DMT&lt;=2000m</t>
        </is>
      </c>
      <c r="C6" s="24" t="inlineStr">
        <is>
          <t>m3</t>
        </is>
      </c>
      <c r="D6" s="32" t="n">
        <v>105311.3323</v>
      </c>
      <c r="E6" s="32" t="n">
        <v>63644.16</v>
      </c>
      <c r="F6" s="32" t="n">
        <v>41667.17</v>
      </c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</row>
    <row r="7">
      <c r="A7" s="10" t="inlineStr">
        <is>
          <t>eap-1_4</t>
        </is>
      </c>
      <c r="B7" s="71" t="inlineStr">
        <is>
          <t>Esc/carg/transp 2aCat DMT&lt;=3000m</t>
        </is>
      </c>
      <c r="C7" s="14" t="inlineStr">
        <is>
          <t>m3</t>
        </is>
      </c>
      <c r="D7" s="29" t="n">
        <v>585945.7677</v>
      </c>
      <c r="E7" s="29" t="n">
        <v>61097.84</v>
      </c>
      <c r="F7" s="29" t="n">
        <v>61097.84</v>
      </c>
      <c r="G7" s="29" t="n">
        <v>76372.3</v>
      </c>
      <c r="H7" s="29" t="n">
        <v>61097.84</v>
      </c>
      <c r="I7" s="29" t="n">
        <v>57022.6</v>
      </c>
      <c r="J7" s="29" t="n">
        <v>71446.25</v>
      </c>
      <c r="K7" s="29" t="n">
        <v>57157</v>
      </c>
      <c r="L7" s="29" t="n">
        <v>51242.76</v>
      </c>
      <c r="M7" s="29" t="n">
        <v>48004.56</v>
      </c>
      <c r="N7" s="29" t="n">
        <v>41406.79</v>
      </c>
      <c r="O7" s="35" t="n"/>
      <c r="P7" s="35" t="n"/>
    </row>
    <row r="8">
      <c r="A8" s="20" t="inlineStr">
        <is>
          <t>eap-1_5</t>
        </is>
      </c>
      <c r="B8" s="72" t="inlineStr">
        <is>
          <t>Esc/carg/transp 3aCat DMT&lt;=2000m</t>
        </is>
      </c>
      <c r="C8" s="24" t="inlineStr">
        <is>
          <t>m3</t>
        </is>
      </c>
      <c r="D8" s="32" t="n">
        <v>304634.4556</v>
      </c>
      <c r="E8" s="32" t="n">
        <v>111007.84</v>
      </c>
      <c r="F8" s="32" t="n">
        <v>111007.84</v>
      </c>
      <c r="G8" s="32" t="n">
        <v>82618.75</v>
      </c>
      <c r="H8" s="36" t="n"/>
      <c r="I8" s="36" t="n"/>
      <c r="J8" s="36" t="n"/>
      <c r="K8" s="36" t="n"/>
      <c r="L8" s="36" t="n"/>
      <c r="M8" s="36" t="n"/>
      <c r="N8" s="36" t="n"/>
      <c r="O8" s="36" t="n"/>
      <c r="P8" s="36" t="n"/>
    </row>
    <row r="9">
      <c r="A9" s="10" t="inlineStr">
        <is>
          <t>eap-1_6</t>
        </is>
      </c>
      <c r="B9" s="71" t="inlineStr">
        <is>
          <t>Esc/carg/transp 3aCat DMT&lt;=3000m</t>
        </is>
      </c>
      <c r="C9" s="14" t="inlineStr">
        <is>
          <t>m3</t>
        </is>
      </c>
      <c r="D9" s="29" t="n">
        <v>676519.0444</v>
      </c>
      <c r="E9" s="29" t="n">
        <v>111007.84</v>
      </c>
      <c r="F9" s="29" t="n">
        <v>111007.84</v>
      </c>
      <c r="G9" s="29" t="n">
        <v>138759.8</v>
      </c>
      <c r="H9" s="29" t="n">
        <v>111007.84</v>
      </c>
      <c r="I9" s="29" t="n">
        <v>103603.64</v>
      </c>
      <c r="J9" s="29" t="n">
        <v>101132.05</v>
      </c>
      <c r="K9" s="35" t="n"/>
      <c r="L9" s="35" t="n"/>
      <c r="M9" s="35" t="n"/>
      <c r="N9" s="35" t="n"/>
      <c r="O9" s="35" t="n"/>
      <c r="P9" s="35" t="n"/>
    </row>
    <row r="10">
      <c r="A10" s="20" t="inlineStr">
        <is>
          <t>eap-1_7</t>
        </is>
      </c>
      <c r="B10" s="72" t="inlineStr">
        <is>
          <t>Compactacao aterros 100% Proctor Normal</t>
        </is>
      </c>
      <c r="C10" s="24" t="inlineStr">
        <is>
          <t>m3</t>
        </is>
      </c>
      <c r="D10" s="32" t="n">
        <v>1135635.3</v>
      </c>
      <c r="E10" s="32" t="n">
        <v>110724.48</v>
      </c>
      <c r="F10" s="32" t="n">
        <v>110724.48</v>
      </c>
      <c r="G10" s="32" t="n">
        <v>138405.6</v>
      </c>
      <c r="H10" s="32" t="n">
        <v>110724.48</v>
      </c>
      <c r="I10" s="32" t="n">
        <v>103339.16</v>
      </c>
      <c r="J10" s="32" t="n">
        <v>129478.45</v>
      </c>
      <c r="K10" s="32" t="n">
        <v>103582.76</v>
      </c>
      <c r="L10" s="32" t="n">
        <v>92864.64</v>
      </c>
      <c r="M10" s="32" t="n">
        <v>86996.24000000001</v>
      </c>
      <c r="N10" s="32" t="n">
        <v>92776.05</v>
      </c>
      <c r="O10" s="32" t="n">
        <v>56019.03</v>
      </c>
      <c r="P10" s="36" t="n"/>
    </row>
    <row r="11">
      <c r="A11" s="10" t="inlineStr">
        <is>
          <t>eap-1_8</t>
        </is>
      </c>
      <c r="B11" s="71" t="inlineStr">
        <is>
          <t>Compactacao aterros 100% Proctor Intermediario</t>
        </is>
      </c>
      <c r="C11" s="14" t="inlineStr">
        <is>
          <t>m3</t>
        </is>
      </c>
      <c r="D11" s="29" t="n">
        <v>29411</v>
      </c>
      <c r="E11" s="29" t="n">
        <v>29411</v>
      </c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</row>
    <row r="12">
      <c r="A12" s="20" t="inlineStr">
        <is>
          <t>eap-1_9</t>
        </is>
      </c>
      <c r="B12" s="72" t="inlineStr">
        <is>
          <t>Construcao corpo aterro material 3a categoria</t>
        </is>
      </c>
      <c r="C12" s="24" t="inlineStr">
        <is>
          <t>m3</t>
        </is>
      </c>
      <c r="D12" s="32" t="n">
        <v>981153.5</v>
      </c>
      <c r="E12" s="32" t="n">
        <v>92160</v>
      </c>
      <c r="F12" s="32" t="n">
        <v>92160</v>
      </c>
      <c r="G12" s="32" t="n">
        <v>115200</v>
      </c>
      <c r="H12" s="32" t="n">
        <v>92160</v>
      </c>
      <c r="I12" s="32" t="n">
        <v>86012.92</v>
      </c>
      <c r="J12" s="32" t="n">
        <v>107769.6</v>
      </c>
      <c r="K12" s="32" t="n">
        <v>86215.67999999999</v>
      </c>
      <c r="L12" s="32" t="n">
        <v>77294.60000000001</v>
      </c>
      <c r="M12" s="32" t="n">
        <v>72410.12</v>
      </c>
      <c r="N12" s="32" t="n">
        <v>77220.88</v>
      </c>
      <c r="O12" s="32" t="n">
        <v>82275.84</v>
      </c>
      <c r="P12" s="32" t="n">
        <v>273.88</v>
      </c>
    </row>
    <row r="13">
      <c r="A13" s="10" t="inlineStr">
        <is>
          <t>eap-1_10</t>
        </is>
      </c>
      <c r="B13" s="71" t="inlineStr">
        <is>
          <t>Compactacao camada final aterro sobre rocha</t>
        </is>
      </c>
      <c r="C13" s="14" t="inlineStr">
        <is>
          <t>m3</t>
        </is>
      </c>
      <c r="D13" s="29" t="n">
        <v>24721.17</v>
      </c>
      <c r="E13" s="29" t="n">
        <v>19200</v>
      </c>
      <c r="F13" s="29" t="n">
        <v>5521.17</v>
      </c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</row>
  </sheetData>
  <mergeCells count="1">
    <mergeCell ref="A1:P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8" customWidth="1" min="4" max="4"/>
    <col width="6" customWidth="1" min="5" max="5"/>
    <col width="18" customWidth="1" min="6" max="6"/>
    <col width="10" customWidth="1" min="7" max="7"/>
    <col width="8" customWidth="1" min="8" max="8"/>
    <col width="18" customWidth="1" min="9" max="9"/>
  </cols>
  <sheetData>
    <row r="1">
      <c r="A1" s="1" t="inlineStr">
        <is>
          <t>EQUIPE — COMPOSIÇÃO DE RECURSOS DIRETOS POR ATIVIDADE</t>
        </is>
      </c>
    </row>
    <row r="2">
      <c r="A2" s="2" t="inlineStr">
        <is>
          <t>Item ID</t>
        </is>
      </c>
      <c r="B2" s="2" t="inlineStr">
        <is>
          <t>CPU ID</t>
        </is>
      </c>
      <c r="C2" s="2" t="inlineStr">
        <is>
          <t>Nome / Tipo</t>
        </is>
      </c>
      <c r="D2" s="2" t="inlineStr">
        <is>
          <t>Papel</t>
        </is>
      </c>
      <c r="E2" s="2" t="inlineStr">
        <is>
          <t>Qtd</t>
        </is>
      </c>
      <c r="F2" s="2" t="inlineStr">
        <is>
          <t>Custo Mensal (R$)</t>
        </is>
      </c>
      <c r="G2" s="2" t="inlineStr">
        <is>
          <t>Perm. (m)</t>
        </is>
      </c>
      <c r="H2" s="2" t="inlineStr">
        <is>
          <t>Nº Eq.</t>
        </is>
      </c>
      <c r="I2" s="2" t="inlineStr">
        <is>
          <t>Custo Total (R$)</t>
        </is>
      </c>
    </row>
    <row r="3">
      <c r="A3" s="9" t="inlineStr">
        <is>
          <t>eap-1_0 — Desmatamento e limpeza de area vegetada</t>
        </is>
      </c>
    </row>
    <row r="4">
      <c r="A4" s="10" t="inlineStr">
        <is>
          <t>eap-1_0</t>
        </is>
      </c>
      <c r="B4" s="10" t="inlineStr">
        <is>
          <t>CPU-TERRA-ATI-003</t>
        </is>
      </c>
      <c r="C4" s="10" t="inlineStr">
        <is>
          <t>Operador de Escavadeira</t>
        </is>
      </c>
      <c r="D4" s="11" t="inlineStr">
        <is>
          <t>DIRETO</t>
        </is>
      </c>
      <c r="E4" s="12" t="n">
        <v>1</v>
      </c>
      <c r="F4" s="13" t="n">
        <v>10300</v>
      </c>
      <c r="G4" s="12" t="n">
        <v>5.75</v>
      </c>
      <c r="H4" s="12" t="n">
        <v>1</v>
      </c>
      <c r="I4" s="13" t="n">
        <v>59225</v>
      </c>
    </row>
    <row r="5">
      <c r="A5" s="10" t="inlineStr">
        <is>
          <t>eap-1_0</t>
        </is>
      </c>
      <c r="B5" s="10" t="inlineStr">
        <is>
          <t>CPU-TERRA-ATI-003</t>
        </is>
      </c>
      <c r="C5" s="10" t="inlineStr">
        <is>
          <t>Operador de Trator de Esteiras</t>
        </is>
      </c>
      <c r="D5" s="11" t="inlineStr">
        <is>
          <t>DIRETO</t>
        </is>
      </c>
      <c r="E5" s="12" t="n">
        <v>6</v>
      </c>
      <c r="F5" s="13" t="n">
        <v>61800</v>
      </c>
      <c r="G5" s="12" t="n">
        <v>5.75</v>
      </c>
      <c r="H5" s="12" t="n">
        <v>1</v>
      </c>
      <c r="I5" s="13" t="n">
        <v>355350</v>
      </c>
    </row>
    <row r="6">
      <c r="A6" s="10" t="inlineStr">
        <is>
          <t>eap-1_0</t>
        </is>
      </c>
      <c r="B6" s="10" t="inlineStr">
        <is>
          <t>CPU-TERRA-ATI-003</t>
        </is>
      </c>
      <c r="C6" s="10" t="inlineStr">
        <is>
          <t>Operador de motosserra</t>
        </is>
      </c>
      <c r="D6" s="11" t="inlineStr">
        <is>
          <t>DIRETO</t>
        </is>
      </c>
      <c r="E6" s="12" t="n">
        <v>6</v>
      </c>
      <c r="F6" s="13" t="n">
        <v>43845.9</v>
      </c>
      <c r="G6" s="12" t="n">
        <v>5.75</v>
      </c>
      <c r="H6" s="12" t="n">
        <v>1</v>
      </c>
      <c r="I6" s="13" t="n">
        <v>252113.92</v>
      </c>
    </row>
    <row r="7">
      <c r="A7" s="10" t="inlineStr">
        <is>
          <t>eap-1_0</t>
        </is>
      </c>
      <c r="B7" s="10" t="inlineStr">
        <is>
          <t>CPU-TERRA-ATI-003</t>
        </is>
      </c>
      <c r="C7" s="10" t="inlineStr">
        <is>
          <t>Ajudante</t>
        </is>
      </c>
      <c r="D7" s="11" t="inlineStr">
        <is>
          <t>DIRETO</t>
        </is>
      </c>
      <c r="E7" s="12" t="n">
        <v>6</v>
      </c>
      <c r="F7" s="13" t="n">
        <v>25255.92</v>
      </c>
      <c r="G7" s="12" t="n">
        <v>5.75</v>
      </c>
      <c r="H7" s="12" t="n">
        <v>1</v>
      </c>
      <c r="I7" s="13" t="n">
        <v>145221.54</v>
      </c>
    </row>
    <row r="8">
      <c r="A8" s="10" t="inlineStr">
        <is>
          <t>eap-1_0</t>
        </is>
      </c>
      <c r="B8" s="10" t="inlineStr">
        <is>
          <t>CPU-TERRA-ATI-003</t>
        </is>
      </c>
      <c r="C8" s="10" t="inlineStr">
        <is>
          <t>SINALEIRO</t>
        </is>
      </c>
      <c r="D8" s="11" t="inlineStr">
        <is>
          <t>DIRETO</t>
        </is>
      </c>
      <c r="E8" s="12" t="n">
        <v>6</v>
      </c>
      <c r="F8" s="13" t="n">
        <v>38047.02</v>
      </c>
      <c r="G8" s="12" t="n">
        <v>5.75</v>
      </c>
      <c r="H8" s="12" t="n">
        <v>1</v>
      </c>
      <c r="I8" s="13" t="n">
        <v>218770.37</v>
      </c>
    </row>
    <row r="9">
      <c r="A9" s="10" t="inlineStr">
        <is>
          <t>eap-1_0</t>
        </is>
      </c>
      <c r="B9" s="10" t="inlineStr">
        <is>
          <t>CPU-TERRA-ATI-003</t>
        </is>
      </c>
      <c r="C9" s="10" t="inlineStr">
        <is>
          <t>Encarregado de Frente</t>
        </is>
      </c>
      <c r="D9" s="11" t="inlineStr">
        <is>
          <t>DIRETO</t>
        </is>
      </c>
      <c r="E9" s="12" t="n">
        <v>1</v>
      </c>
      <c r="F9" s="13" t="n">
        <v>7500</v>
      </c>
      <c r="G9" s="12" t="n">
        <v>5.75</v>
      </c>
      <c r="H9" s="12" t="n">
        <v>1</v>
      </c>
      <c r="I9" s="13" t="n">
        <v>43125</v>
      </c>
    </row>
    <row r="10">
      <c r="A10" s="10" t="inlineStr">
        <is>
          <t>eap-1_0</t>
        </is>
      </c>
      <c r="B10" s="10" t="inlineStr">
        <is>
          <t>CPU-TERRA-ATI-003</t>
        </is>
      </c>
      <c r="C10" s="10" t="inlineStr">
        <is>
          <t>Apontador</t>
        </is>
      </c>
      <c r="D10" s="11" t="inlineStr">
        <is>
          <t>DIRETO</t>
        </is>
      </c>
      <c r="E10" s="12" t="n">
        <v>1</v>
      </c>
      <c r="F10" s="13" t="n">
        <v>6341.17</v>
      </c>
      <c r="G10" s="12" t="n">
        <v>5.75</v>
      </c>
      <c r="H10" s="12" t="n">
        <v>1</v>
      </c>
      <c r="I10" s="13" t="n">
        <v>36461.73</v>
      </c>
    </row>
    <row r="11">
      <c r="A11" s="10" t="inlineStr">
        <is>
          <t>eap-1_0</t>
        </is>
      </c>
      <c r="B11" s="10" t="inlineStr">
        <is>
          <t>EQ-E0016</t>
        </is>
      </c>
      <c r="C11" s="10" t="inlineStr">
        <is>
          <t>Escavadeira Hidráulica 22t [EQ]</t>
        </is>
      </c>
      <c r="D11" s="73" t="inlineStr">
        <is>
          <t>EQ</t>
        </is>
      </c>
      <c r="E11" s="12" t="n">
        <v>1</v>
      </c>
      <c r="F11" s="13" t="n">
        <v>35639.3</v>
      </c>
      <c r="G11" s="12" t="n">
        <v>5.75</v>
      </c>
      <c r="H11" s="12" t="n">
        <v>1</v>
      </c>
      <c r="I11" s="13" t="n">
        <v>204925.98</v>
      </c>
    </row>
    <row r="12">
      <c r="A12" s="10" t="inlineStr">
        <is>
          <t>eap-1_0</t>
        </is>
      </c>
      <c r="B12" s="10" t="inlineStr">
        <is>
          <t>EQ-E0035</t>
        </is>
      </c>
      <c r="C12" s="10" t="inlineStr">
        <is>
          <t>Trator de esteiras 20T [EQ]</t>
        </is>
      </c>
      <c r="D12" s="73" t="inlineStr">
        <is>
          <t>EQ</t>
        </is>
      </c>
      <c r="E12" s="12" t="n">
        <v>6</v>
      </c>
      <c r="F12" s="13" t="n">
        <v>21683.2</v>
      </c>
      <c r="G12" s="12" t="n">
        <v>5.75</v>
      </c>
      <c r="H12" s="12" t="n">
        <v>1</v>
      </c>
      <c r="I12" s="13" t="n">
        <v>124678.4</v>
      </c>
    </row>
    <row r="13">
      <c r="A13" s="10" t="inlineStr">
        <is>
          <t>eap-1_0</t>
        </is>
      </c>
      <c r="B13" s="10" t="inlineStr">
        <is>
          <t>EQ-E0035</t>
        </is>
      </c>
      <c r="C13" s="15" t="inlineStr">
        <is>
          <t>Diesel — Trator de esteiras 20T</t>
        </is>
      </c>
      <c r="D13" s="74" t="inlineStr">
        <is>
          <t>COMB</t>
        </is>
      </c>
      <c r="E13" s="12" t="n">
        <v>6</v>
      </c>
      <c r="F13" s="13" t="n">
        <v>22957.71</v>
      </c>
      <c r="G13" s="12" t="n">
        <v>5.75</v>
      </c>
      <c r="H13" s="12" t="n">
        <v>1</v>
      </c>
      <c r="I13" s="13" t="n">
        <v>132006.83</v>
      </c>
    </row>
    <row r="14">
      <c r="A14" s="16" t="inlineStr">
        <is>
          <t>Subtotal eap-1_0</t>
        </is>
      </c>
      <c r="B14" s="17" t="n"/>
      <c r="C14" s="17" t="n"/>
      <c r="D14" s="17" t="n"/>
      <c r="E14" s="17" t="n"/>
      <c r="F14" s="17" t="n"/>
      <c r="G14" s="17" t="n"/>
      <c r="H14" s="17" t="n"/>
      <c r="I14" s="18" t="n">
        <v>14192824.3</v>
      </c>
    </row>
    <row r="15">
      <c r="A15" s="9" t="inlineStr">
        <is>
          <t>eap-1_1 — Esc/carg/transp 1aCat DMT&lt;=2000m</t>
        </is>
      </c>
    </row>
    <row r="16">
      <c r="A16" s="20" t="inlineStr">
        <is>
          <t>eap-1_1</t>
        </is>
      </c>
      <c r="B16" s="20" t="inlineStr">
        <is>
          <t>CPU-TERRA-ESCO-CARGA-1CAT-DMT2000</t>
        </is>
      </c>
      <c r="C16" s="20" t="inlineStr">
        <is>
          <t>Operador de Escavadeira</t>
        </is>
      </c>
      <c r="D16" s="21" t="inlineStr">
        <is>
          <t>DIRETO</t>
        </is>
      </c>
      <c r="E16" s="22" t="n">
        <v>1</v>
      </c>
      <c r="F16" s="23" t="n">
        <v>10300</v>
      </c>
      <c r="G16" s="22" t="n">
        <v>10.35</v>
      </c>
      <c r="H16" s="22" t="n">
        <v>1</v>
      </c>
      <c r="I16" s="23" t="n">
        <v>106605</v>
      </c>
    </row>
    <row r="17">
      <c r="A17" s="20" t="inlineStr">
        <is>
          <t>eap-1_1</t>
        </is>
      </c>
      <c r="B17" s="20" t="inlineStr">
        <is>
          <t>CPU-TERRA-ESCO-CARGA-1CAT-DMT2000</t>
        </is>
      </c>
      <c r="C17" s="20" t="inlineStr">
        <is>
          <t>Ajudante</t>
        </is>
      </c>
      <c r="D17" s="21" t="inlineStr">
        <is>
          <t>DIRETO</t>
        </is>
      </c>
      <c r="E17" s="22" t="n">
        <v>1</v>
      </c>
      <c r="F17" s="23" t="n">
        <v>4209.32</v>
      </c>
      <c r="G17" s="22" t="n">
        <v>10.35</v>
      </c>
      <c r="H17" s="22" t="n">
        <v>1</v>
      </c>
      <c r="I17" s="23" t="n">
        <v>43566.46</v>
      </c>
    </row>
    <row r="18">
      <c r="A18" s="20" t="inlineStr">
        <is>
          <t>eap-1_1</t>
        </is>
      </c>
      <c r="B18" s="20" t="inlineStr">
        <is>
          <t>CPU-TERRA-ESCO-CARGA-1CAT-DMT2000</t>
        </is>
      </c>
      <c r="C18" s="20" t="inlineStr">
        <is>
          <t>Encarregado de Frente</t>
        </is>
      </c>
      <c r="D18" s="21" t="inlineStr">
        <is>
          <t>DIRETO</t>
        </is>
      </c>
      <c r="E18" s="22" t="n">
        <v>1</v>
      </c>
      <c r="F18" s="23" t="n">
        <v>7500</v>
      </c>
      <c r="G18" s="22" t="n">
        <v>10.35</v>
      </c>
      <c r="H18" s="22" t="n">
        <v>1</v>
      </c>
      <c r="I18" s="23" t="n">
        <v>77625</v>
      </c>
    </row>
    <row r="19">
      <c r="A19" s="20" t="inlineStr">
        <is>
          <t>eap-1_1</t>
        </is>
      </c>
      <c r="B19" s="20" t="inlineStr">
        <is>
          <t>CPU-TERRA-ESCO-CARGA-1CAT-DMT2000</t>
        </is>
      </c>
      <c r="C19" s="20" t="inlineStr">
        <is>
          <t>Motorista de Caminhão Basculante</t>
        </is>
      </c>
      <c r="D19" s="21" t="inlineStr">
        <is>
          <t>DIRETO</t>
        </is>
      </c>
      <c r="E19" s="22" t="n">
        <v>7</v>
      </c>
      <c r="F19" s="23" t="n">
        <v>44388.19</v>
      </c>
      <c r="G19" s="22" t="n">
        <v>10.35</v>
      </c>
      <c r="H19" s="22" t="n">
        <v>1</v>
      </c>
      <c r="I19" s="23" t="n">
        <v>459417.77</v>
      </c>
    </row>
    <row r="20">
      <c r="A20" s="20" t="inlineStr">
        <is>
          <t>eap-1_1</t>
        </is>
      </c>
      <c r="B20" s="20" t="inlineStr">
        <is>
          <t>EQ-E0016</t>
        </is>
      </c>
      <c r="C20" s="20" t="inlineStr">
        <is>
          <t>Escavadeira Hidráulica 22t [EQ]</t>
        </is>
      </c>
      <c r="D20" s="75" t="inlineStr">
        <is>
          <t>EQ</t>
        </is>
      </c>
      <c r="E20" s="22" t="n">
        <v>1</v>
      </c>
      <c r="F20" s="23" t="n">
        <v>35639.3</v>
      </c>
      <c r="G20" s="22" t="n">
        <v>10.35</v>
      </c>
      <c r="H20" s="22" t="n">
        <v>1</v>
      </c>
      <c r="I20" s="23" t="n">
        <v>368866.76</v>
      </c>
    </row>
    <row r="21">
      <c r="A21" s="16" t="inlineStr">
        <is>
          <t>Subtotal eap-1_1</t>
        </is>
      </c>
      <c r="B21" s="17" t="n"/>
      <c r="C21" s="17" t="n"/>
      <c r="D21" s="17" t="n"/>
      <c r="E21" s="17" t="n"/>
      <c r="F21" s="17" t="n"/>
      <c r="G21" s="17" t="n"/>
      <c r="H21" s="17" t="n"/>
      <c r="I21" s="18" t="n">
        <v>1056038.74</v>
      </c>
    </row>
    <row r="22">
      <c r="A22" s="9" t="inlineStr">
        <is>
          <t>eap-1_2 — Esc/carg/transp 1aCat DMT&lt;=3000m</t>
        </is>
      </c>
    </row>
    <row r="23">
      <c r="A23" s="10" t="inlineStr">
        <is>
          <t>eap-1_2</t>
        </is>
      </c>
      <c r="B23" s="10" t="inlineStr">
        <is>
          <t>CPU-TERRA-ESCO-CARGA-1CAT-DMT3000</t>
        </is>
      </c>
      <c r="C23" s="10" t="inlineStr">
        <is>
          <t>Operador de Escavadeira</t>
        </is>
      </c>
      <c r="D23" s="11" t="inlineStr">
        <is>
          <t>DIRETO</t>
        </is>
      </c>
      <c r="E23" s="12" t="n">
        <v>1</v>
      </c>
      <c r="F23" s="13" t="n">
        <v>10300</v>
      </c>
      <c r="G23" s="12" t="n">
        <v>10.35</v>
      </c>
      <c r="H23" s="12" t="n">
        <v>1</v>
      </c>
      <c r="I23" s="13" t="n">
        <v>106605</v>
      </c>
    </row>
    <row r="24">
      <c r="A24" s="10" t="inlineStr">
        <is>
          <t>eap-1_2</t>
        </is>
      </c>
      <c r="B24" s="10" t="inlineStr">
        <is>
          <t>CPU-TERRA-ESCO-CARGA-1CAT-DMT3000</t>
        </is>
      </c>
      <c r="C24" s="10" t="inlineStr">
        <is>
          <t>Motorista de Caminhão Basculante</t>
        </is>
      </c>
      <c r="D24" s="11" t="inlineStr">
        <is>
          <t>DIRETO</t>
        </is>
      </c>
      <c r="E24" s="12" t="n">
        <v>7</v>
      </c>
      <c r="F24" s="13" t="n">
        <v>44388.19</v>
      </c>
      <c r="G24" s="12" t="n">
        <v>10.35</v>
      </c>
      <c r="H24" s="12" t="n">
        <v>1</v>
      </c>
      <c r="I24" s="13" t="n">
        <v>459417.77</v>
      </c>
    </row>
    <row r="25">
      <c r="A25" s="10" t="inlineStr">
        <is>
          <t>eap-1_2</t>
        </is>
      </c>
      <c r="B25" s="10" t="inlineStr">
        <is>
          <t>CPU-TERRA-ESCO-CARGA-1CAT-DMT3000</t>
        </is>
      </c>
      <c r="C25" s="10" t="inlineStr">
        <is>
          <t>Ajudante</t>
        </is>
      </c>
      <c r="D25" s="11" t="inlineStr">
        <is>
          <t>DIRETO</t>
        </is>
      </c>
      <c r="E25" s="12" t="n">
        <v>1</v>
      </c>
      <c r="F25" s="13" t="n">
        <v>4209.32</v>
      </c>
      <c r="G25" s="12" t="n">
        <v>10.35</v>
      </c>
      <c r="H25" s="12" t="n">
        <v>1</v>
      </c>
      <c r="I25" s="13" t="n">
        <v>43566.46</v>
      </c>
    </row>
    <row r="26">
      <c r="A26" s="10" t="inlineStr">
        <is>
          <t>eap-1_2</t>
        </is>
      </c>
      <c r="B26" s="10" t="inlineStr">
        <is>
          <t>CPU-TERRA-ESCO-CARGA-1CAT-DMT3000</t>
        </is>
      </c>
      <c r="C26" s="10" t="inlineStr">
        <is>
          <t>Encarregado de Frente</t>
        </is>
      </c>
      <c r="D26" s="11" t="inlineStr">
        <is>
          <t>DIRETO</t>
        </is>
      </c>
      <c r="E26" s="12" t="n">
        <v>1</v>
      </c>
      <c r="F26" s="13" t="n">
        <v>7500</v>
      </c>
      <c r="G26" s="12" t="n">
        <v>10.35</v>
      </c>
      <c r="H26" s="12" t="n">
        <v>1</v>
      </c>
      <c r="I26" s="13" t="n">
        <v>77625</v>
      </c>
    </row>
    <row r="27">
      <c r="A27" s="10" t="inlineStr">
        <is>
          <t>eap-1_2</t>
        </is>
      </c>
      <c r="B27" s="10" t="inlineStr">
        <is>
          <t>EQ-E0016</t>
        </is>
      </c>
      <c r="C27" s="10" t="inlineStr">
        <is>
          <t>Escavadeira Hidráulica 22t [EQ]</t>
        </is>
      </c>
      <c r="D27" s="73" t="inlineStr">
        <is>
          <t>EQ</t>
        </is>
      </c>
      <c r="E27" s="12" t="n">
        <v>1</v>
      </c>
      <c r="F27" s="13" t="n">
        <v>35639.3</v>
      </c>
      <c r="G27" s="12" t="n">
        <v>10.35</v>
      </c>
      <c r="H27" s="12" t="n">
        <v>1</v>
      </c>
      <c r="I27" s="13" t="n">
        <v>368866.76</v>
      </c>
    </row>
    <row r="28">
      <c r="A28" s="16" t="inlineStr">
        <is>
          <t>Subtotal eap-1_2</t>
        </is>
      </c>
      <c r="B28" s="17" t="n"/>
      <c r="C28" s="17" t="n"/>
      <c r="D28" s="17" t="n"/>
      <c r="E28" s="17" t="n"/>
      <c r="F28" s="17" t="n"/>
      <c r="G28" s="17" t="n"/>
      <c r="H28" s="17" t="n"/>
      <c r="I28" s="18" t="n">
        <v>1056038.74</v>
      </c>
    </row>
    <row r="29">
      <c r="A29" s="9" t="inlineStr">
        <is>
          <t>eap-1_3 — Esc/carg/transp 2aCat DMT&lt;=2000m</t>
        </is>
      </c>
    </row>
    <row r="30">
      <c r="A30" s="20" t="inlineStr">
        <is>
          <t>eap-1_3</t>
        </is>
      </c>
      <c r="B30" s="20" t="inlineStr">
        <is>
          <t>CPU-TERRA-ESCO-CARGA-2CAT-DMT2000</t>
        </is>
      </c>
      <c r="C30" s="20" t="inlineStr">
        <is>
          <t>Operador de Escavadeira</t>
        </is>
      </c>
      <c r="D30" s="21" t="inlineStr">
        <is>
          <t>DIRETO</t>
        </is>
      </c>
      <c r="E30" s="22" t="n">
        <v>2</v>
      </c>
      <c r="F30" s="23" t="n">
        <v>20600</v>
      </c>
      <c r="G30" s="22" t="n">
        <v>11.73</v>
      </c>
      <c r="H30" s="22" t="n">
        <v>1</v>
      </c>
      <c r="I30" s="23" t="n">
        <v>241638</v>
      </c>
    </row>
    <row r="31">
      <c r="A31" s="20" t="inlineStr">
        <is>
          <t>eap-1_3</t>
        </is>
      </c>
      <c r="B31" s="20" t="inlineStr">
        <is>
          <t>CPU-TERRA-ESCO-CARGA-2CAT-DMT2000</t>
        </is>
      </c>
      <c r="C31" s="20" t="inlineStr">
        <is>
          <t>Motorista de Caminhão Basculante</t>
        </is>
      </c>
      <c r="D31" s="21" t="inlineStr">
        <is>
          <t>DIRETO</t>
        </is>
      </c>
      <c r="E31" s="22" t="n">
        <v>11</v>
      </c>
      <c r="F31" s="23" t="n">
        <v>69752.87</v>
      </c>
      <c r="G31" s="22" t="n">
        <v>11.73</v>
      </c>
      <c r="H31" s="22" t="n">
        <v>1</v>
      </c>
      <c r="I31" s="23" t="n">
        <v>818201.17</v>
      </c>
    </row>
    <row r="32">
      <c r="A32" s="20" t="inlineStr">
        <is>
          <t>eap-1_3</t>
        </is>
      </c>
      <c r="B32" s="20" t="inlineStr">
        <is>
          <t>CPU-TERRA-ESCO-CARGA-2CAT-DMT2000</t>
        </is>
      </c>
      <c r="C32" s="20" t="inlineStr">
        <is>
          <t>Ajudante</t>
        </is>
      </c>
      <c r="D32" s="21" t="inlineStr">
        <is>
          <t>DIRETO</t>
        </is>
      </c>
      <c r="E32" s="22" t="n">
        <v>2</v>
      </c>
      <c r="F32" s="23" t="n">
        <v>8418.639999999999</v>
      </c>
      <c r="G32" s="22" t="n">
        <v>11.73</v>
      </c>
      <c r="H32" s="22" t="n">
        <v>1</v>
      </c>
      <c r="I32" s="23" t="n">
        <v>98750.64999999999</v>
      </c>
    </row>
    <row r="33">
      <c r="A33" s="20" t="inlineStr">
        <is>
          <t>eap-1_3</t>
        </is>
      </c>
      <c r="B33" s="20" t="inlineStr">
        <is>
          <t>CPU-TERRA-ESCO-CARGA-2CAT-DMT2000</t>
        </is>
      </c>
      <c r="C33" s="20" t="inlineStr">
        <is>
          <t>Encarregado de Frente</t>
        </is>
      </c>
      <c r="D33" s="21" t="inlineStr">
        <is>
          <t>DIRETO</t>
        </is>
      </c>
      <c r="E33" s="22" t="n">
        <v>1</v>
      </c>
      <c r="F33" s="23" t="n">
        <v>7500</v>
      </c>
      <c r="G33" s="22" t="n">
        <v>11.73</v>
      </c>
      <c r="H33" s="22" t="n">
        <v>1</v>
      </c>
      <c r="I33" s="23" t="n">
        <v>87975</v>
      </c>
    </row>
    <row r="34">
      <c r="A34" s="20" t="inlineStr">
        <is>
          <t>eap-1_3</t>
        </is>
      </c>
      <c r="B34" s="20" t="inlineStr">
        <is>
          <t>EQ-E0016</t>
        </is>
      </c>
      <c r="C34" s="20" t="inlineStr">
        <is>
          <t>Escavadeira Hidráulica 22t [EQ]</t>
        </is>
      </c>
      <c r="D34" s="75" t="inlineStr">
        <is>
          <t>EQ</t>
        </is>
      </c>
      <c r="E34" s="22" t="n">
        <v>2</v>
      </c>
      <c r="F34" s="23" t="n">
        <v>35639.3</v>
      </c>
      <c r="G34" s="22" t="n">
        <v>11.73</v>
      </c>
      <c r="H34" s="22" t="n">
        <v>1</v>
      </c>
      <c r="I34" s="23" t="n">
        <v>418048.99</v>
      </c>
    </row>
    <row r="35">
      <c r="A35" s="16" t="inlineStr">
        <is>
          <t>Subtotal eap-1_3</t>
        </is>
      </c>
      <c r="B35" s="17" t="n"/>
      <c r="C35" s="17" t="n"/>
      <c r="D35" s="17" t="n"/>
      <c r="E35" s="17" t="n"/>
      <c r="F35" s="17" t="n"/>
      <c r="G35" s="17" t="n"/>
      <c r="H35" s="17" t="n"/>
      <c r="I35" s="18" t="n">
        <v>4165158.97</v>
      </c>
    </row>
    <row r="36">
      <c r="A36" s="9" t="inlineStr">
        <is>
          <t>eap-1_4 — Esc/carg/transp 2aCat DMT&lt;=3000m</t>
        </is>
      </c>
    </row>
    <row r="37">
      <c r="A37" s="10" t="inlineStr">
        <is>
          <t>eap-1_4</t>
        </is>
      </c>
      <c r="B37" s="10" t="inlineStr">
        <is>
          <t>CPU-TERRA-ESCO-CARGA-2CAT-DMT3000</t>
        </is>
      </c>
      <c r="C37" s="10" t="inlineStr">
        <is>
          <t>Operador de Escavadeira</t>
        </is>
      </c>
      <c r="D37" s="11" t="inlineStr">
        <is>
          <t>DIRETO</t>
        </is>
      </c>
      <c r="E37" s="12" t="n">
        <v>2</v>
      </c>
      <c r="F37" s="13" t="n">
        <v>20600</v>
      </c>
      <c r="G37" s="12" t="n">
        <v>11.73</v>
      </c>
      <c r="H37" s="12" t="n">
        <v>1</v>
      </c>
      <c r="I37" s="13" t="n">
        <v>241638</v>
      </c>
    </row>
    <row r="38">
      <c r="A38" s="10" t="inlineStr">
        <is>
          <t>eap-1_4</t>
        </is>
      </c>
      <c r="B38" s="10" t="inlineStr">
        <is>
          <t>CPU-TERRA-ESCO-CARGA-2CAT-DMT3000</t>
        </is>
      </c>
      <c r="C38" s="10" t="inlineStr">
        <is>
          <t>Motorista de Caminhão Basculante</t>
        </is>
      </c>
      <c r="D38" s="11" t="inlineStr">
        <is>
          <t>DIRETO</t>
        </is>
      </c>
      <c r="E38" s="12" t="n">
        <v>11</v>
      </c>
      <c r="F38" s="13" t="n">
        <v>69752.87</v>
      </c>
      <c r="G38" s="12" t="n">
        <v>11.73</v>
      </c>
      <c r="H38" s="12" t="n">
        <v>1</v>
      </c>
      <c r="I38" s="13" t="n">
        <v>818201.17</v>
      </c>
    </row>
    <row r="39">
      <c r="A39" s="10" t="inlineStr">
        <is>
          <t>eap-1_4</t>
        </is>
      </c>
      <c r="B39" s="10" t="inlineStr">
        <is>
          <t>CPU-TERRA-ESCO-CARGA-2CAT-DMT3000</t>
        </is>
      </c>
      <c r="C39" s="10" t="inlineStr">
        <is>
          <t>Ajudante</t>
        </is>
      </c>
      <c r="D39" s="11" t="inlineStr">
        <is>
          <t>DIRETO</t>
        </is>
      </c>
      <c r="E39" s="12" t="n">
        <v>2</v>
      </c>
      <c r="F39" s="13" t="n">
        <v>8418.639999999999</v>
      </c>
      <c r="G39" s="12" t="n">
        <v>11.73</v>
      </c>
      <c r="H39" s="12" t="n">
        <v>1</v>
      </c>
      <c r="I39" s="13" t="n">
        <v>98750.64999999999</v>
      </c>
    </row>
    <row r="40">
      <c r="A40" s="10" t="inlineStr">
        <is>
          <t>eap-1_4</t>
        </is>
      </c>
      <c r="B40" s="10" t="inlineStr">
        <is>
          <t>CPU-TERRA-ESCO-CARGA-2CAT-DMT3000</t>
        </is>
      </c>
      <c r="C40" s="10" t="inlineStr">
        <is>
          <t>Encarregado de Frente</t>
        </is>
      </c>
      <c r="D40" s="11" t="inlineStr">
        <is>
          <t>DIRETO</t>
        </is>
      </c>
      <c r="E40" s="12" t="n">
        <v>1</v>
      </c>
      <c r="F40" s="13" t="n">
        <v>7500</v>
      </c>
      <c r="G40" s="12" t="n">
        <v>11.73</v>
      </c>
      <c r="H40" s="12" t="n">
        <v>1</v>
      </c>
      <c r="I40" s="13" t="n">
        <v>87975</v>
      </c>
    </row>
    <row r="41">
      <c r="A41" s="10" t="inlineStr">
        <is>
          <t>eap-1_4</t>
        </is>
      </c>
      <c r="B41" s="10" t="inlineStr">
        <is>
          <t>EQ-E0016</t>
        </is>
      </c>
      <c r="C41" s="10" t="inlineStr">
        <is>
          <t>Escavadeira Hidráulica 22t [EQ]</t>
        </is>
      </c>
      <c r="D41" s="73" t="inlineStr">
        <is>
          <t>EQ</t>
        </is>
      </c>
      <c r="E41" s="12" t="n">
        <v>2</v>
      </c>
      <c r="F41" s="13" t="n">
        <v>35639.3</v>
      </c>
      <c r="G41" s="12" t="n">
        <v>11.73</v>
      </c>
      <c r="H41" s="12" t="n">
        <v>1</v>
      </c>
      <c r="I41" s="13" t="n">
        <v>418048.99</v>
      </c>
    </row>
    <row r="42">
      <c r="A42" s="16" t="inlineStr">
        <is>
          <t>Subtotal eap-1_4</t>
        </is>
      </c>
      <c r="B42" s="17" t="n"/>
      <c r="C42" s="17" t="n"/>
      <c r="D42" s="17" t="n"/>
      <c r="E42" s="17" t="n"/>
      <c r="F42" s="17" t="n"/>
      <c r="G42" s="17" t="n"/>
      <c r="H42" s="17" t="n"/>
      <c r="I42" s="18" t="n">
        <v>4165158.97</v>
      </c>
    </row>
    <row r="43">
      <c r="A43" s="9" t="inlineStr">
        <is>
          <t>eap-1_5 — Esc/carg/transp 3aCat DMT&lt;=2000m</t>
        </is>
      </c>
    </row>
    <row r="44">
      <c r="A44" s="20" t="inlineStr">
        <is>
          <t>eap-1_5</t>
        </is>
      </c>
      <c r="B44" s="20" t="inlineStr">
        <is>
          <t>CPU-TERRA-ESCO-CARGA-3CAT-DMT2000</t>
        </is>
      </c>
      <c r="C44" s="20" t="inlineStr">
        <is>
          <t>Operador de Escavadeira</t>
        </is>
      </c>
      <c r="D44" s="21" t="inlineStr">
        <is>
          <t>DIRETO</t>
        </is>
      </c>
      <c r="E44" s="22" t="n">
        <v>4</v>
      </c>
      <c r="F44" s="23" t="n">
        <v>41200</v>
      </c>
      <c r="G44" s="22" t="n">
        <v>11.27</v>
      </c>
      <c r="H44" s="22" t="n">
        <v>1</v>
      </c>
      <c r="I44" s="23" t="n">
        <v>464324</v>
      </c>
    </row>
    <row r="45">
      <c r="A45" s="20" t="inlineStr">
        <is>
          <t>eap-1_5</t>
        </is>
      </c>
      <c r="B45" s="20" t="inlineStr">
        <is>
          <t>CPU-TERRA-ESCO-CARGA-3CAT-DMT2000</t>
        </is>
      </c>
      <c r="C45" s="20" t="inlineStr">
        <is>
          <t>Motorista de Caminhão Basculante</t>
        </is>
      </c>
      <c r="D45" s="21" t="inlineStr">
        <is>
          <t>DIRETO</t>
        </is>
      </c>
      <c r="E45" s="22" t="n">
        <v>25</v>
      </c>
      <c r="F45" s="23" t="n">
        <v>158529.25</v>
      </c>
      <c r="G45" s="22" t="n">
        <v>11.27</v>
      </c>
      <c r="H45" s="22" t="n">
        <v>1</v>
      </c>
      <c r="I45" s="23" t="n">
        <v>1786624.65</v>
      </c>
    </row>
    <row r="46">
      <c r="A46" s="20" t="inlineStr">
        <is>
          <t>eap-1_5</t>
        </is>
      </c>
      <c r="B46" s="20" t="inlineStr">
        <is>
          <t>CPU-TERRA-ESCO-CARGA-3CAT-DMT2000</t>
        </is>
      </c>
      <c r="C46" s="20" t="inlineStr">
        <is>
          <t>Ajudante</t>
        </is>
      </c>
      <c r="D46" s="21" t="inlineStr">
        <is>
          <t>DIRETO</t>
        </is>
      </c>
      <c r="E46" s="22" t="n">
        <v>4</v>
      </c>
      <c r="F46" s="23" t="n">
        <v>16837.28</v>
      </c>
      <c r="G46" s="22" t="n">
        <v>11.27</v>
      </c>
      <c r="H46" s="22" t="n">
        <v>1</v>
      </c>
      <c r="I46" s="23" t="n">
        <v>189756.15</v>
      </c>
    </row>
    <row r="47">
      <c r="A47" s="20" t="inlineStr">
        <is>
          <t>eap-1_5</t>
        </is>
      </c>
      <c r="B47" s="20" t="inlineStr">
        <is>
          <t>EQ-E0016</t>
        </is>
      </c>
      <c r="C47" s="20" t="inlineStr">
        <is>
          <t>Escavadeira Hidráulica 22t [EQ]</t>
        </is>
      </c>
      <c r="D47" s="75" t="inlineStr">
        <is>
          <t>EQ</t>
        </is>
      </c>
      <c r="E47" s="22" t="n">
        <v>4</v>
      </c>
      <c r="F47" s="23" t="n">
        <v>35639.3</v>
      </c>
      <c r="G47" s="22" t="n">
        <v>11.27</v>
      </c>
      <c r="H47" s="22" t="n">
        <v>1</v>
      </c>
      <c r="I47" s="23" t="n">
        <v>401654.91</v>
      </c>
    </row>
    <row r="48">
      <c r="A48" s="16" t="inlineStr">
        <is>
          <t>Subtotal eap-1_5</t>
        </is>
      </c>
      <c r="B48" s="17" t="n"/>
      <c r="C48" s="17" t="n"/>
      <c r="D48" s="17" t="n"/>
      <c r="E48" s="17" t="n"/>
      <c r="F48" s="17" t="n"/>
      <c r="G48" s="17" t="n"/>
      <c r="H48" s="17" t="n"/>
      <c r="I48" s="18" t="n">
        <v>16188650.2</v>
      </c>
    </row>
    <row r="49">
      <c r="A49" s="9" t="inlineStr">
        <is>
          <t>eap-1_6 — Esc/carg/transp 3aCat DMT&lt;=3000m</t>
        </is>
      </c>
    </row>
    <row r="50">
      <c r="A50" s="10" t="inlineStr">
        <is>
          <t>eap-1_6</t>
        </is>
      </c>
      <c r="B50" s="10" t="inlineStr">
        <is>
          <t>CPU-TERRA-ESCO-CARGA-3CAT-DMT3000</t>
        </is>
      </c>
      <c r="C50" s="10" t="inlineStr">
        <is>
          <t>Operador de Escavadeira</t>
        </is>
      </c>
      <c r="D50" s="11" t="inlineStr">
        <is>
          <t>DIRETO</t>
        </is>
      </c>
      <c r="E50" s="12" t="n">
        <v>4</v>
      </c>
      <c r="F50" s="13" t="n">
        <v>41200</v>
      </c>
      <c r="G50" s="12" t="n">
        <v>11.27</v>
      </c>
      <c r="H50" s="12" t="n">
        <v>1</v>
      </c>
      <c r="I50" s="13" t="n">
        <v>464324</v>
      </c>
    </row>
    <row r="51">
      <c r="A51" s="10" t="inlineStr">
        <is>
          <t>eap-1_6</t>
        </is>
      </c>
      <c r="B51" s="10" t="inlineStr">
        <is>
          <t>CPU-TERRA-ESCO-CARGA-3CAT-DMT3000</t>
        </is>
      </c>
      <c r="C51" s="10" t="inlineStr">
        <is>
          <t>Motorista de Caminhão Basculante</t>
        </is>
      </c>
      <c r="D51" s="11" t="inlineStr">
        <is>
          <t>DIRETO</t>
        </is>
      </c>
      <c r="E51" s="12" t="n">
        <v>25</v>
      </c>
      <c r="F51" s="13" t="n">
        <v>158529.25</v>
      </c>
      <c r="G51" s="12" t="n">
        <v>11.27</v>
      </c>
      <c r="H51" s="12" t="n">
        <v>1</v>
      </c>
      <c r="I51" s="13" t="n">
        <v>1786624.65</v>
      </c>
    </row>
    <row r="52">
      <c r="A52" s="10" t="inlineStr">
        <is>
          <t>eap-1_6</t>
        </is>
      </c>
      <c r="B52" s="10" t="inlineStr">
        <is>
          <t>CPU-TERRA-ESCO-CARGA-3CAT-DMT3000</t>
        </is>
      </c>
      <c r="C52" s="10" t="inlineStr">
        <is>
          <t>Ajudante</t>
        </is>
      </c>
      <c r="D52" s="11" t="inlineStr">
        <is>
          <t>DIRETO</t>
        </is>
      </c>
      <c r="E52" s="12" t="n">
        <v>4</v>
      </c>
      <c r="F52" s="13" t="n">
        <v>16837.28</v>
      </c>
      <c r="G52" s="12" t="n">
        <v>11.27</v>
      </c>
      <c r="H52" s="12" t="n">
        <v>1</v>
      </c>
      <c r="I52" s="13" t="n">
        <v>189756.15</v>
      </c>
    </row>
    <row r="53">
      <c r="A53" s="10" t="inlineStr">
        <is>
          <t>eap-1_6</t>
        </is>
      </c>
      <c r="B53" s="10" t="inlineStr">
        <is>
          <t>EQ-E0016</t>
        </is>
      </c>
      <c r="C53" s="10" t="inlineStr">
        <is>
          <t>Escavadeira Hidráulica 22t [EQ]</t>
        </is>
      </c>
      <c r="D53" s="73" t="inlineStr">
        <is>
          <t>EQ</t>
        </is>
      </c>
      <c r="E53" s="12" t="n">
        <v>4</v>
      </c>
      <c r="F53" s="13" t="n">
        <v>35639.3</v>
      </c>
      <c r="G53" s="12" t="n">
        <v>11.27</v>
      </c>
      <c r="H53" s="12" t="n">
        <v>1</v>
      </c>
      <c r="I53" s="13" t="n">
        <v>401654.91</v>
      </c>
    </row>
    <row r="54">
      <c r="A54" s="16" t="inlineStr">
        <is>
          <t>Subtotal eap-1_6</t>
        </is>
      </c>
      <c r="B54" s="17" t="n"/>
      <c r="C54" s="17" t="n"/>
      <c r="D54" s="17" t="n"/>
      <c r="E54" s="17" t="n"/>
      <c r="F54" s="17" t="n"/>
      <c r="G54" s="17" t="n"/>
      <c r="H54" s="17" t="n"/>
      <c r="I54" s="18" t="n">
        <v>16188650.2</v>
      </c>
    </row>
    <row r="55">
      <c r="A55" s="9" t="inlineStr">
        <is>
          <t>eap-1_7 — Compactacao aterros 100% Proctor Normal</t>
        </is>
      </c>
    </row>
    <row r="56">
      <c r="A56" s="20" t="inlineStr">
        <is>
          <t>eap-1_7</t>
        </is>
      </c>
      <c r="B56" s="20" t="inlineStr">
        <is>
          <t>CPU-TERRA-COMPAC-PN</t>
        </is>
      </c>
      <c r="C56" s="20" t="inlineStr">
        <is>
          <t>Operador de Motoniveladora</t>
        </is>
      </c>
      <c r="D56" s="21" t="inlineStr">
        <is>
          <t>DIRETO</t>
        </is>
      </c>
      <c r="E56" s="22" t="n">
        <v>3</v>
      </c>
      <c r="F56" s="23" t="n">
        <v>30900</v>
      </c>
      <c r="G56" s="22" t="n">
        <v>11.73</v>
      </c>
      <c r="H56" s="22" t="n">
        <v>1</v>
      </c>
      <c r="I56" s="23" t="n">
        <v>362457</v>
      </c>
    </row>
    <row r="57">
      <c r="A57" s="20" t="inlineStr">
        <is>
          <t>eap-1_7</t>
        </is>
      </c>
      <c r="B57" s="20" t="inlineStr">
        <is>
          <t>CPU-TERRA-COMPAC-PN</t>
        </is>
      </c>
      <c r="C57" s="20" t="inlineStr">
        <is>
          <t>Operador de Trator de Pneu</t>
        </is>
      </c>
      <c r="D57" s="21" t="inlineStr">
        <is>
          <t>DIRETO</t>
        </is>
      </c>
      <c r="E57" s="22" t="n">
        <v>3</v>
      </c>
      <c r="F57" s="23" t="n">
        <v>19023.51</v>
      </c>
      <c r="G57" s="22" t="n">
        <v>11.73</v>
      </c>
      <c r="H57" s="22" t="n">
        <v>1</v>
      </c>
      <c r="I57" s="23" t="n">
        <v>223145.77</v>
      </c>
    </row>
    <row r="58">
      <c r="A58" s="20" t="inlineStr">
        <is>
          <t>eap-1_7</t>
        </is>
      </c>
      <c r="B58" s="20" t="inlineStr">
        <is>
          <t>CPU-TERRA-COMPAC-PN</t>
        </is>
      </c>
      <c r="C58" s="20" t="inlineStr">
        <is>
          <t>Motorista de Caminhão Pipa</t>
        </is>
      </c>
      <c r="D58" s="21" t="inlineStr">
        <is>
          <t>DIRETO</t>
        </is>
      </c>
      <c r="E58" s="22" t="n">
        <v>3</v>
      </c>
      <c r="F58" s="23" t="n">
        <v>19023.51</v>
      </c>
      <c r="G58" s="22" t="n">
        <v>11.73</v>
      </c>
      <c r="H58" s="22" t="n">
        <v>1</v>
      </c>
      <c r="I58" s="23" t="n">
        <v>223145.77</v>
      </c>
    </row>
    <row r="59">
      <c r="A59" s="20" t="inlineStr">
        <is>
          <t>eap-1_7</t>
        </is>
      </c>
      <c r="B59" s="20" t="inlineStr">
        <is>
          <t>CPU-TERRA-COMPAC-PN</t>
        </is>
      </c>
      <c r="C59" s="20" t="inlineStr">
        <is>
          <t>Operador de Rolo Compactador</t>
        </is>
      </c>
      <c r="D59" s="21" t="inlineStr">
        <is>
          <t>DIRETO</t>
        </is>
      </c>
      <c r="E59" s="22" t="n">
        <v>6</v>
      </c>
      <c r="F59" s="23" t="n">
        <v>38047.02</v>
      </c>
      <c r="G59" s="22" t="n">
        <v>11.73</v>
      </c>
      <c r="H59" s="22" t="n">
        <v>1</v>
      </c>
      <c r="I59" s="23" t="n">
        <v>446291.54</v>
      </c>
    </row>
    <row r="60">
      <c r="A60" s="20" t="inlineStr">
        <is>
          <t>eap-1_7</t>
        </is>
      </c>
      <c r="B60" s="20" t="inlineStr">
        <is>
          <t>CPU-TERRA-COMPAC-PN</t>
        </is>
      </c>
      <c r="C60" s="20" t="inlineStr">
        <is>
          <t>Ajudante</t>
        </is>
      </c>
      <c r="D60" s="21" t="inlineStr">
        <is>
          <t>DIRETO</t>
        </is>
      </c>
      <c r="E60" s="22" t="n">
        <v>6</v>
      </c>
      <c r="F60" s="23" t="n">
        <v>25255.92</v>
      </c>
      <c r="G60" s="22" t="n">
        <v>11.73</v>
      </c>
      <c r="H60" s="22" t="n">
        <v>1</v>
      </c>
      <c r="I60" s="23" t="n">
        <v>296251.94</v>
      </c>
    </row>
    <row r="61">
      <c r="A61" s="20" t="inlineStr">
        <is>
          <t>eap-1_7</t>
        </is>
      </c>
      <c r="B61" s="20" t="inlineStr">
        <is>
          <t>CPU-TERRA-COMPAC-PN</t>
        </is>
      </c>
      <c r="C61" s="20" t="inlineStr">
        <is>
          <t>Gredista</t>
        </is>
      </c>
      <c r="D61" s="21" t="inlineStr">
        <is>
          <t>DIRETO</t>
        </is>
      </c>
      <c r="E61" s="22" t="n">
        <v>3</v>
      </c>
      <c r="F61" s="23" t="n">
        <v>19023.51</v>
      </c>
      <c r="G61" s="22" t="n">
        <v>11.73</v>
      </c>
      <c r="H61" s="22" t="n">
        <v>1</v>
      </c>
      <c r="I61" s="23" t="n">
        <v>223145.77</v>
      </c>
    </row>
    <row r="62">
      <c r="A62" s="20" t="inlineStr">
        <is>
          <t>eap-1_7</t>
        </is>
      </c>
      <c r="B62" s="20" t="inlineStr">
        <is>
          <t>CPU-TERRA-COMPAC-PN</t>
        </is>
      </c>
      <c r="C62" s="20" t="inlineStr">
        <is>
          <t>Encarregado de Frente</t>
        </is>
      </c>
      <c r="D62" s="21" t="inlineStr">
        <is>
          <t>DIRETO</t>
        </is>
      </c>
      <c r="E62" s="22" t="n">
        <v>2</v>
      </c>
      <c r="F62" s="23" t="n">
        <v>15000</v>
      </c>
      <c r="G62" s="22" t="n">
        <v>11.73</v>
      </c>
      <c r="H62" s="22" t="n">
        <v>1</v>
      </c>
      <c r="I62" s="23" t="n">
        <v>175950</v>
      </c>
    </row>
    <row r="63">
      <c r="A63" s="20" t="inlineStr">
        <is>
          <t>eap-1_7</t>
        </is>
      </c>
      <c r="B63" s="20" t="inlineStr">
        <is>
          <t>EQ-E0028</t>
        </is>
      </c>
      <c r="C63" s="20" t="inlineStr">
        <is>
          <t>Motoniveladora 120HP [EQ]</t>
        </is>
      </c>
      <c r="D63" s="75" t="inlineStr">
        <is>
          <t>EQ</t>
        </is>
      </c>
      <c r="E63" s="22" t="n">
        <v>3</v>
      </c>
      <c r="F63" s="23" t="n">
        <v>36664.32</v>
      </c>
      <c r="G63" s="22" t="n">
        <v>11.73</v>
      </c>
      <c r="H63" s="22" t="n">
        <v>1</v>
      </c>
      <c r="I63" s="23" t="n">
        <v>430072.47</v>
      </c>
    </row>
    <row r="64">
      <c r="A64" s="20" t="inlineStr">
        <is>
          <t>eap-1_7</t>
        </is>
      </c>
      <c r="B64" s="20" t="inlineStr">
        <is>
          <t>EQ-E0028</t>
        </is>
      </c>
      <c r="C64" s="25" t="inlineStr">
        <is>
          <t>Diesel — Motoniveladora 120HP</t>
        </is>
      </c>
      <c r="D64" s="76" t="inlineStr">
        <is>
          <t>COMB</t>
        </is>
      </c>
      <c r="E64" s="22" t="n">
        <v>3</v>
      </c>
      <c r="F64" s="23" t="n">
        <v>11478.86</v>
      </c>
      <c r="G64" s="22" t="n">
        <v>11.73</v>
      </c>
      <c r="H64" s="22" t="n">
        <v>1</v>
      </c>
      <c r="I64" s="23" t="n">
        <v>134647.03</v>
      </c>
    </row>
    <row r="65">
      <c r="A65" s="20" t="inlineStr">
        <is>
          <t>eap-1_7</t>
        </is>
      </c>
      <c r="B65" s="20" t="inlineStr">
        <is>
          <t>EQ-E0034</t>
        </is>
      </c>
      <c r="C65" s="20" t="inlineStr">
        <is>
          <t>Trator de pneus com grade [EQ]</t>
        </is>
      </c>
      <c r="D65" s="75" t="inlineStr">
        <is>
          <t>EQ</t>
        </is>
      </c>
      <c r="E65" s="22" t="n">
        <v>3</v>
      </c>
      <c r="F65" s="23" t="n">
        <v>7744</v>
      </c>
      <c r="G65" s="22" t="n">
        <v>11.73</v>
      </c>
      <c r="H65" s="22" t="n">
        <v>1</v>
      </c>
      <c r="I65" s="23" t="n">
        <v>90837.12</v>
      </c>
    </row>
    <row r="66">
      <c r="A66" s="20" t="inlineStr">
        <is>
          <t>eap-1_7</t>
        </is>
      </c>
      <c r="B66" s="20" t="inlineStr">
        <is>
          <t>EQ-E0034</t>
        </is>
      </c>
      <c r="C66" s="25" t="inlineStr">
        <is>
          <t>Diesel — Trator de pneus com grade</t>
        </is>
      </c>
      <c r="D66" s="76" t="inlineStr">
        <is>
          <t>COMB</t>
        </is>
      </c>
      <c r="E66" s="22" t="n">
        <v>3</v>
      </c>
      <c r="F66" s="23" t="n">
        <v>10203.43</v>
      </c>
      <c r="G66" s="22" t="n">
        <v>11.73</v>
      </c>
      <c r="H66" s="22" t="n">
        <v>1</v>
      </c>
      <c r="I66" s="23" t="n">
        <v>119686.23</v>
      </c>
    </row>
    <row r="67">
      <c r="A67" s="16" t="inlineStr">
        <is>
          <t>Subtotal eap-1_7</t>
        </is>
      </c>
      <c r="B67" s="17" t="n"/>
      <c r="C67" s="17" t="n"/>
      <c r="D67" s="17" t="n"/>
      <c r="E67" s="17" t="n"/>
      <c r="F67" s="17" t="n"/>
      <c r="G67" s="17" t="n"/>
      <c r="H67" s="17" t="n"/>
      <c r="I67" s="18" t="n">
        <v>12611776.56</v>
      </c>
    </row>
    <row r="68">
      <c r="A68" s="9" t="inlineStr">
        <is>
          <t>eap-1_8 — Compactacao aterros 100% Proctor Intermediario</t>
        </is>
      </c>
    </row>
    <row r="69">
      <c r="A69" s="10" t="inlineStr">
        <is>
          <t>eap-1_8</t>
        </is>
      </c>
      <c r="B69" s="10" t="inlineStr">
        <is>
          <t>CPU-TERRA-COMPAC-PI</t>
        </is>
      </c>
      <c r="C69" s="10" t="inlineStr">
        <is>
          <t>Operador de Motoniveladora</t>
        </is>
      </c>
      <c r="D69" s="11" t="inlineStr">
        <is>
          <t>DIRETO</t>
        </is>
      </c>
      <c r="E69" s="12" t="n">
        <v>3</v>
      </c>
      <c r="F69" s="13" t="n">
        <v>30900</v>
      </c>
      <c r="G69" s="12" t="n">
        <v>0.6899999999999999</v>
      </c>
      <c r="H69" s="12" t="n">
        <v>1</v>
      </c>
      <c r="I69" s="13" t="n">
        <v>21321</v>
      </c>
    </row>
    <row r="70">
      <c r="A70" s="10" t="inlineStr">
        <is>
          <t>eap-1_8</t>
        </is>
      </c>
      <c r="B70" s="10" t="inlineStr">
        <is>
          <t>CPU-TERRA-COMPAC-PI</t>
        </is>
      </c>
      <c r="C70" s="10" t="inlineStr">
        <is>
          <t>Operador de Trator de Pneu</t>
        </is>
      </c>
      <c r="D70" s="11" t="inlineStr">
        <is>
          <t>DIRETO</t>
        </is>
      </c>
      <c r="E70" s="12" t="n">
        <v>3</v>
      </c>
      <c r="F70" s="13" t="n">
        <v>19023.51</v>
      </c>
      <c r="G70" s="12" t="n">
        <v>0.6899999999999999</v>
      </c>
      <c r="H70" s="12" t="n">
        <v>1</v>
      </c>
      <c r="I70" s="13" t="n">
        <v>13126.22</v>
      </c>
    </row>
    <row r="71">
      <c r="A71" s="10" t="inlineStr">
        <is>
          <t>eap-1_8</t>
        </is>
      </c>
      <c r="B71" s="10" t="inlineStr">
        <is>
          <t>CPU-TERRA-COMPAC-PI</t>
        </is>
      </c>
      <c r="C71" s="10" t="inlineStr">
        <is>
          <t>Motorista de Caminhão Pipa</t>
        </is>
      </c>
      <c r="D71" s="11" t="inlineStr">
        <is>
          <t>DIRETO</t>
        </is>
      </c>
      <c r="E71" s="12" t="n">
        <v>3</v>
      </c>
      <c r="F71" s="13" t="n">
        <v>19023.51</v>
      </c>
      <c r="G71" s="12" t="n">
        <v>0.6899999999999999</v>
      </c>
      <c r="H71" s="12" t="n">
        <v>1</v>
      </c>
      <c r="I71" s="13" t="n">
        <v>13126.22</v>
      </c>
    </row>
    <row r="72">
      <c r="A72" s="10" t="inlineStr">
        <is>
          <t>eap-1_8</t>
        </is>
      </c>
      <c r="B72" s="10" t="inlineStr">
        <is>
          <t>CPU-TERRA-COMPAC-PI</t>
        </is>
      </c>
      <c r="C72" s="10" t="inlineStr">
        <is>
          <t>Operador de Rolo Compactador</t>
        </is>
      </c>
      <c r="D72" s="11" t="inlineStr">
        <is>
          <t>DIRETO</t>
        </is>
      </c>
      <c r="E72" s="12" t="n">
        <v>6</v>
      </c>
      <c r="F72" s="13" t="n">
        <v>38047.02</v>
      </c>
      <c r="G72" s="12" t="n">
        <v>0.6899999999999999</v>
      </c>
      <c r="H72" s="12" t="n">
        <v>1</v>
      </c>
      <c r="I72" s="13" t="n">
        <v>26252.44</v>
      </c>
    </row>
    <row r="73">
      <c r="A73" s="10" t="inlineStr">
        <is>
          <t>eap-1_8</t>
        </is>
      </c>
      <c r="B73" s="10" t="inlineStr">
        <is>
          <t>CPU-TERRA-COMPAC-PI</t>
        </is>
      </c>
      <c r="C73" s="10" t="inlineStr">
        <is>
          <t>Ajudante</t>
        </is>
      </c>
      <c r="D73" s="11" t="inlineStr">
        <is>
          <t>DIRETO</t>
        </is>
      </c>
      <c r="E73" s="12" t="n">
        <v>6</v>
      </c>
      <c r="F73" s="13" t="n">
        <v>25255.92</v>
      </c>
      <c r="G73" s="12" t="n">
        <v>0.6899999999999999</v>
      </c>
      <c r="H73" s="12" t="n">
        <v>1</v>
      </c>
      <c r="I73" s="13" t="n">
        <v>17426.58</v>
      </c>
    </row>
    <row r="74">
      <c r="A74" s="10" t="inlineStr">
        <is>
          <t>eap-1_8</t>
        </is>
      </c>
      <c r="B74" s="10" t="inlineStr">
        <is>
          <t>CPU-TERRA-COMPAC-PI</t>
        </is>
      </c>
      <c r="C74" s="10" t="inlineStr">
        <is>
          <t>Gredista</t>
        </is>
      </c>
      <c r="D74" s="11" t="inlineStr">
        <is>
          <t>DIRETO</t>
        </is>
      </c>
      <c r="E74" s="12" t="n">
        <v>3</v>
      </c>
      <c r="F74" s="13" t="n">
        <v>19023.51</v>
      </c>
      <c r="G74" s="12" t="n">
        <v>0.6899999999999999</v>
      </c>
      <c r="H74" s="12" t="n">
        <v>1</v>
      </c>
      <c r="I74" s="13" t="n">
        <v>13126.22</v>
      </c>
    </row>
    <row r="75">
      <c r="A75" s="10" t="inlineStr">
        <is>
          <t>eap-1_8</t>
        </is>
      </c>
      <c r="B75" s="10" t="inlineStr">
        <is>
          <t>CPU-TERRA-COMPAC-PI</t>
        </is>
      </c>
      <c r="C75" s="10" t="inlineStr">
        <is>
          <t>Encarregado de Frente</t>
        </is>
      </c>
      <c r="D75" s="11" t="inlineStr">
        <is>
          <t>DIRETO</t>
        </is>
      </c>
      <c r="E75" s="12" t="n">
        <v>2</v>
      </c>
      <c r="F75" s="13" t="n">
        <v>15000</v>
      </c>
      <c r="G75" s="12" t="n">
        <v>0.6899999999999999</v>
      </c>
      <c r="H75" s="12" t="n">
        <v>1</v>
      </c>
      <c r="I75" s="13" t="n">
        <v>10350</v>
      </c>
    </row>
    <row r="76">
      <c r="A76" s="10" t="inlineStr">
        <is>
          <t>eap-1_8</t>
        </is>
      </c>
      <c r="B76" s="10" t="inlineStr">
        <is>
          <t>EQ-E0028</t>
        </is>
      </c>
      <c r="C76" s="10" t="inlineStr">
        <is>
          <t>Motoniveladora 120HP [EQ]</t>
        </is>
      </c>
      <c r="D76" s="73" t="inlineStr">
        <is>
          <t>EQ</t>
        </is>
      </c>
      <c r="E76" s="12" t="n">
        <v>3</v>
      </c>
      <c r="F76" s="13" t="n">
        <v>36664.32</v>
      </c>
      <c r="G76" s="12" t="n">
        <v>0.6899999999999999</v>
      </c>
      <c r="H76" s="12" t="n">
        <v>1</v>
      </c>
      <c r="I76" s="13" t="n">
        <v>25298.38</v>
      </c>
    </row>
    <row r="77">
      <c r="A77" s="10" t="inlineStr">
        <is>
          <t>eap-1_8</t>
        </is>
      </c>
      <c r="B77" s="10" t="inlineStr">
        <is>
          <t>EQ-E0028</t>
        </is>
      </c>
      <c r="C77" s="15" t="inlineStr">
        <is>
          <t>Diesel — Motoniveladora 120HP</t>
        </is>
      </c>
      <c r="D77" s="74" t="inlineStr">
        <is>
          <t>COMB</t>
        </is>
      </c>
      <c r="E77" s="12" t="n">
        <v>3</v>
      </c>
      <c r="F77" s="13" t="n">
        <v>11478.86</v>
      </c>
      <c r="G77" s="12" t="n">
        <v>0.6899999999999999</v>
      </c>
      <c r="H77" s="12" t="n">
        <v>1</v>
      </c>
      <c r="I77" s="13" t="n">
        <v>7920.41</v>
      </c>
    </row>
    <row r="78">
      <c r="A78" s="10" t="inlineStr">
        <is>
          <t>eap-1_8</t>
        </is>
      </c>
      <c r="B78" s="10" t="inlineStr">
        <is>
          <t>EQ-E0034</t>
        </is>
      </c>
      <c r="C78" s="10" t="inlineStr">
        <is>
          <t>Trator de pneus com grade [EQ]</t>
        </is>
      </c>
      <c r="D78" s="73" t="inlineStr">
        <is>
          <t>EQ</t>
        </is>
      </c>
      <c r="E78" s="12" t="n">
        <v>3</v>
      </c>
      <c r="F78" s="13" t="n">
        <v>7744</v>
      </c>
      <c r="G78" s="12" t="n">
        <v>0.6899999999999999</v>
      </c>
      <c r="H78" s="12" t="n">
        <v>1</v>
      </c>
      <c r="I78" s="13" t="n">
        <v>5343.36</v>
      </c>
    </row>
    <row r="79">
      <c r="A79" s="10" t="inlineStr">
        <is>
          <t>eap-1_8</t>
        </is>
      </c>
      <c r="B79" s="10" t="inlineStr">
        <is>
          <t>EQ-E0034</t>
        </is>
      </c>
      <c r="C79" s="15" t="inlineStr">
        <is>
          <t>Diesel — Trator de pneus com grade</t>
        </is>
      </c>
      <c r="D79" s="74" t="inlineStr">
        <is>
          <t>COMB</t>
        </is>
      </c>
      <c r="E79" s="12" t="n">
        <v>3</v>
      </c>
      <c r="F79" s="13" t="n">
        <v>10203.43</v>
      </c>
      <c r="G79" s="12" t="n">
        <v>0.6899999999999999</v>
      </c>
      <c r="H79" s="12" t="n">
        <v>1</v>
      </c>
      <c r="I79" s="13" t="n">
        <v>7040.37</v>
      </c>
    </row>
    <row r="80">
      <c r="A80" s="16" t="inlineStr">
        <is>
          <t>Subtotal eap-1_8</t>
        </is>
      </c>
      <c r="B80" s="17" t="n"/>
      <c r="C80" s="17" t="n"/>
      <c r="D80" s="17" t="n"/>
      <c r="E80" s="17" t="n"/>
      <c r="F80" s="17" t="n"/>
      <c r="G80" s="17" t="n"/>
      <c r="H80" s="17" t="n"/>
      <c r="I80" s="18" t="n">
        <v>503052.39</v>
      </c>
    </row>
    <row r="81">
      <c r="A81" s="9" t="inlineStr">
        <is>
          <t>eap-1_9 — Construcao corpo aterro material 3a categoria</t>
        </is>
      </c>
    </row>
    <row r="82">
      <c r="A82" s="20" t="inlineStr">
        <is>
          <t>eap-1_9</t>
        </is>
      </c>
      <c r="B82" s="20" t="inlineStr">
        <is>
          <t>CPU-TERRA-CORPO-ATERRO-3CAT</t>
        </is>
      </c>
      <c r="C82" s="20" t="inlineStr">
        <is>
          <t>Operador de Trator de Esteiras</t>
        </is>
      </c>
      <c r="D82" s="21" t="inlineStr">
        <is>
          <t>DIRETO</t>
        </is>
      </c>
      <c r="E82" s="22" t="n">
        <v>2</v>
      </c>
      <c r="F82" s="23" t="n">
        <v>20600</v>
      </c>
      <c r="G82" s="22" t="n">
        <v>11.96</v>
      </c>
      <c r="H82" s="22" t="n">
        <v>1</v>
      </c>
      <c r="I82" s="23" t="n">
        <v>246376</v>
      </c>
    </row>
    <row r="83">
      <c r="A83" s="20" t="inlineStr">
        <is>
          <t>eap-1_9</t>
        </is>
      </c>
      <c r="B83" s="20" t="inlineStr">
        <is>
          <t>CPU-TERRA-CORPO-ATERRO-3CAT</t>
        </is>
      </c>
      <c r="C83" s="20" t="inlineStr">
        <is>
          <t>Operador de Rolo Compactador</t>
        </is>
      </c>
      <c r="D83" s="21" t="inlineStr">
        <is>
          <t>DIRETO</t>
        </is>
      </c>
      <c r="E83" s="22" t="n">
        <v>4</v>
      </c>
      <c r="F83" s="23" t="n">
        <v>25364.68</v>
      </c>
      <c r="G83" s="22" t="n">
        <v>11.96</v>
      </c>
      <c r="H83" s="22" t="n">
        <v>1</v>
      </c>
      <c r="I83" s="23" t="n">
        <v>303361.57</v>
      </c>
    </row>
    <row r="84">
      <c r="A84" s="20" t="inlineStr">
        <is>
          <t>eap-1_9</t>
        </is>
      </c>
      <c r="B84" s="20" t="inlineStr">
        <is>
          <t>CPU-TERRA-CORPO-ATERRO-3CAT</t>
        </is>
      </c>
      <c r="C84" s="20" t="inlineStr">
        <is>
          <t>Ajudante</t>
        </is>
      </c>
      <c r="D84" s="21" t="inlineStr">
        <is>
          <t>DIRETO</t>
        </is>
      </c>
      <c r="E84" s="22" t="n">
        <v>4</v>
      </c>
      <c r="F84" s="23" t="n">
        <v>16837.28</v>
      </c>
      <c r="G84" s="22" t="n">
        <v>11.96</v>
      </c>
      <c r="H84" s="22" t="n">
        <v>1</v>
      </c>
      <c r="I84" s="23" t="n">
        <v>201373.87</v>
      </c>
    </row>
    <row r="85">
      <c r="A85" s="20" t="inlineStr">
        <is>
          <t>eap-1_9</t>
        </is>
      </c>
      <c r="B85" s="20" t="inlineStr">
        <is>
          <t>CPU-TERRA-CORPO-ATERRO-3CAT</t>
        </is>
      </c>
      <c r="C85" s="20" t="inlineStr">
        <is>
          <t>Gredista</t>
        </is>
      </c>
      <c r="D85" s="21" t="inlineStr">
        <is>
          <t>DIRETO</t>
        </is>
      </c>
      <c r="E85" s="22" t="n">
        <v>2</v>
      </c>
      <c r="F85" s="23" t="n">
        <v>12682.34</v>
      </c>
      <c r="G85" s="22" t="n">
        <v>11.96</v>
      </c>
      <c r="H85" s="22" t="n">
        <v>1</v>
      </c>
      <c r="I85" s="23" t="n">
        <v>151680.79</v>
      </c>
    </row>
    <row r="86">
      <c r="A86" s="20" t="inlineStr">
        <is>
          <t>eap-1_9</t>
        </is>
      </c>
      <c r="B86" s="20" t="inlineStr">
        <is>
          <t>CPU-TERRA-CORPO-ATERRO-3CAT</t>
        </is>
      </c>
      <c r="C86" s="20" t="inlineStr">
        <is>
          <t>Encarregado de Frente</t>
        </is>
      </c>
      <c r="D86" s="21" t="inlineStr">
        <is>
          <t>DIRETO</t>
        </is>
      </c>
      <c r="E86" s="22" t="n">
        <v>1</v>
      </c>
      <c r="F86" s="23" t="n">
        <v>7500</v>
      </c>
      <c r="G86" s="22" t="n">
        <v>11.96</v>
      </c>
      <c r="H86" s="22" t="n">
        <v>1</v>
      </c>
      <c r="I86" s="23" t="n">
        <v>89700</v>
      </c>
    </row>
    <row r="87">
      <c r="A87" s="20" t="inlineStr">
        <is>
          <t>eap-1_9</t>
        </is>
      </c>
      <c r="B87" s="20" t="inlineStr">
        <is>
          <t>EQ-E0037</t>
        </is>
      </c>
      <c r="C87" s="20" t="inlineStr">
        <is>
          <t>Trator de esteiras 40T [EQ]</t>
        </is>
      </c>
      <c r="D87" s="75" t="inlineStr">
        <is>
          <t>EQ</t>
        </is>
      </c>
      <c r="E87" s="22" t="n">
        <v>2</v>
      </c>
      <c r="F87" s="23" t="n">
        <v>20421.63</v>
      </c>
      <c r="G87" s="22" t="n">
        <v>11.96</v>
      </c>
      <c r="H87" s="22" t="n">
        <v>1</v>
      </c>
      <c r="I87" s="23" t="n">
        <v>244242.69</v>
      </c>
    </row>
    <row r="88">
      <c r="A88" s="20" t="inlineStr">
        <is>
          <t>eap-1_9</t>
        </is>
      </c>
      <c r="B88" s="20" t="inlineStr">
        <is>
          <t>EQ-E0037</t>
        </is>
      </c>
      <c r="C88" s="25" t="inlineStr">
        <is>
          <t>Diesel — Trator de esteiras 40T</t>
        </is>
      </c>
      <c r="D88" s="76" t="inlineStr">
        <is>
          <t>COMB</t>
        </is>
      </c>
      <c r="E88" s="22" t="n">
        <v>2</v>
      </c>
      <c r="F88" s="23" t="n">
        <v>30610.29</v>
      </c>
      <c r="G88" s="22" t="n">
        <v>11.96</v>
      </c>
      <c r="H88" s="22" t="n">
        <v>1</v>
      </c>
      <c r="I88" s="23" t="n">
        <v>366099.07</v>
      </c>
    </row>
    <row r="89">
      <c r="A89" s="16" t="inlineStr">
        <is>
          <t>Subtotal eap-1_9</t>
        </is>
      </c>
      <c r="B89" s="17" t="n"/>
      <c r="C89" s="17" t="n"/>
      <c r="D89" s="17" t="n"/>
      <c r="E89" s="17" t="n"/>
      <c r="F89" s="17" t="n"/>
      <c r="G89" s="17" t="n"/>
      <c r="H89" s="17" t="n"/>
      <c r="I89" s="18" t="n">
        <v>4290607.77</v>
      </c>
    </row>
    <row r="90">
      <c r="A90" s="9" t="inlineStr">
        <is>
          <t>eap-1_10 — Compactacao camada final aterro sobre rocha</t>
        </is>
      </c>
    </row>
    <row r="91">
      <c r="A91" s="10" t="inlineStr">
        <is>
          <t>eap-1_10</t>
        </is>
      </c>
      <c r="B91" s="10" t="inlineStr">
        <is>
          <t>CPU-TERRA-COMPAC-FINAL-ROCHA</t>
        </is>
      </c>
      <c r="C91" s="10" t="inlineStr">
        <is>
          <t>Operador de Trator de Esteiras</t>
        </is>
      </c>
      <c r="D91" s="11" t="inlineStr">
        <is>
          <t>DIRETO</t>
        </is>
      </c>
      <c r="E91" s="12" t="n">
        <v>1</v>
      </c>
      <c r="F91" s="13" t="n">
        <v>10300</v>
      </c>
      <c r="G91" s="12" t="n">
        <v>1.38</v>
      </c>
      <c r="H91" s="12" t="n">
        <v>1</v>
      </c>
      <c r="I91" s="13" t="n">
        <v>14214</v>
      </c>
    </row>
    <row r="92">
      <c r="A92" s="10" t="inlineStr">
        <is>
          <t>eap-1_10</t>
        </is>
      </c>
      <c r="B92" s="10" t="inlineStr">
        <is>
          <t>CPU-TERRA-COMPAC-FINAL-ROCHA</t>
        </is>
      </c>
      <c r="C92" s="10" t="inlineStr">
        <is>
          <t>Operador de Rolo Compactador</t>
        </is>
      </c>
      <c r="D92" s="11" t="inlineStr">
        <is>
          <t>DIRETO</t>
        </is>
      </c>
      <c r="E92" s="12" t="n">
        <v>3</v>
      </c>
      <c r="F92" s="13" t="n">
        <v>19023.51</v>
      </c>
      <c r="G92" s="12" t="n">
        <v>1.38</v>
      </c>
      <c r="H92" s="12" t="n">
        <v>1</v>
      </c>
      <c r="I92" s="13" t="n">
        <v>26252.44</v>
      </c>
    </row>
    <row r="93">
      <c r="A93" s="10" t="inlineStr">
        <is>
          <t>eap-1_10</t>
        </is>
      </c>
      <c r="B93" s="10" t="inlineStr">
        <is>
          <t>CPU-TERRA-COMPAC-FINAL-ROCHA</t>
        </is>
      </c>
      <c r="C93" s="10" t="inlineStr">
        <is>
          <t>Motorista de Caminhão Pipa</t>
        </is>
      </c>
      <c r="D93" s="11" t="inlineStr">
        <is>
          <t>DIRETO</t>
        </is>
      </c>
      <c r="E93" s="12" t="n">
        <v>1</v>
      </c>
      <c r="F93" s="13" t="n">
        <v>6341.17</v>
      </c>
      <c r="G93" s="12" t="n">
        <v>1.38</v>
      </c>
      <c r="H93" s="12" t="n">
        <v>1</v>
      </c>
      <c r="I93" s="13" t="n">
        <v>8750.809999999999</v>
      </c>
    </row>
    <row r="94">
      <c r="A94" s="10" t="inlineStr">
        <is>
          <t>eap-1_10</t>
        </is>
      </c>
      <c r="B94" s="10" t="inlineStr">
        <is>
          <t>CPU-TERRA-COMPAC-FINAL-ROCHA</t>
        </is>
      </c>
      <c r="C94" s="10" t="inlineStr">
        <is>
          <t>Ajudante</t>
        </is>
      </c>
      <c r="D94" s="11" t="inlineStr">
        <is>
          <t>DIRETO</t>
        </is>
      </c>
      <c r="E94" s="12" t="n">
        <v>2</v>
      </c>
      <c r="F94" s="13" t="n">
        <v>8418.639999999999</v>
      </c>
      <c r="G94" s="12" t="n">
        <v>1.38</v>
      </c>
      <c r="H94" s="12" t="n">
        <v>1</v>
      </c>
      <c r="I94" s="13" t="n">
        <v>11617.72</v>
      </c>
    </row>
    <row r="95">
      <c r="A95" s="10" t="inlineStr">
        <is>
          <t>eap-1_10</t>
        </is>
      </c>
      <c r="B95" s="10" t="inlineStr">
        <is>
          <t>EQ-E0035</t>
        </is>
      </c>
      <c r="C95" s="10" t="inlineStr">
        <is>
          <t>Trator de esteiras 20T [EQ]</t>
        </is>
      </c>
      <c r="D95" s="73" t="inlineStr">
        <is>
          <t>EQ</t>
        </is>
      </c>
      <c r="E95" s="12" t="n">
        <v>1</v>
      </c>
      <c r="F95" s="13" t="n">
        <v>21683.2</v>
      </c>
      <c r="G95" s="12" t="n">
        <v>1.38</v>
      </c>
      <c r="H95" s="12" t="n">
        <v>1</v>
      </c>
      <c r="I95" s="13" t="n">
        <v>29922.82</v>
      </c>
    </row>
    <row r="96">
      <c r="A96" s="10" t="inlineStr">
        <is>
          <t>eap-1_10</t>
        </is>
      </c>
      <c r="B96" s="10" t="inlineStr">
        <is>
          <t>EQ-E0035</t>
        </is>
      </c>
      <c r="C96" s="15" t="inlineStr">
        <is>
          <t>Diesel — Trator de esteiras 20T</t>
        </is>
      </c>
      <c r="D96" s="74" t="inlineStr">
        <is>
          <t>COMB</t>
        </is>
      </c>
      <c r="E96" s="12" t="n">
        <v>1</v>
      </c>
      <c r="F96" s="13" t="n">
        <v>22957.71</v>
      </c>
      <c r="G96" s="12" t="n">
        <v>1.38</v>
      </c>
      <c r="H96" s="12" t="n">
        <v>1</v>
      </c>
      <c r="I96" s="13" t="n">
        <v>31681.64</v>
      </c>
    </row>
    <row r="97">
      <c r="A97" s="16" t="inlineStr">
        <is>
          <t>Subtotal eap-1_10</t>
        </is>
      </c>
      <c r="B97" s="17" t="n"/>
      <c r="C97" s="17" t="n"/>
      <c r="D97" s="17" t="n"/>
      <c r="E97" s="17" t="n"/>
      <c r="F97" s="17" t="n"/>
      <c r="G97" s="17" t="n"/>
      <c r="H97" s="17" t="n"/>
      <c r="I97" s="18" t="n">
        <v>122434.54</v>
      </c>
    </row>
    <row r="99">
      <c r="A99" s="26" t="inlineStr">
        <is>
          <t>TOTAL EQUIPES DIRETAS</t>
        </is>
      </c>
      <c r="I99" s="27">
        <f>I14+I21+I28+I35+I42+I48+I54+I67+I80+I89+I97</f>
        <v/>
      </c>
    </row>
  </sheetData>
  <mergeCells count="13">
    <mergeCell ref="A29:I29"/>
    <mergeCell ref="A15:I15"/>
    <mergeCell ref="A43:I43"/>
    <mergeCell ref="A81:I81"/>
    <mergeCell ref="A68:I68"/>
    <mergeCell ref="A49:I49"/>
    <mergeCell ref="A90:I90"/>
    <mergeCell ref="A36:I36"/>
    <mergeCell ref="A99:H99"/>
    <mergeCell ref="A1:I1"/>
    <mergeCell ref="A3:I3"/>
    <mergeCell ref="A22:I22"/>
    <mergeCell ref="A55:I5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8" customWidth="1" min="4" max="4"/>
    <col width="16" customWidth="1" min="5" max="5"/>
    <col width="12" customWidth="1" min="6" max="6"/>
  </cols>
  <sheetData>
    <row r="1">
      <c r="A1" s="1" t="inlineStr">
        <is>
          <t>PONTO DE EQUILÍBRIO — CUSTO FIXO vs PREÇO DE VENDA (CPU)</t>
        </is>
      </c>
    </row>
    <row r="2">
      <c r="A2" s="2" t="inlineStr">
        <is>
          <t>Item ID</t>
        </is>
      </c>
      <c r="B2" s="2" t="inlineStr">
        <is>
          <t>CPU ID</t>
        </is>
      </c>
      <c r="C2" s="2" t="inlineStr">
        <is>
          <t>Custo Fixo Equipe (R$)</t>
        </is>
      </c>
      <c r="D2" s="2" t="inlineStr">
        <is>
          <t>Preço Venda CPU (R$)</t>
        </is>
      </c>
      <c r="E2" s="2" t="inlineStr">
        <is>
          <t>Delta (R$)</t>
        </is>
      </c>
      <c r="F2" s="2" t="inlineStr">
        <is>
          <t>Status</t>
        </is>
      </c>
    </row>
    <row r="3">
      <c r="A3" s="77" t="inlineStr">
        <is>
          <t>eap-1_0</t>
        </is>
      </c>
      <c r="B3" s="77" t="inlineStr">
        <is>
          <t>CPU-TERRA-ATI-003</t>
        </is>
      </c>
      <c r="C3" s="78" t="n">
        <v>2838678.4</v>
      </c>
      <c r="D3" s="78" t="n">
        <v>2529041.14</v>
      </c>
      <c r="E3" s="79" t="n">
        <v>-309637.26</v>
      </c>
      <c r="F3" s="80" t="inlineStr">
        <is>
          <t>ERRO</t>
        </is>
      </c>
    </row>
    <row r="4">
      <c r="A4" s="77" t="inlineStr">
        <is>
          <t>eap-1_1</t>
        </is>
      </c>
      <c r="B4" s="77" t="inlineStr">
        <is>
          <t>CPU-TERRA-ESCO-CARGA-1CAT-DMT2000</t>
        </is>
      </c>
      <c r="C4" s="78" t="n">
        <v>1056080.98</v>
      </c>
      <c r="D4" s="78" t="n">
        <v>935297.84</v>
      </c>
      <c r="E4" s="79" t="n">
        <v>-120783.14</v>
      </c>
      <c r="F4" s="80" t="inlineStr">
        <is>
          <t>ERRO</t>
        </is>
      </c>
    </row>
    <row r="5">
      <c r="A5" s="10" t="inlineStr">
        <is>
          <t>eap-1_2</t>
        </is>
      </c>
      <c r="B5" s="10" t="inlineStr">
        <is>
          <t>CPU-TERRA-ESCO-CARGA-1CAT-DMT3000</t>
        </is>
      </c>
      <c r="C5" s="13" t="n">
        <v>1056080.98</v>
      </c>
      <c r="D5" s="13" t="n">
        <v>3242006.35</v>
      </c>
      <c r="E5" s="81" t="n">
        <v>2185925.37</v>
      </c>
      <c r="F5" s="11" t="inlineStr">
        <is>
          <t>OK</t>
        </is>
      </c>
    </row>
    <row r="6">
      <c r="A6" s="77" t="inlineStr">
        <is>
          <t>eap-1_3</t>
        </is>
      </c>
      <c r="B6" s="77" t="inlineStr">
        <is>
          <t>CPU-TERRA-ESCO-CARGA-2CAT-DMT2000</t>
        </is>
      </c>
      <c r="C6" s="78" t="n">
        <v>2082662.79</v>
      </c>
      <c r="D6" s="78" t="n">
        <v>1207022.27</v>
      </c>
      <c r="E6" s="79" t="n">
        <v>-875640.52</v>
      </c>
      <c r="F6" s="80" t="inlineStr">
        <is>
          <t>ERRO</t>
        </is>
      </c>
    </row>
    <row r="7">
      <c r="A7" s="10" t="inlineStr">
        <is>
          <t>eap-1_4</t>
        </is>
      </c>
      <c r="B7" s="10" t="inlineStr">
        <is>
          <t>CPU-TERRA-ESCO-CARGA-2CAT-DMT3000</t>
        </is>
      </c>
      <c r="C7" s="13" t="n">
        <v>2082662.79</v>
      </c>
      <c r="D7" s="13" t="n">
        <v>7077172.2</v>
      </c>
      <c r="E7" s="81" t="n">
        <v>4994509.41</v>
      </c>
      <c r="F7" s="11" t="inlineStr">
        <is>
          <t>OK</t>
        </is>
      </c>
    </row>
    <row r="8">
      <c r="A8" s="20" t="inlineStr">
        <is>
          <t>eap-1_5</t>
        </is>
      </c>
      <c r="B8" s="20" t="inlineStr">
        <is>
          <t>CPU-TERRA-ESCO-CARGA-3CAT-DMT2000</t>
        </is>
      </c>
      <c r="C8" s="23" t="n">
        <v>4047324.44</v>
      </c>
      <c r="D8" s="23" t="n">
        <v>5107452.52</v>
      </c>
      <c r="E8" s="82" t="n">
        <v>1060128.08</v>
      </c>
      <c r="F8" s="21" t="inlineStr">
        <is>
          <t>OK</t>
        </is>
      </c>
    </row>
    <row r="9">
      <c r="A9" s="10" t="inlineStr">
        <is>
          <t>eap-1_6</t>
        </is>
      </c>
      <c r="B9" s="10" t="inlineStr">
        <is>
          <t>CPU-TERRA-ESCO-CARGA-3CAT-DMT3000</t>
        </is>
      </c>
      <c r="C9" s="13" t="n">
        <v>4047324.44</v>
      </c>
      <c r="D9" s="13" t="n">
        <v>13912325.19</v>
      </c>
      <c r="E9" s="81" t="n">
        <v>9865000.75</v>
      </c>
      <c r="F9" s="11" t="inlineStr">
        <is>
          <t>OK</t>
        </is>
      </c>
    </row>
    <row r="10">
      <c r="A10" s="20" t="inlineStr">
        <is>
          <t>eap-1_7</t>
        </is>
      </c>
      <c r="B10" s="20" t="inlineStr">
        <is>
          <t>CPU-TERRA-COMPAC-PN</t>
        </is>
      </c>
      <c r="C10" s="23" t="n">
        <v>4204093.7</v>
      </c>
      <c r="D10" s="23" t="n">
        <v>11620268.05</v>
      </c>
      <c r="E10" s="82" t="n">
        <v>7416174.35</v>
      </c>
      <c r="F10" s="21" t="inlineStr">
        <is>
          <t>OK</t>
        </is>
      </c>
    </row>
    <row r="11">
      <c r="A11" s="10" t="inlineStr">
        <is>
          <t>eap-1_8</t>
        </is>
      </c>
      <c r="B11" s="10" t="inlineStr">
        <is>
          <t>CPU-TERRA-COMPAC-PI</t>
        </is>
      </c>
      <c r="C11" s="13" t="n">
        <v>251536.26</v>
      </c>
      <c r="D11" s="13" t="n">
        <v>393487.32</v>
      </c>
      <c r="E11" s="81" t="n">
        <v>141951.06</v>
      </c>
      <c r="F11" s="11" t="inlineStr">
        <is>
          <t>OK</t>
        </is>
      </c>
    </row>
    <row r="12">
      <c r="A12" s="20" t="inlineStr">
        <is>
          <t>eap-1_9</t>
        </is>
      </c>
      <c r="B12" s="20" t="inlineStr">
        <is>
          <t>CPU-TERRA-CORPO-ATERRO-3CAT</t>
        </is>
      </c>
      <c r="C12" s="23" t="n">
        <v>2145389.7</v>
      </c>
      <c r="D12" s="23" t="n">
        <v>6435973.88</v>
      </c>
      <c r="E12" s="82" t="n">
        <v>4290584.18</v>
      </c>
      <c r="F12" s="21" t="inlineStr">
        <is>
          <t>OK</t>
        </is>
      </c>
    </row>
    <row r="13">
      <c r="A13" s="10" t="inlineStr">
        <is>
          <t>eap-1_10</t>
        </is>
      </c>
      <c r="B13" s="10" t="inlineStr">
        <is>
          <t>CPU-TERRA-COMPAC-FINAL-ROCHA</t>
        </is>
      </c>
      <c r="C13" s="13" t="n">
        <v>122439.44</v>
      </c>
      <c r="D13" s="13" t="n">
        <v>425538.27</v>
      </c>
      <c r="E13" s="81" t="n">
        <v>303098.83</v>
      </c>
      <c r="F13" s="11" t="inlineStr">
        <is>
          <t>OK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</cols>
  <sheetData>
    <row r="1">
      <c r="A1" s="1" t="inlineStr">
        <is>
          <t>RESULTADO FINANCEIRO — MENDESLOBO CONSTRUTORA</t>
        </is>
      </c>
    </row>
    <row r="2"/>
    <row r="3">
      <c r="A3" s="9" t="inlineStr">
        <is>
          <t>PROJETO</t>
        </is>
      </c>
    </row>
    <row r="4">
      <c r="A4" s="10" t="inlineStr">
        <is>
          <t>Nome</t>
        </is>
      </c>
      <c r="B4" s="10" t="inlineStr">
        <is>
          <t>AGIS - Ferrovia Nova Transnordestina (Supressao e Terraplanagem)</t>
        </is>
      </c>
      <c r="C4" s="35" t="n"/>
    </row>
    <row r="5">
      <c r="A5" s="20" t="inlineStr">
        <is>
          <t>Tipo de obra</t>
        </is>
      </c>
      <c r="B5" s="20" t="inlineStr">
        <is>
          <t>terraplenagem</t>
        </is>
      </c>
      <c r="C5" s="36" t="n"/>
    </row>
    <row r="6">
      <c r="A6" s="10" t="inlineStr">
        <is>
          <t>Localização</t>
        </is>
      </c>
      <c r="B6" s="10" t="inlineStr">
        <is>
          <t>Ceara, Brasil</t>
        </is>
      </c>
      <c r="C6" s="35" t="n"/>
    </row>
    <row r="7">
      <c r="A7" s="20" t="inlineStr">
        <is>
          <t>Período</t>
        </is>
      </c>
      <c r="B7" s="20" t="inlineStr">
        <is>
          <t>2026-06-01 -&gt; 2027-06-27</t>
        </is>
      </c>
      <c r="C7" s="36" t="n"/>
    </row>
    <row r="8">
      <c r="A8" s="10" t="inlineStr">
        <is>
          <t>Regime</t>
        </is>
      </c>
      <c r="B8" s="10" t="inlineStr">
        <is>
          <t>6 dias/sem · 8 h/dia</t>
        </is>
      </c>
      <c r="C8" s="35" t="n"/>
    </row>
    <row r="9"/>
    <row r="10">
      <c r="A10" s="9" t="inlineStr">
        <is>
          <t>RECEITA CONTRATUAL (COM BDI)</t>
        </is>
      </c>
    </row>
    <row r="11">
      <c r="A11" s="20" t="inlineStr">
        <is>
          <t>Preço de venda s/ BDI</t>
        </is>
      </c>
      <c r="B11" s="23">
        <f>PLANEJAMENTO!$M$15</f>
        <v/>
      </c>
      <c r="C11" s="36" t="n"/>
    </row>
    <row r="12">
      <c r="A12" s="83" t="inlineStr">
        <is>
          <t>Preço de venda c/ BDI</t>
        </is>
      </c>
      <c r="B12" s="84" t="n">
        <v>76753980.59</v>
      </c>
      <c r="C12" s="35" t="n"/>
    </row>
    <row r="13"/>
    <row r="14">
      <c r="A14" s="9" t="inlineStr">
        <is>
          <t>CUSTOS</t>
        </is>
      </c>
    </row>
    <row r="15">
      <c r="A15" s="20" t="inlineStr">
        <is>
          <t>Custo direto (catálogo s/BDI)</t>
        </is>
      </c>
      <c r="B15" s="23">
        <f>PLANEJAMENTO!$M$15</f>
        <v/>
      </c>
      <c r="C15" s="36" t="n"/>
    </row>
    <row r="16">
      <c r="A16" s="10" t="inlineStr">
        <is>
          <t xml:space="preserve">  ADM</t>
        </is>
      </c>
      <c r="B16" s="13">
        <f>'INDIRETOS.DET'!$H$5</f>
        <v/>
      </c>
      <c r="C16" s="35" t="n"/>
    </row>
    <row r="17">
      <c r="A17" s="20" t="inlineStr">
        <is>
          <t xml:space="preserve">  TOP</t>
        </is>
      </c>
      <c r="B17" s="23">
        <f>'INDIRETOS.DET'!$H$8</f>
        <v/>
      </c>
      <c r="C17" s="36" t="n"/>
    </row>
    <row r="18">
      <c r="A18" s="10" t="inlineStr">
        <is>
          <t xml:space="preserve">  LAB</t>
        </is>
      </c>
      <c r="B18" s="13">
        <f>'INDIRETOS.DET'!$H$11</f>
        <v/>
      </c>
      <c r="C18" s="35" t="n"/>
    </row>
    <row r="19">
      <c r="A19" s="20" t="inlineStr">
        <is>
          <t xml:space="preserve">  QSMS</t>
        </is>
      </c>
      <c r="B19" s="23">
        <f>'INDIRETOS.DET'!$H$14</f>
        <v/>
      </c>
      <c r="C19" s="36" t="n"/>
    </row>
    <row r="20">
      <c r="A20" s="10" t="inlineStr">
        <is>
          <t xml:space="preserve">  MOB</t>
        </is>
      </c>
      <c r="B20" s="13">
        <f>'INDIRETOS.DET'!$H$17</f>
        <v/>
      </c>
      <c r="C20" s="35" t="n"/>
    </row>
    <row r="21">
      <c r="A21" s="20" t="inlineStr">
        <is>
          <t>Custo indireto (subtotal)</t>
        </is>
      </c>
      <c r="B21" s="23">
        <f>'INDIRETOS.DET'!$H$19</f>
        <v/>
      </c>
      <c r="C21" s="36" t="n"/>
    </row>
    <row r="22">
      <c r="A22" s="83" t="inlineStr">
        <is>
          <t>CUSTO TOTAL</t>
        </is>
      </c>
      <c r="B22" s="84">
        <f>B15+B21</f>
        <v/>
      </c>
      <c r="C22" s="35" t="n"/>
    </row>
    <row r="23"/>
    <row r="24">
      <c r="A24" s="9" t="inlineStr">
        <is>
          <t>RESULTADO</t>
        </is>
      </c>
    </row>
    <row r="25">
      <c r="A25" s="85" t="inlineStr">
        <is>
          <t>Resultado bruto (R$)</t>
        </is>
      </c>
      <c r="B25" s="82">
        <f>B12-B22</f>
        <v/>
      </c>
      <c r="C25" s="36" t="n"/>
    </row>
    <row r="26">
      <c r="A26" s="83" t="inlineStr">
        <is>
          <t>Margem bruta (%)</t>
        </is>
      </c>
      <c r="B26" s="81">
        <f>IF(B12&gt;0, B25/B12, 0)</f>
        <v/>
      </c>
      <c r="C26" s="35" t="n"/>
    </row>
    <row r="27"/>
    <row r="28">
      <c r="A28" s="86" t="inlineStr">
        <is>
          <t>STATUS: VERDE</t>
        </is>
      </c>
    </row>
    <row r="29"/>
    <row r="30">
      <c r="A30" s="9" t="inlineStr">
        <is>
          <t>COMPOSIÇÃO DE CUSTO</t>
        </is>
      </c>
    </row>
    <row r="31">
      <c r="A31" s="20" t="inlineStr">
        <is>
          <t>Total Direto (catálogo s/BDI)</t>
        </is>
      </c>
      <c r="B31" s="23">
        <f>PLANEJAMENTO!$M$15</f>
        <v/>
      </c>
      <c r="C31" s="36" t="n"/>
    </row>
    <row r="32">
      <c r="A32" s="10" t="inlineStr">
        <is>
          <t>Total Direto (c/BDI)</t>
        </is>
      </c>
      <c r="B32" s="13" t="n">
        <v>76753980.59</v>
      </c>
      <c r="C32" s="35" t="n"/>
    </row>
    <row r="33">
      <c r="A33" s="20" t="inlineStr">
        <is>
          <t>RAZÃO CI / CD (%)</t>
        </is>
      </c>
      <c r="B33" s="87" t="n">
        <v>41.7</v>
      </c>
      <c r="C33" s="36" t="n"/>
    </row>
    <row r="34">
      <c r="A34" s="10" t="inlineStr">
        <is>
          <t>CI / PVT (%)</t>
        </is>
      </c>
      <c r="B34" s="88" t="n">
        <v>25.41</v>
      </c>
      <c r="C34" s="35" t="n"/>
    </row>
    <row r="35"/>
    <row r="36">
      <c r="A36" s="9" t="inlineStr">
        <is>
          <t>CAPITAL DE GIRO</t>
        </is>
      </c>
    </row>
    <row r="37">
      <c r="A37" s="20" t="inlineStr">
        <is>
          <t>Exposição máxima</t>
        </is>
      </c>
      <c r="B37" s="89" t="n">
        <v>19260513.84797604</v>
      </c>
      <c r="C37" s="36" t="n"/>
    </row>
    <row r="38">
      <c r="A38" s="10" t="inlineStr">
        <is>
          <t>Parcela mensal (meses 2 a n)</t>
        </is>
      </c>
      <c r="B38" s="13" t="n">
        <v>6396165</v>
      </c>
      <c r="C38" s="35" t="n"/>
    </row>
    <row r="39">
      <c r="A39" s="20" t="inlineStr">
        <is>
          <t>Resíduo (mês n+1)</t>
        </is>
      </c>
      <c r="B39" s="23" t="n">
        <v>6396165.590000004</v>
      </c>
      <c r="C39" s="36" t="n"/>
    </row>
    <row r="40">
      <c r="A40" s="10" t="inlineStr">
        <is>
          <t>Duração da execução (meses)</t>
        </is>
      </c>
      <c r="B40" s="10" t="n">
        <v>12</v>
      </c>
      <c r="C40" s="35" t="n"/>
    </row>
    <row r="41">
      <c r="A41" s="9" t="inlineStr">
        <is>
          <t>ALAVANCAS DE REAJUSTE</t>
        </is>
      </c>
    </row>
    <row r="42">
      <c r="A42" s="10" t="inlineStr">
        <is>
          <t>Preço de venda total</t>
        </is>
      </c>
      <c r="B42" s="90" t="n">
        <v>76753980.59</v>
      </c>
      <c r="C42" s="91" t="inlineStr">
        <is>
          <t>Depende de MO/EQ/MAT/DIESEL + BDI indireto</t>
        </is>
      </c>
    </row>
    <row r="43">
      <c r="A43" s="20" t="inlineStr">
        <is>
          <t>Base catálogo s/BDI</t>
        </is>
      </c>
      <c r="B43" s="92" t="n">
        <v>46771429.82</v>
      </c>
      <c r="C43" s="93" t="inlineStr">
        <is>
          <t>Knob de partida para precificação</t>
        </is>
      </c>
    </row>
    <row r="44">
      <c r="A44" s="10" t="inlineStr">
        <is>
          <t>Markup efetivo</t>
        </is>
      </c>
      <c r="B44" s="4" t="n">
        <v>-0.1838583153748206</v>
      </c>
      <c r="C44" s="91" t="inlineStr">
        <is>
          <t>Resultado consolidado, não a fórmula de composição</t>
        </is>
      </c>
    </row>
    <row r="45">
      <c r="A45" s="20" t="inlineStr">
        <is>
          <t>Custo direto de equipes</t>
        </is>
      </c>
      <c r="B45" s="92" t="n">
        <v>74540391.38</v>
      </c>
      <c r="C45" s="93" t="inlineStr">
        <is>
          <t>Sensível a permanência, produtividade e nº de frentes</t>
        </is>
      </c>
    </row>
    <row r="46">
      <c r="A46" s="10" t="inlineStr">
        <is>
          <t>Custo fixo mensal de equipes</t>
        </is>
      </c>
      <c r="B46" s="90" t="n">
        <v>2762159.7</v>
      </c>
      <c r="C46" s="91" t="inlineStr">
        <is>
          <t>Multiplica diretamente pela permanência</t>
        </is>
      </c>
    </row>
    <row r="47">
      <c r="A47" s="20" t="inlineStr">
        <is>
          <t>Permanência média (meses)</t>
        </is>
      </c>
      <c r="B47" s="69" t="n">
        <v>8.928181818181818</v>
      </c>
      <c r="C47" s="93" t="inlineStr">
        <is>
          <t>Reduzir prazo reduz custo fixo e mobilização</t>
        </is>
      </c>
    </row>
    <row r="48">
      <c r="A48" s="10" t="inlineStr">
        <is>
          <t>Pico de equipes</t>
        </is>
      </c>
      <c r="B48" s="59" t="n">
        <v>1</v>
      </c>
      <c r="C48" s="91" t="inlineStr">
        <is>
          <t>Se subir, pressiona custo fixo e mobilização</t>
        </is>
      </c>
    </row>
    <row r="49">
      <c r="A49" s="20" t="inlineStr">
        <is>
          <t>Praticabilidade média</t>
        </is>
      </c>
      <c r="B49" s="7" t="n">
        <v>0.9083433962264151</v>
      </c>
      <c r="C49" s="93" t="inlineStr">
        <is>
          <t>Baixa praticabilidade aumenta permanência</t>
        </is>
      </c>
    </row>
  </sheetData>
  <mergeCells count="9">
    <mergeCell ref="A10:C10"/>
    <mergeCell ref="A28:C28"/>
    <mergeCell ref="A41:C41"/>
    <mergeCell ref="A36:C36"/>
    <mergeCell ref="A1:C1"/>
    <mergeCell ref="A14:C14"/>
    <mergeCell ref="A3:C3"/>
    <mergeCell ref="A30:C30"/>
    <mergeCell ref="A24:C2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6" customWidth="1" min="5" max="5"/>
    <col width="16" customWidth="1" min="6" max="6"/>
    <col width="20" customWidth="1" min="7" max="7"/>
  </cols>
  <sheetData>
    <row r="1">
      <c r="A1" s="1" t="inlineStr">
        <is>
          <t>FLUXO DE CAIXA — ACOMPANHAMENTO MENSAL</t>
        </is>
      </c>
    </row>
    <row r="2">
      <c r="A2" s="2" t="inlineStr">
        <is>
          <t>Mês</t>
        </is>
      </c>
      <c r="B2" s="2" t="inlineStr">
        <is>
          <t>Despesa (R$)</t>
        </is>
      </c>
      <c r="C2" s="2" t="inlineStr">
        <is>
          <t>Receita (R$)</t>
        </is>
      </c>
      <c r="D2" s="2" t="inlineStr">
        <is>
          <t>Rec. Acumulada (R$)</t>
        </is>
      </c>
      <c r="E2" s="2" t="inlineStr">
        <is>
          <t>Saldo do Mês (R$)</t>
        </is>
      </c>
      <c r="F2" s="2" t="inlineStr">
        <is>
          <t>Saldo Atual (R$)</t>
        </is>
      </c>
      <c r="G2" s="2" t="inlineStr">
        <is>
          <t>Exposição Acum. (R$)</t>
        </is>
      </c>
    </row>
    <row r="3">
      <c r="A3" s="14" t="inlineStr">
        <is>
          <t>Jun/26</t>
        </is>
      </c>
      <c r="B3" s="13" t="n">
        <v>13849461.2</v>
      </c>
      <c r="C3" s="13" t="n">
        <v>0</v>
      </c>
      <c r="D3" s="13" t="n">
        <v>0</v>
      </c>
      <c r="E3" s="94" t="n">
        <v>-13849461.2</v>
      </c>
      <c r="F3" s="94" t="n">
        <v>-13849461.2</v>
      </c>
      <c r="G3" s="94" t="n">
        <v>13849461.2</v>
      </c>
    </row>
    <row r="4">
      <c r="A4" s="24" t="inlineStr">
        <is>
          <t>Jul/26</t>
        </is>
      </c>
      <c r="B4" s="23" t="n">
        <v>9024383.380000001</v>
      </c>
      <c r="C4" s="23" t="n">
        <v>6396165</v>
      </c>
      <c r="D4" s="23" t="n">
        <v>6396165</v>
      </c>
      <c r="E4" s="94" t="n">
        <v>-2628218.38</v>
      </c>
      <c r="F4" s="94" t="n">
        <v>-16477679.59</v>
      </c>
      <c r="G4" s="94" t="n">
        <v>16477679.59</v>
      </c>
    </row>
    <row r="5">
      <c r="A5" s="14" t="inlineStr">
        <is>
          <t>Ago/26</t>
        </is>
      </c>
      <c r="B5" s="13" t="n">
        <v>9178999.26</v>
      </c>
      <c r="C5" s="13" t="n">
        <v>6396165</v>
      </c>
      <c r="D5" s="13" t="n">
        <v>12792330</v>
      </c>
      <c r="E5" s="94" t="n">
        <v>-2782834.26</v>
      </c>
      <c r="F5" s="94" t="n">
        <v>-19260513.85</v>
      </c>
      <c r="G5" s="94" t="n">
        <v>19260513.85</v>
      </c>
    </row>
    <row r="6">
      <c r="A6" s="24" t="inlineStr">
        <is>
          <t>Set/26</t>
        </is>
      </c>
      <c r="B6" s="23" t="n">
        <v>5945155.3</v>
      </c>
      <c r="C6" s="23" t="n">
        <v>6396165</v>
      </c>
      <c r="D6" s="23" t="n">
        <v>19188495</v>
      </c>
      <c r="E6" s="95" t="n">
        <v>451009.7</v>
      </c>
      <c r="F6" s="94" t="n">
        <v>-18809504.15</v>
      </c>
      <c r="G6" s="94" t="n">
        <v>18809504.15</v>
      </c>
    </row>
    <row r="7">
      <c r="A7" s="14" t="inlineStr">
        <is>
          <t>Out/26</t>
        </is>
      </c>
      <c r="B7" s="13" t="n">
        <v>5585568.07</v>
      </c>
      <c r="C7" s="13" t="n">
        <v>6396165</v>
      </c>
      <c r="D7" s="13" t="n">
        <v>25584660</v>
      </c>
      <c r="E7" s="95" t="n">
        <v>810596.9300000001</v>
      </c>
      <c r="F7" s="94" t="n">
        <v>-17998907.22</v>
      </c>
      <c r="G7" s="94" t="n">
        <v>17998907.22</v>
      </c>
    </row>
    <row r="8">
      <c r="A8" s="24" t="inlineStr">
        <is>
          <t>Nov/26</t>
        </is>
      </c>
      <c r="B8" s="23" t="n">
        <v>6150114.72</v>
      </c>
      <c r="C8" s="23" t="n">
        <v>6396165</v>
      </c>
      <c r="D8" s="23" t="n">
        <v>31980825</v>
      </c>
      <c r="E8" s="95" t="n">
        <v>246050.28</v>
      </c>
      <c r="F8" s="94" t="n">
        <v>-17752856.94</v>
      </c>
      <c r="G8" s="94" t="n">
        <v>17752856.94</v>
      </c>
    </row>
    <row r="9">
      <c r="A9" s="14" t="inlineStr">
        <is>
          <t>Dez/26</t>
        </is>
      </c>
      <c r="B9" s="13" t="n">
        <v>3703131.27</v>
      </c>
      <c r="C9" s="13" t="n">
        <v>6396165</v>
      </c>
      <c r="D9" s="13" t="n">
        <v>38376990</v>
      </c>
      <c r="E9" s="95" t="n">
        <v>2693033.73</v>
      </c>
      <c r="F9" s="94" t="n">
        <v>-15059823.2</v>
      </c>
      <c r="G9" s="94" t="n">
        <v>15059823.2</v>
      </c>
    </row>
    <row r="10">
      <c r="A10" s="24" t="inlineStr">
        <is>
          <t>Jan/27</t>
        </is>
      </c>
      <c r="B10" s="23" t="n">
        <v>3220541.17</v>
      </c>
      <c r="C10" s="23" t="n">
        <v>6396165</v>
      </c>
      <c r="D10" s="23" t="n">
        <v>44773155</v>
      </c>
      <c r="E10" s="95" t="n">
        <v>3175623.83</v>
      </c>
      <c r="F10" s="94" t="n">
        <v>-11884199.37</v>
      </c>
      <c r="G10" s="94" t="n">
        <v>11884199.37</v>
      </c>
    </row>
    <row r="11">
      <c r="A11" s="14" t="inlineStr">
        <is>
          <t>Fev/27</t>
        </is>
      </c>
      <c r="B11" s="13" t="n">
        <v>3018227.99</v>
      </c>
      <c r="C11" s="13" t="n">
        <v>6396165</v>
      </c>
      <c r="D11" s="13" t="n">
        <v>51169320</v>
      </c>
      <c r="E11" s="95" t="n">
        <v>3377937.01</v>
      </c>
      <c r="F11" s="94" t="n">
        <v>-8506262.359999999</v>
      </c>
      <c r="G11" s="94" t="n">
        <v>8506262.359999999</v>
      </c>
    </row>
    <row r="12">
      <c r="A12" s="24" t="inlineStr">
        <is>
          <t>Mar/27</t>
        </is>
      </c>
      <c r="B12" s="23" t="n">
        <v>3029023.06</v>
      </c>
      <c r="C12" s="23" t="n">
        <v>6396165</v>
      </c>
      <c r="D12" s="23" t="n">
        <v>57565485</v>
      </c>
      <c r="E12" s="95" t="n">
        <v>3367141.94</v>
      </c>
      <c r="F12" s="94" t="n">
        <v>-5139120.43</v>
      </c>
      <c r="G12" s="94" t="n">
        <v>5139120.43</v>
      </c>
    </row>
    <row r="13">
      <c r="A13" s="14" t="inlineStr">
        <is>
          <t>Abr/27</t>
        </is>
      </c>
      <c r="B13" s="13" t="n">
        <v>2282251.38</v>
      </c>
      <c r="C13" s="13" t="n">
        <v>6396165</v>
      </c>
      <c r="D13" s="13" t="n">
        <v>63961650</v>
      </c>
      <c r="E13" s="95" t="n">
        <v>4113913.62</v>
      </c>
      <c r="F13" s="94" t="n">
        <v>-1025206.81</v>
      </c>
      <c r="G13" s="94" t="n">
        <v>1025206.81</v>
      </c>
    </row>
    <row r="14">
      <c r="A14" s="24" t="inlineStr">
        <is>
          <t>Mai/27</t>
        </is>
      </c>
      <c r="B14" s="23" t="n">
        <v>1289102.64</v>
      </c>
      <c r="C14" s="23" t="n">
        <v>6396165</v>
      </c>
      <c r="D14" s="23" t="n">
        <v>70357815</v>
      </c>
      <c r="E14" s="95" t="n">
        <v>5107062.36</v>
      </c>
      <c r="F14" s="95" t="n">
        <v>4081855.55</v>
      </c>
      <c r="G14" s="95" t="n">
        <v>-4081855.55</v>
      </c>
    </row>
    <row r="15">
      <c r="A15" s="14" t="inlineStr">
        <is>
          <t>Jun/27</t>
        </is>
      </c>
      <c r="B15" s="13" t="n">
        <v>0</v>
      </c>
      <c r="C15" s="13" t="n">
        <v>6396165.59</v>
      </c>
      <c r="D15" s="13" t="n">
        <v>76753980.59</v>
      </c>
      <c r="E15" s="95" t="n">
        <v>6396165.59</v>
      </c>
      <c r="F15" s="95" t="n">
        <v>10478021.14</v>
      </c>
      <c r="G15" s="95" t="n">
        <v>-10478021.14</v>
      </c>
    </row>
    <row r="17">
      <c r="A17" s="96" t="inlineStr">
        <is>
          <t>TOTAL</t>
        </is>
      </c>
      <c r="B17" s="27" t="n">
        <v>66275959.45</v>
      </c>
      <c r="C17" s="27" t="n">
        <v>76753980.59</v>
      </c>
      <c r="D17" s="27" t="n">
        <v>76753980.59</v>
      </c>
      <c r="E17" s="97" t="n">
        <v>10478021.14</v>
      </c>
      <c r="F17" s="97" t="n">
        <v>10478021.14</v>
      </c>
      <c r="G17" s="37" t="n"/>
    </row>
    <row r="20">
      <c r="A20" s="9" t="inlineStr">
        <is>
          <t>MÉTRICAS DO FLUXO DE CAIXA</t>
        </is>
      </c>
    </row>
    <row r="21">
      <c r="A21" s="38" t="inlineStr">
        <is>
          <t>Duração da execução (meses)</t>
        </is>
      </c>
      <c r="B21" s="39" t="n"/>
      <c r="C21" s="98" t="n">
        <v>12</v>
      </c>
      <c r="D21" s="41" t="n"/>
      <c r="E21" s="41" t="n"/>
      <c r="F21" s="41" t="n"/>
      <c r="G21" s="39" t="n"/>
    </row>
    <row r="22">
      <c r="A22" s="38" t="inlineStr">
        <is>
          <t>Parcela mensal (meses 2 a n)</t>
        </is>
      </c>
      <c r="B22" s="39" t="n"/>
      <c r="C22" s="98" t="n">
        <v>6396165</v>
      </c>
      <c r="D22" s="41" t="n"/>
      <c r="E22" s="41" t="n"/>
      <c r="F22" s="41" t="n"/>
      <c r="G22" s="39" t="n"/>
    </row>
    <row r="23">
      <c r="A23" s="38" t="inlineStr">
        <is>
          <t>Resíduo (mês n+1)</t>
        </is>
      </c>
      <c r="B23" s="39" t="n"/>
      <c r="C23" s="99" t="n">
        <v>6396165.590000004</v>
      </c>
      <c r="D23" s="41" t="n"/>
      <c r="E23" s="41" t="n"/>
      <c r="F23" s="41" t="n"/>
      <c r="G23" s="39" t="n"/>
    </row>
    <row r="24">
      <c r="A24" s="38" t="inlineStr">
        <is>
          <t>Exposição máxima</t>
        </is>
      </c>
      <c r="B24" s="39" t="n"/>
      <c r="C24" s="79" t="n">
        <v>19260513.84797604</v>
      </c>
      <c r="D24" s="41" t="n"/>
      <c r="E24" s="41" t="n"/>
      <c r="F24" s="41" t="n"/>
      <c r="G24" s="39" t="n"/>
    </row>
    <row r="25">
      <c r="A25" s="38" t="inlineStr">
        <is>
          <t>Mês da exposição máxima</t>
        </is>
      </c>
      <c r="B25" s="39" t="n"/>
      <c r="C25" s="98" t="inlineStr">
        <is>
          <t>Ago/26</t>
        </is>
      </c>
      <c r="D25" s="41" t="n"/>
      <c r="E25" s="41" t="n"/>
      <c r="F25" s="41" t="n"/>
      <c r="G25" s="39" t="n"/>
    </row>
    <row r="26">
      <c r="A26" s="38" t="inlineStr">
        <is>
          <t>Saldo final do projeto</t>
        </is>
      </c>
      <c r="B26" s="39" t="n"/>
      <c r="C26" s="99" t="n">
        <v>10478021.14083198</v>
      </c>
      <c r="D26" s="41" t="n"/>
      <c r="E26" s="41" t="n"/>
      <c r="F26" s="41" t="n"/>
      <c r="G26" s="39" t="n"/>
    </row>
    <row r="28" ht="36" customHeight="1">
      <c r="A28" s="100" t="inlineStr">
        <is>
          <t>Mês 1: receita = 0.  Meses 2..n: ⌊M/n⌋ cada.  Mês n+1: resíduo M − ⌊M/n⌋×(n−1).  Saldo Atual = Rec. Acumulada − Desp. Acumulada.  Exposição Acum. = −Saldo Atual (positivo = empresa precisa de capital de giro).</t>
        </is>
      </c>
    </row>
  </sheetData>
  <mergeCells count="15">
    <mergeCell ref="A26:B26"/>
    <mergeCell ref="C21:G21"/>
    <mergeCell ref="A21:B21"/>
    <mergeCell ref="A1:G1"/>
    <mergeCell ref="A24:B24"/>
    <mergeCell ref="A25:B25"/>
    <mergeCell ref="C24:G24"/>
    <mergeCell ref="A28:G28"/>
    <mergeCell ref="C25:G25"/>
    <mergeCell ref="A20:G20"/>
    <mergeCell ref="C23:G23"/>
    <mergeCell ref="A23:B23"/>
    <mergeCell ref="C22:G22"/>
    <mergeCell ref="A22:B22"/>
    <mergeCell ref="C26:G2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C9"/>
  <sheetViews>
    <sheetView workbookViewId="0">
      <pane xSplit="3" ySplit="2" topLeftCell="D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2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</cols>
  <sheetData>
    <row r="1">
      <c r="A1" s="1" t="inlineStr">
        <is>
          <t>HISTOGRAMA DE EQUIPAMENTOS — DEMANDA SEMANAL (UN.)</t>
        </is>
      </c>
    </row>
    <row r="2">
      <c r="A2" s="2" t="inlineStr">
        <is>
          <t>Equip.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08/Jun</t>
        </is>
      </c>
      <c r="E2" s="2" t="inlineStr">
        <is>
          <t>15/Jun</t>
        </is>
      </c>
      <c r="F2" s="2" t="inlineStr">
        <is>
          <t>22/Jun</t>
        </is>
      </c>
      <c r="G2" s="2" t="inlineStr">
        <is>
          <t>29/Jun</t>
        </is>
      </c>
      <c r="H2" s="2" t="inlineStr">
        <is>
          <t>06/Jul</t>
        </is>
      </c>
      <c r="I2" s="2" t="inlineStr">
        <is>
          <t>13/Jul</t>
        </is>
      </c>
      <c r="J2" s="2" t="inlineStr">
        <is>
          <t>20/Jul</t>
        </is>
      </c>
      <c r="K2" s="2" t="inlineStr">
        <is>
          <t>27/Jul</t>
        </is>
      </c>
      <c r="L2" s="2" t="inlineStr">
        <is>
          <t>03/Ago</t>
        </is>
      </c>
      <c r="M2" s="2" t="inlineStr">
        <is>
          <t>10/Ago</t>
        </is>
      </c>
      <c r="N2" s="2" t="inlineStr">
        <is>
          <t>17/Ago</t>
        </is>
      </c>
      <c r="O2" s="2" t="inlineStr">
        <is>
          <t>24/Ago</t>
        </is>
      </c>
      <c r="P2" s="2" t="inlineStr">
        <is>
          <t>31/Ago</t>
        </is>
      </c>
      <c r="Q2" s="2" t="inlineStr">
        <is>
          <t>07/Set</t>
        </is>
      </c>
      <c r="R2" s="2" t="inlineStr">
        <is>
          <t>14/Set</t>
        </is>
      </c>
      <c r="S2" s="2" t="inlineStr">
        <is>
          <t>21/Set</t>
        </is>
      </c>
      <c r="T2" s="2" t="inlineStr">
        <is>
          <t>28/Set</t>
        </is>
      </c>
      <c r="U2" s="2" t="inlineStr">
        <is>
          <t>05/Out</t>
        </is>
      </c>
      <c r="V2" s="2" t="inlineStr">
        <is>
          <t>12/Out</t>
        </is>
      </c>
      <c r="W2" s="2" t="inlineStr">
        <is>
          <t>19/Out</t>
        </is>
      </c>
      <c r="X2" s="2" t="inlineStr">
        <is>
          <t>26/Out</t>
        </is>
      </c>
      <c r="Y2" s="2" t="inlineStr">
        <is>
          <t>02/Nov</t>
        </is>
      </c>
      <c r="Z2" s="2" t="inlineStr">
        <is>
          <t>09/Nov</t>
        </is>
      </c>
      <c r="AA2" s="2" t="inlineStr">
        <is>
          <t>16/Nov</t>
        </is>
      </c>
      <c r="AB2" s="2" t="inlineStr">
        <is>
          <t>23/Nov</t>
        </is>
      </c>
      <c r="AC2" s="2" t="inlineStr">
        <is>
          <t>30/Nov</t>
        </is>
      </c>
      <c r="AD2" s="2" t="inlineStr">
        <is>
          <t>07/Dez</t>
        </is>
      </c>
      <c r="AE2" s="2" t="inlineStr">
        <is>
          <t>14/Dez</t>
        </is>
      </c>
      <c r="AF2" s="2" t="inlineStr">
        <is>
          <t>21/Dez</t>
        </is>
      </c>
      <c r="AG2" s="2" t="inlineStr">
        <is>
          <t>28/Dez</t>
        </is>
      </c>
      <c r="AH2" s="2" t="inlineStr">
        <is>
          <t>04/Jan</t>
        </is>
      </c>
      <c r="AI2" s="2" t="inlineStr">
        <is>
          <t>11/Jan</t>
        </is>
      </c>
      <c r="AJ2" s="2" t="inlineStr">
        <is>
          <t>18/Jan</t>
        </is>
      </c>
      <c r="AK2" s="2" t="inlineStr">
        <is>
          <t>25/Jan</t>
        </is>
      </c>
      <c r="AL2" s="2" t="inlineStr">
        <is>
          <t>01/Fev</t>
        </is>
      </c>
      <c r="AM2" s="2" t="inlineStr">
        <is>
          <t>08/Fev</t>
        </is>
      </c>
      <c r="AN2" s="2" t="inlineStr">
        <is>
          <t>15/Fev</t>
        </is>
      </c>
      <c r="AO2" s="2" t="inlineStr">
        <is>
          <t>22/Fev</t>
        </is>
      </c>
      <c r="AP2" s="2" t="inlineStr">
        <is>
          <t>01/Mar</t>
        </is>
      </c>
      <c r="AQ2" s="2" t="inlineStr">
        <is>
          <t>08/Mar</t>
        </is>
      </c>
      <c r="AR2" s="2" t="inlineStr">
        <is>
          <t>15/Mar</t>
        </is>
      </c>
      <c r="AS2" s="2" t="inlineStr">
        <is>
          <t>22/Mar</t>
        </is>
      </c>
      <c r="AT2" s="2" t="inlineStr">
        <is>
          <t>29/Mar</t>
        </is>
      </c>
      <c r="AU2" s="2" t="inlineStr">
        <is>
          <t>05/Abr</t>
        </is>
      </c>
      <c r="AV2" s="2" t="inlineStr">
        <is>
          <t>12/Abr</t>
        </is>
      </c>
      <c r="AW2" s="2" t="inlineStr">
        <is>
          <t>19/Abr</t>
        </is>
      </c>
      <c r="AX2" s="2" t="inlineStr">
        <is>
          <t>26/Abr</t>
        </is>
      </c>
      <c r="AY2" s="2" t="inlineStr">
        <is>
          <t>03/Mai</t>
        </is>
      </c>
      <c r="AZ2" s="2" t="inlineStr">
        <is>
          <t>10/Mai</t>
        </is>
      </c>
      <c r="BA2" s="2" t="inlineStr">
        <is>
          <t>17/Mai</t>
        </is>
      </c>
      <c r="BB2" s="2" t="inlineStr">
        <is>
          <t>24/Mai</t>
        </is>
      </c>
      <c r="BC2" s="2" t="inlineStr">
        <is>
          <t>31/Mai</t>
        </is>
      </c>
    </row>
    <row r="3">
      <c r="A3" s="10" t="inlineStr">
        <is>
          <t>EQ-E0016</t>
        </is>
      </c>
      <c r="B3" s="10" t="inlineStr">
        <is>
          <t>Escavadeira Hidráulica 22t</t>
        </is>
      </c>
      <c r="C3" s="14" t="inlineStr">
        <is>
          <t>un</t>
        </is>
      </c>
      <c r="D3" s="58" t="n">
        <v>19</v>
      </c>
      <c r="E3" s="58" t="n">
        <v>19</v>
      </c>
      <c r="F3" s="58" t="n">
        <v>19</v>
      </c>
      <c r="G3" s="58" t="n">
        <v>19</v>
      </c>
      <c r="H3" s="58" t="n">
        <v>19</v>
      </c>
      <c r="I3" s="58" t="n">
        <v>19</v>
      </c>
      <c r="J3" s="58" t="n">
        <v>19</v>
      </c>
      <c r="K3" s="58" t="n">
        <v>19</v>
      </c>
      <c r="L3" s="58" t="n">
        <v>19</v>
      </c>
      <c r="M3" s="58" t="n">
        <v>19</v>
      </c>
      <c r="N3" s="58" t="n">
        <v>19</v>
      </c>
      <c r="O3" s="58" t="n">
        <v>19</v>
      </c>
      <c r="P3" s="58" t="n">
        <v>19</v>
      </c>
      <c r="Q3" s="58" t="n">
        <v>19</v>
      </c>
      <c r="R3" s="58" t="n">
        <v>19</v>
      </c>
      <c r="S3" s="58" t="n">
        <v>19</v>
      </c>
      <c r="T3" s="58" t="n">
        <v>19</v>
      </c>
      <c r="U3" s="58" t="n">
        <v>19</v>
      </c>
      <c r="V3" s="58" t="n">
        <v>19</v>
      </c>
      <c r="W3" s="58" t="n">
        <v>19</v>
      </c>
      <c r="X3" s="58" t="n">
        <v>19</v>
      </c>
      <c r="Y3" s="58" t="n">
        <v>19</v>
      </c>
      <c r="Z3" s="58" t="n">
        <v>19</v>
      </c>
      <c r="AA3" s="58" t="n">
        <v>19</v>
      </c>
      <c r="AB3" s="58" t="n">
        <v>19</v>
      </c>
      <c r="AC3" s="58" t="n">
        <v>14</v>
      </c>
      <c r="AD3" s="58" t="n">
        <v>14</v>
      </c>
      <c r="AE3" s="58" t="n">
        <v>14</v>
      </c>
      <c r="AF3" s="58" t="n">
        <v>14</v>
      </c>
      <c r="AG3" s="58" t="n">
        <v>14</v>
      </c>
      <c r="AH3" s="58" t="n">
        <v>14</v>
      </c>
      <c r="AI3" s="58" t="n">
        <v>14</v>
      </c>
      <c r="AJ3" s="58" t="n">
        <v>14</v>
      </c>
      <c r="AK3" s="58" t="n">
        <v>14</v>
      </c>
      <c r="AL3" s="58" t="n">
        <v>14</v>
      </c>
      <c r="AM3" s="58" t="n">
        <v>14</v>
      </c>
      <c r="AN3" s="58" t="n">
        <v>14</v>
      </c>
      <c r="AO3" s="58" t="n">
        <v>14</v>
      </c>
      <c r="AP3" s="58" t="n">
        <v>14</v>
      </c>
      <c r="AQ3" s="58" t="n">
        <v>14</v>
      </c>
      <c r="AR3" s="58" t="n">
        <v>14</v>
      </c>
      <c r="AS3" s="58" t="n">
        <v>14</v>
      </c>
      <c r="AT3" s="58" t="n">
        <v>14</v>
      </c>
      <c r="AU3" s="58" t="n">
        <v>14</v>
      </c>
      <c r="AV3" s="58" t="n">
        <v>14</v>
      </c>
      <c r="AW3" s="58" t="n">
        <v>12</v>
      </c>
      <c r="AX3" s="58" t="n">
        <v>12</v>
      </c>
      <c r="AY3" s="58" t="n">
        <v>12</v>
      </c>
      <c r="AZ3" s="58" t="n">
        <v>12</v>
      </c>
      <c r="BA3" s="58" t="n">
        <v>4</v>
      </c>
      <c r="BB3" s="58" t="n">
        <v>4</v>
      </c>
      <c r="BC3" s="35" t="n"/>
    </row>
    <row r="4">
      <c r="A4" s="20" t="inlineStr">
        <is>
          <t>EQ-E0028</t>
        </is>
      </c>
      <c r="B4" s="20" t="inlineStr">
        <is>
          <t>Motoniveladora 120HP</t>
        </is>
      </c>
      <c r="C4" s="24" t="inlineStr">
        <is>
          <t>un</t>
        </is>
      </c>
      <c r="D4" s="68" t="n">
        <v>5</v>
      </c>
      <c r="E4" s="68" t="n">
        <v>5</v>
      </c>
      <c r="F4" s="68" t="n">
        <v>5</v>
      </c>
      <c r="G4" s="68" t="n">
        <v>3</v>
      </c>
      <c r="H4" s="68" t="n">
        <v>3</v>
      </c>
      <c r="I4" s="68" t="n">
        <v>3</v>
      </c>
      <c r="J4" s="68" t="n">
        <v>3</v>
      </c>
      <c r="K4" s="68" t="n">
        <v>3</v>
      </c>
      <c r="L4" s="68" t="n">
        <v>3</v>
      </c>
      <c r="M4" s="68" t="n">
        <v>3</v>
      </c>
      <c r="N4" s="68" t="n">
        <v>3</v>
      </c>
      <c r="O4" s="68" t="n">
        <v>3</v>
      </c>
      <c r="P4" s="68" t="n">
        <v>3</v>
      </c>
      <c r="Q4" s="68" t="n">
        <v>3</v>
      </c>
      <c r="R4" s="68" t="n">
        <v>3</v>
      </c>
      <c r="S4" s="68" t="n">
        <v>3</v>
      </c>
      <c r="T4" s="68" t="n">
        <v>3</v>
      </c>
      <c r="U4" s="68" t="n">
        <v>3</v>
      </c>
      <c r="V4" s="68" t="n">
        <v>3</v>
      </c>
      <c r="W4" s="68" t="n">
        <v>3</v>
      </c>
      <c r="X4" s="68" t="n">
        <v>3</v>
      </c>
      <c r="Y4" s="68" t="n">
        <v>3</v>
      </c>
      <c r="Z4" s="68" t="n">
        <v>3</v>
      </c>
      <c r="AA4" s="68" t="n">
        <v>3</v>
      </c>
      <c r="AB4" s="68" t="n">
        <v>3</v>
      </c>
      <c r="AC4" s="68" t="n">
        <v>3</v>
      </c>
      <c r="AD4" s="68" t="n">
        <v>3</v>
      </c>
      <c r="AE4" s="68" t="n">
        <v>3</v>
      </c>
      <c r="AF4" s="68" t="n">
        <v>3</v>
      </c>
      <c r="AG4" s="68" t="n">
        <v>3</v>
      </c>
      <c r="AH4" s="68" t="n">
        <v>3</v>
      </c>
      <c r="AI4" s="68" t="n">
        <v>3</v>
      </c>
      <c r="AJ4" s="68" t="n">
        <v>3</v>
      </c>
      <c r="AK4" s="68" t="n">
        <v>3</v>
      </c>
      <c r="AL4" s="68" t="n">
        <v>3</v>
      </c>
      <c r="AM4" s="68" t="n">
        <v>3</v>
      </c>
      <c r="AN4" s="68" t="n">
        <v>3</v>
      </c>
      <c r="AO4" s="68" t="n">
        <v>3</v>
      </c>
      <c r="AP4" s="68" t="n">
        <v>3</v>
      </c>
      <c r="AQ4" s="68" t="n">
        <v>3</v>
      </c>
      <c r="AR4" s="68" t="n">
        <v>3</v>
      </c>
      <c r="AS4" s="68" t="n">
        <v>3</v>
      </c>
      <c r="AT4" s="68" t="n">
        <v>3</v>
      </c>
      <c r="AU4" s="68" t="n">
        <v>3</v>
      </c>
      <c r="AV4" s="68" t="n">
        <v>3</v>
      </c>
      <c r="AW4" s="68" t="n">
        <v>3</v>
      </c>
      <c r="AX4" s="68" t="n">
        <v>3</v>
      </c>
      <c r="AY4" s="68" t="n">
        <v>3</v>
      </c>
      <c r="AZ4" s="68" t="n">
        <v>3</v>
      </c>
      <c r="BA4" s="68" t="n">
        <v>3</v>
      </c>
      <c r="BB4" s="68" t="n">
        <v>3</v>
      </c>
      <c r="BC4" s="36" t="n"/>
    </row>
    <row r="5">
      <c r="A5" s="10" t="inlineStr">
        <is>
          <t>EQ-E0034</t>
        </is>
      </c>
      <c r="B5" s="10" t="inlineStr">
        <is>
          <t>Trator de pneus com grade</t>
        </is>
      </c>
      <c r="C5" s="14" t="inlineStr">
        <is>
          <t>un</t>
        </is>
      </c>
      <c r="D5" s="58" t="n">
        <v>5</v>
      </c>
      <c r="E5" s="58" t="n">
        <v>5</v>
      </c>
      <c r="F5" s="58" t="n">
        <v>5</v>
      </c>
      <c r="G5" s="58" t="n">
        <v>3</v>
      </c>
      <c r="H5" s="58" t="n">
        <v>3</v>
      </c>
      <c r="I5" s="58" t="n">
        <v>3</v>
      </c>
      <c r="J5" s="58" t="n">
        <v>3</v>
      </c>
      <c r="K5" s="58" t="n">
        <v>3</v>
      </c>
      <c r="L5" s="58" t="n">
        <v>3</v>
      </c>
      <c r="M5" s="58" t="n">
        <v>3</v>
      </c>
      <c r="N5" s="58" t="n">
        <v>3</v>
      </c>
      <c r="O5" s="58" t="n">
        <v>3</v>
      </c>
      <c r="P5" s="58" t="n">
        <v>3</v>
      </c>
      <c r="Q5" s="58" t="n">
        <v>3</v>
      </c>
      <c r="R5" s="58" t="n">
        <v>3</v>
      </c>
      <c r="S5" s="58" t="n">
        <v>3</v>
      </c>
      <c r="T5" s="58" t="n">
        <v>3</v>
      </c>
      <c r="U5" s="58" t="n">
        <v>3</v>
      </c>
      <c r="V5" s="58" t="n">
        <v>3</v>
      </c>
      <c r="W5" s="58" t="n">
        <v>3</v>
      </c>
      <c r="X5" s="58" t="n">
        <v>3</v>
      </c>
      <c r="Y5" s="58" t="n">
        <v>3</v>
      </c>
      <c r="Z5" s="58" t="n">
        <v>3</v>
      </c>
      <c r="AA5" s="58" t="n">
        <v>3</v>
      </c>
      <c r="AB5" s="58" t="n">
        <v>3</v>
      </c>
      <c r="AC5" s="58" t="n">
        <v>3</v>
      </c>
      <c r="AD5" s="58" t="n">
        <v>3</v>
      </c>
      <c r="AE5" s="58" t="n">
        <v>3</v>
      </c>
      <c r="AF5" s="58" t="n">
        <v>3</v>
      </c>
      <c r="AG5" s="58" t="n">
        <v>3</v>
      </c>
      <c r="AH5" s="58" t="n">
        <v>3</v>
      </c>
      <c r="AI5" s="58" t="n">
        <v>3</v>
      </c>
      <c r="AJ5" s="58" t="n">
        <v>3</v>
      </c>
      <c r="AK5" s="58" t="n">
        <v>3</v>
      </c>
      <c r="AL5" s="58" t="n">
        <v>3</v>
      </c>
      <c r="AM5" s="58" t="n">
        <v>3</v>
      </c>
      <c r="AN5" s="58" t="n">
        <v>3</v>
      </c>
      <c r="AO5" s="58" t="n">
        <v>3</v>
      </c>
      <c r="AP5" s="58" t="n">
        <v>3</v>
      </c>
      <c r="AQ5" s="58" t="n">
        <v>3</v>
      </c>
      <c r="AR5" s="58" t="n">
        <v>3</v>
      </c>
      <c r="AS5" s="58" t="n">
        <v>3</v>
      </c>
      <c r="AT5" s="58" t="n">
        <v>3</v>
      </c>
      <c r="AU5" s="58" t="n">
        <v>3</v>
      </c>
      <c r="AV5" s="58" t="n">
        <v>3</v>
      </c>
      <c r="AW5" s="58" t="n">
        <v>3</v>
      </c>
      <c r="AX5" s="58" t="n">
        <v>3</v>
      </c>
      <c r="AY5" s="58" t="n">
        <v>3</v>
      </c>
      <c r="AZ5" s="58" t="n">
        <v>3</v>
      </c>
      <c r="BA5" s="58" t="n">
        <v>3</v>
      </c>
      <c r="BB5" s="58" t="n">
        <v>3</v>
      </c>
      <c r="BC5" s="35" t="n"/>
    </row>
    <row r="6">
      <c r="A6" s="20" t="inlineStr">
        <is>
          <t>EQ-E0035</t>
        </is>
      </c>
      <c r="B6" s="20" t="inlineStr">
        <is>
          <t>Trator de esteiras 20T</t>
        </is>
      </c>
      <c r="C6" s="24" t="inlineStr">
        <is>
          <t>un</t>
        </is>
      </c>
      <c r="D6" s="68" t="n">
        <v>31</v>
      </c>
      <c r="E6" s="68" t="n">
        <v>31</v>
      </c>
      <c r="F6" s="68" t="n">
        <v>31</v>
      </c>
      <c r="G6" s="68" t="n">
        <v>31</v>
      </c>
      <c r="H6" s="68" t="n">
        <v>31</v>
      </c>
      <c r="I6" s="68" t="n">
        <v>31</v>
      </c>
      <c r="J6" s="68" t="n">
        <v>30</v>
      </c>
      <c r="K6" s="68" t="n">
        <v>30</v>
      </c>
      <c r="L6" s="68" t="n">
        <v>30</v>
      </c>
      <c r="M6" s="68" t="n">
        <v>30</v>
      </c>
      <c r="N6" s="68" t="n">
        <v>30</v>
      </c>
      <c r="O6" s="68" t="n">
        <v>30</v>
      </c>
      <c r="P6" s="68" t="n">
        <v>30</v>
      </c>
      <c r="Q6" s="68" t="n">
        <v>30</v>
      </c>
      <c r="R6" s="68" t="n">
        <v>30</v>
      </c>
      <c r="S6" s="68" t="n">
        <v>30</v>
      </c>
      <c r="T6" s="68" t="n">
        <v>30</v>
      </c>
      <c r="U6" s="68" t="n">
        <v>30</v>
      </c>
      <c r="V6" s="68" t="n">
        <v>30</v>
      </c>
      <c r="W6" s="68" t="n">
        <v>30</v>
      </c>
      <c r="X6" s="68" t="n">
        <v>30</v>
      </c>
      <c r="Y6" s="68" t="n">
        <v>30</v>
      </c>
      <c r="Z6" s="68" t="n">
        <v>30</v>
      </c>
      <c r="AA6" s="68" t="n">
        <v>30</v>
      </c>
      <c r="AB6" s="68" t="n">
        <v>30</v>
      </c>
      <c r="AC6" s="36" t="n"/>
      <c r="AD6" s="36" t="n"/>
      <c r="AE6" s="36" t="n"/>
      <c r="AF6" s="36" t="n"/>
      <c r="AG6" s="36" t="n"/>
      <c r="AH6" s="36" t="n"/>
      <c r="AI6" s="36" t="n"/>
      <c r="AJ6" s="36" t="n"/>
      <c r="AK6" s="36" t="n"/>
      <c r="AL6" s="36" t="n"/>
      <c r="AM6" s="36" t="n"/>
      <c r="AN6" s="36" t="n"/>
      <c r="AO6" s="36" t="n"/>
      <c r="AP6" s="36" t="n"/>
      <c r="AQ6" s="36" t="n"/>
      <c r="AR6" s="36" t="n"/>
      <c r="AS6" s="36" t="n"/>
      <c r="AT6" s="36" t="n"/>
      <c r="AU6" s="36" t="n"/>
      <c r="AV6" s="36" t="n"/>
      <c r="AW6" s="36" t="n"/>
      <c r="AX6" s="36" t="n"/>
      <c r="AY6" s="36" t="n"/>
      <c r="AZ6" s="36" t="n"/>
      <c r="BA6" s="36" t="n"/>
      <c r="BB6" s="36" t="n"/>
      <c r="BC6" s="36" t="n"/>
    </row>
    <row r="7">
      <c r="A7" s="10" t="inlineStr">
        <is>
          <t>EQ-E0037</t>
        </is>
      </c>
      <c r="B7" s="10" t="inlineStr">
        <is>
          <t>Trator de esteiras 40T</t>
        </is>
      </c>
      <c r="C7" s="14" t="inlineStr">
        <is>
          <t>un</t>
        </is>
      </c>
      <c r="D7" s="58" t="n">
        <v>2</v>
      </c>
      <c r="E7" s="58" t="n">
        <v>2</v>
      </c>
      <c r="F7" s="58" t="n">
        <v>2</v>
      </c>
      <c r="G7" s="58" t="n">
        <v>2</v>
      </c>
      <c r="H7" s="58" t="n">
        <v>2</v>
      </c>
      <c r="I7" s="58" t="n">
        <v>2</v>
      </c>
      <c r="J7" s="58" t="n">
        <v>2</v>
      </c>
      <c r="K7" s="58" t="n">
        <v>2</v>
      </c>
      <c r="L7" s="58" t="n">
        <v>2</v>
      </c>
      <c r="M7" s="58" t="n">
        <v>2</v>
      </c>
      <c r="N7" s="58" t="n">
        <v>2</v>
      </c>
      <c r="O7" s="58" t="n">
        <v>2</v>
      </c>
      <c r="P7" s="58" t="n">
        <v>2</v>
      </c>
      <c r="Q7" s="58" t="n">
        <v>2</v>
      </c>
      <c r="R7" s="58" t="n">
        <v>2</v>
      </c>
      <c r="S7" s="58" t="n">
        <v>2</v>
      </c>
      <c r="T7" s="58" t="n">
        <v>2</v>
      </c>
      <c r="U7" s="58" t="n">
        <v>2</v>
      </c>
      <c r="V7" s="58" t="n">
        <v>2</v>
      </c>
      <c r="W7" s="58" t="n">
        <v>2</v>
      </c>
      <c r="X7" s="58" t="n">
        <v>2</v>
      </c>
      <c r="Y7" s="58" t="n">
        <v>2</v>
      </c>
      <c r="Z7" s="58" t="n">
        <v>2</v>
      </c>
      <c r="AA7" s="58" t="n">
        <v>2</v>
      </c>
      <c r="AB7" s="58" t="n">
        <v>2</v>
      </c>
      <c r="AC7" s="58" t="n">
        <v>2</v>
      </c>
      <c r="AD7" s="58" t="n">
        <v>2</v>
      </c>
      <c r="AE7" s="58" t="n">
        <v>2</v>
      </c>
      <c r="AF7" s="58" t="n">
        <v>2</v>
      </c>
      <c r="AG7" s="58" t="n">
        <v>2</v>
      </c>
      <c r="AH7" s="58" t="n">
        <v>2</v>
      </c>
      <c r="AI7" s="58" t="n">
        <v>2</v>
      </c>
      <c r="AJ7" s="58" t="n">
        <v>2</v>
      </c>
      <c r="AK7" s="58" t="n">
        <v>2</v>
      </c>
      <c r="AL7" s="58" t="n">
        <v>2</v>
      </c>
      <c r="AM7" s="58" t="n">
        <v>2</v>
      </c>
      <c r="AN7" s="58" t="n">
        <v>2</v>
      </c>
      <c r="AO7" s="58" t="n">
        <v>2</v>
      </c>
      <c r="AP7" s="58" t="n">
        <v>2</v>
      </c>
      <c r="AQ7" s="58" t="n">
        <v>2</v>
      </c>
      <c r="AR7" s="58" t="n">
        <v>2</v>
      </c>
      <c r="AS7" s="58" t="n">
        <v>2</v>
      </c>
      <c r="AT7" s="58" t="n">
        <v>2</v>
      </c>
      <c r="AU7" s="58" t="n">
        <v>2</v>
      </c>
      <c r="AV7" s="58" t="n">
        <v>2</v>
      </c>
      <c r="AW7" s="58" t="n">
        <v>2</v>
      </c>
      <c r="AX7" s="58" t="n">
        <v>2</v>
      </c>
      <c r="AY7" s="58" t="n">
        <v>2</v>
      </c>
      <c r="AZ7" s="58" t="n">
        <v>2</v>
      </c>
      <c r="BA7" s="58" t="n">
        <v>2</v>
      </c>
      <c r="BB7" s="58" t="n">
        <v>2</v>
      </c>
      <c r="BC7" s="58" t="n">
        <v>2</v>
      </c>
    </row>
    <row r="9">
      <c r="A9" s="101" t="inlineStr">
        <is>
          <t>TOTAL SEMANAL</t>
        </is>
      </c>
      <c r="D9" s="102" t="n">
        <v>62</v>
      </c>
      <c r="E9" s="102" t="n">
        <v>62</v>
      </c>
      <c r="F9" s="102" t="n">
        <v>62</v>
      </c>
      <c r="G9" s="102" t="n">
        <v>58</v>
      </c>
      <c r="H9" s="102" t="n">
        <v>58</v>
      </c>
      <c r="I9" s="102" t="n">
        <v>58</v>
      </c>
      <c r="J9" s="102" t="n">
        <v>57</v>
      </c>
      <c r="K9" s="102" t="n">
        <v>57</v>
      </c>
      <c r="L9" s="102" t="n">
        <v>57</v>
      </c>
      <c r="M9" s="102" t="n">
        <v>57</v>
      </c>
      <c r="N9" s="102" t="n">
        <v>57</v>
      </c>
      <c r="O9" s="102" t="n">
        <v>57</v>
      </c>
      <c r="P9" s="102" t="n">
        <v>57</v>
      </c>
      <c r="Q9" s="102" t="n">
        <v>57</v>
      </c>
      <c r="R9" s="102" t="n">
        <v>57</v>
      </c>
      <c r="S9" s="102" t="n">
        <v>57</v>
      </c>
      <c r="T9" s="102" t="n">
        <v>57</v>
      </c>
      <c r="U9" s="102" t="n">
        <v>57</v>
      </c>
      <c r="V9" s="102" t="n">
        <v>57</v>
      </c>
      <c r="W9" s="102" t="n">
        <v>57</v>
      </c>
      <c r="X9" s="102" t="n">
        <v>57</v>
      </c>
      <c r="Y9" s="102" t="n">
        <v>57</v>
      </c>
      <c r="Z9" s="102" t="n">
        <v>57</v>
      </c>
      <c r="AA9" s="102" t="n">
        <v>57</v>
      </c>
      <c r="AB9" s="102" t="n">
        <v>57</v>
      </c>
      <c r="AC9" s="102" t="n">
        <v>22</v>
      </c>
      <c r="AD9" s="102" t="n">
        <v>22</v>
      </c>
      <c r="AE9" s="102" t="n">
        <v>22</v>
      </c>
      <c r="AF9" s="102" t="n">
        <v>22</v>
      </c>
      <c r="AG9" s="102" t="n">
        <v>22</v>
      </c>
      <c r="AH9" s="102" t="n">
        <v>22</v>
      </c>
      <c r="AI9" s="102" t="n">
        <v>22</v>
      </c>
      <c r="AJ9" s="102" t="n">
        <v>22</v>
      </c>
      <c r="AK9" s="102" t="n">
        <v>22</v>
      </c>
      <c r="AL9" s="102" t="n">
        <v>22</v>
      </c>
      <c r="AM9" s="102" t="n">
        <v>22</v>
      </c>
      <c r="AN9" s="102" t="n">
        <v>22</v>
      </c>
      <c r="AO9" s="102" t="n">
        <v>22</v>
      </c>
      <c r="AP9" s="102" t="n">
        <v>22</v>
      </c>
      <c r="AQ9" s="102" t="n">
        <v>22</v>
      </c>
      <c r="AR9" s="102" t="n">
        <v>22</v>
      </c>
      <c r="AS9" s="102" t="n">
        <v>22</v>
      </c>
      <c r="AT9" s="102" t="n">
        <v>22</v>
      </c>
      <c r="AU9" s="102" t="n">
        <v>22</v>
      </c>
      <c r="AV9" s="102" t="n">
        <v>22</v>
      </c>
      <c r="AW9" s="102" t="n">
        <v>20</v>
      </c>
      <c r="AX9" s="102" t="n">
        <v>20</v>
      </c>
      <c r="AY9" s="102" t="n">
        <v>20</v>
      </c>
      <c r="AZ9" s="102" t="n">
        <v>20</v>
      </c>
      <c r="BA9" s="102" t="n">
        <v>12</v>
      </c>
      <c r="BB9" s="102" t="n">
        <v>12</v>
      </c>
      <c r="BC9" s="102" t="n">
        <v>2</v>
      </c>
    </row>
  </sheetData>
  <mergeCells count="2">
    <mergeCell ref="A9:C9"/>
    <mergeCell ref="A1:BC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pane xSplit="3" ySplit="2" topLeftCell="D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2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</cols>
  <sheetData>
    <row r="1">
      <c r="A1" s="1" t="inlineStr">
        <is>
          <t>HISTOGRAMA DE MÃO DE OBRA — DEMANDA SEMANAL (PESSOAS)</t>
        </is>
      </c>
    </row>
    <row r="2">
      <c r="A2" s="2" t="inlineStr">
        <is>
          <t>Função ID</t>
        </is>
      </c>
      <c r="B2" s="2" t="inlineStr">
        <is>
          <t>Descrição</t>
        </is>
      </c>
      <c r="C2" s="2" t="inlineStr">
        <is>
          <t>Un.</t>
        </is>
      </c>
      <c r="D2" s="2" t="inlineStr">
        <is>
          <t>08/Jun</t>
        </is>
      </c>
      <c r="E2" s="2" t="inlineStr">
        <is>
          <t>15/Jun</t>
        </is>
      </c>
      <c r="F2" s="2" t="inlineStr">
        <is>
          <t>22/Jun</t>
        </is>
      </c>
      <c r="G2" s="2" t="inlineStr">
        <is>
          <t>29/Jun</t>
        </is>
      </c>
      <c r="H2" s="2" t="inlineStr">
        <is>
          <t>06/Jul</t>
        </is>
      </c>
      <c r="I2" s="2" t="inlineStr">
        <is>
          <t>13/Jul</t>
        </is>
      </c>
      <c r="J2" s="2" t="inlineStr">
        <is>
          <t>20/Jul</t>
        </is>
      </c>
      <c r="K2" s="2" t="inlineStr">
        <is>
          <t>27/Jul</t>
        </is>
      </c>
      <c r="L2" s="2" t="inlineStr">
        <is>
          <t>03/Ago</t>
        </is>
      </c>
      <c r="M2" s="2" t="inlineStr">
        <is>
          <t>10/Ago</t>
        </is>
      </c>
      <c r="N2" s="2" t="inlineStr">
        <is>
          <t>17/Ago</t>
        </is>
      </c>
      <c r="O2" s="2" t="inlineStr">
        <is>
          <t>24/Ago</t>
        </is>
      </c>
      <c r="P2" s="2" t="inlineStr">
        <is>
          <t>31/Ago</t>
        </is>
      </c>
      <c r="Q2" s="2" t="inlineStr">
        <is>
          <t>07/Set</t>
        </is>
      </c>
      <c r="R2" s="2" t="inlineStr">
        <is>
          <t>14/Set</t>
        </is>
      </c>
      <c r="S2" s="2" t="inlineStr">
        <is>
          <t>21/Set</t>
        </is>
      </c>
      <c r="T2" s="2" t="inlineStr">
        <is>
          <t>28/Set</t>
        </is>
      </c>
      <c r="U2" s="2" t="inlineStr">
        <is>
          <t>05/Out</t>
        </is>
      </c>
      <c r="V2" s="2" t="inlineStr">
        <is>
          <t>12/Out</t>
        </is>
      </c>
      <c r="W2" s="2" t="inlineStr">
        <is>
          <t>19/Out</t>
        </is>
      </c>
      <c r="X2" s="2" t="inlineStr">
        <is>
          <t>26/Out</t>
        </is>
      </c>
      <c r="Y2" s="2" t="inlineStr">
        <is>
          <t>02/Nov</t>
        </is>
      </c>
      <c r="Z2" s="2" t="inlineStr">
        <is>
          <t>09/Nov</t>
        </is>
      </c>
      <c r="AA2" s="2" t="inlineStr">
        <is>
          <t>16/Nov</t>
        </is>
      </c>
      <c r="AB2" s="2" t="inlineStr">
        <is>
          <t>23/Nov</t>
        </is>
      </c>
      <c r="AC2" s="2" t="inlineStr">
        <is>
          <t>30/Nov</t>
        </is>
      </c>
      <c r="AD2" s="2" t="inlineStr">
        <is>
          <t>07/Dez</t>
        </is>
      </c>
      <c r="AE2" s="2" t="inlineStr">
        <is>
          <t>14/Dez</t>
        </is>
      </c>
      <c r="AF2" s="2" t="inlineStr">
        <is>
          <t>21/Dez</t>
        </is>
      </c>
      <c r="AG2" s="2" t="inlineStr">
        <is>
          <t>28/Dez</t>
        </is>
      </c>
      <c r="AH2" s="2" t="inlineStr">
        <is>
          <t>04/Jan</t>
        </is>
      </c>
      <c r="AI2" s="2" t="inlineStr">
        <is>
          <t>11/Jan</t>
        </is>
      </c>
      <c r="AJ2" s="2" t="inlineStr">
        <is>
          <t>18/Jan</t>
        </is>
      </c>
      <c r="AK2" s="2" t="inlineStr">
        <is>
          <t>25/Jan</t>
        </is>
      </c>
      <c r="AL2" s="2" t="inlineStr">
        <is>
          <t>01/Fev</t>
        </is>
      </c>
      <c r="AM2" s="2" t="inlineStr">
        <is>
          <t>08/Fev</t>
        </is>
      </c>
      <c r="AN2" s="2" t="inlineStr">
        <is>
          <t>15/Fev</t>
        </is>
      </c>
      <c r="AO2" s="2" t="inlineStr">
        <is>
          <t>22/Fev</t>
        </is>
      </c>
      <c r="AP2" s="2" t="inlineStr">
        <is>
          <t>01/Mar</t>
        </is>
      </c>
      <c r="AQ2" s="2" t="inlineStr">
        <is>
          <t>08/Mar</t>
        </is>
      </c>
      <c r="AR2" s="2" t="inlineStr">
        <is>
          <t>15/Mar</t>
        </is>
      </c>
      <c r="AS2" s="2" t="inlineStr">
        <is>
          <t>22/Mar</t>
        </is>
      </c>
      <c r="AT2" s="2" t="inlineStr">
        <is>
          <t>29/Mar</t>
        </is>
      </c>
      <c r="AU2" s="2" t="inlineStr">
        <is>
          <t>05/Abr</t>
        </is>
      </c>
      <c r="AV2" s="2" t="inlineStr">
        <is>
          <t>12/Abr</t>
        </is>
      </c>
      <c r="AW2" s="2" t="inlineStr">
        <is>
          <t>19/Abr</t>
        </is>
      </c>
      <c r="AX2" s="2" t="inlineStr">
        <is>
          <t>26/Abr</t>
        </is>
      </c>
      <c r="AY2" s="2" t="inlineStr">
        <is>
          <t>03/Mai</t>
        </is>
      </c>
      <c r="AZ2" s="2" t="inlineStr">
        <is>
          <t>10/Mai</t>
        </is>
      </c>
      <c r="BA2" s="2" t="inlineStr">
        <is>
          <t>17/Mai</t>
        </is>
      </c>
      <c r="BB2" s="2" t="inlineStr">
        <is>
          <t>24/Mai</t>
        </is>
      </c>
      <c r="BC2" s="2" t="inlineStr">
        <is>
          <t>31/Mai</t>
        </is>
      </c>
    </row>
    <row r="3">
      <c r="A3" s="10" t="inlineStr">
        <is>
          <t>P0001</t>
        </is>
      </c>
      <c r="B3" s="10" t="inlineStr">
        <is>
          <t>Ajudante</t>
        </is>
      </c>
      <c r="C3" s="14" t="inlineStr">
        <is>
          <t>pax</t>
        </is>
      </c>
      <c r="D3" s="58" t="n">
        <v>60</v>
      </c>
      <c r="E3" s="58" t="n">
        <v>60</v>
      </c>
      <c r="F3" s="58" t="n">
        <v>60</v>
      </c>
      <c r="G3" s="58" t="n">
        <v>56</v>
      </c>
      <c r="H3" s="58" t="n">
        <v>56</v>
      </c>
      <c r="I3" s="58" t="n">
        <v>56</v>
      </c>
      <c r="J3" s="58" t="n">
        <v>54</v>
      </c>
      <c r="K3" s="58" t="n">
        <v>54</v>
      </c>
      <c r="L3" s="58" t="n">
        <v>54</v>
      </c>
      <c r="M3" s="58" t="n">
        <v>54</v>
      </c>
      <c r="N3" s="58" t="n">
        <v>54</v>
      </c>
      <c r="O3" s="58" t="n">
        <v>54</v>
      </c>
      <c r="P3" s="58" t="n">
        <v>54</v>
      </c>
      <c r="Q3" s="58" t="n">
        <v>54</v>
      </c>
      <c r="R3" s="58" t="n">
        <v>54</v>
      </c>
      <c r="S3" s="58" t="n">
        <v>54</v>
      </c>
      <c r="T3" s="58" t="n">
        <v>54</v>
      </c>
      <c r="U3" s="58" t="n">
        <v>54</v>
      </c>
      <c r="V3" s="58" t="n">
        <v>54</v>
      </c>
      <c r="W3" s="58" t="n">
        <v>54</v>
      </c>
      <c r="X3" s="58" t="n">
        <v>54</v>
      </c>
      <c r="Y3" s="58" t="n">
        <v>54</v>
      </c>
      <c r="Z3" s="58" t="n">
        <v>54</v>
      </c>
      <c r="AA3" s="58" t="n">
        <v>54</v>
      </c>
      <c r="AB3" s="58" t="n">
        <v>54</v>
      </c>
      <c r="AC3" s="58" t="n">
        <v>24</v>
      </c>
      <c r="AD3" s="58" t="n">
        <v>24</v>
      </c>
      <c r="AE3" s="58" t="n">
        <v>24</v>
      </c>
      <c r="AF3" s="58" t="n">
        <v>24</v>
      </c>
      <c r="AG3" s="58" t="n">
        <v>24</v>
      </c>
      <c r="AH3" s="58" t="n">
        <v>24</v>
      </c>
      <c r="AI3" s="58" t="n">
        <v>24</v>
      </c>
      <c r="AJ3" s="58" t="n">
        <v>24</v>
      </c>
      <c r="AK3" s="58" t="n">
        <v>24</v>
      </c>
      <c r="AL3" s="58" t="n">
        <v>24</v>
      </c>
      <c r="AM3" s="58" t="n">
        <v>24</v>
      </c>
      <c r="AN3" s="58" t="n">
        <v>24</v>
      </c>
      <c r="AO3" s="58" t="n">
        <v>24</v>
      </c>
      <c r="AP3" s="58" t="n">
        <v>24</v>
      </c>
      <c r="AQ3" s="58" t="n">
        <v>24</v>
      </c>
      <c r="AR3" s="58" t="n">
        <v>24</v>
      </c>
      <c r="AS3" s="58" t="n">
        <v>24</v>
      </c>
      <c r="AT3" s="58" t="n">
        <v>24</v>
      </c>
      <c r="AU3" s="58" t="n">
        <v>24</v>
      </c>
      <c r="AV3" s="58" t="n">
        <v>24</v>
      </c>
      <c r="AW3" s="58" t="n">
        <v>22</v>
      </c>
      <c r="AX3" s="58" t="n">
        <v>22</v>
      </c>
      <c r="AY3" s="58" t="n">
        <v>22</v>
      </c>
      <c r="AZ3" s="58" t="n">
        <v>22</v>
      </c>
      <c r="BA3" s="58" t="n">
        <v>14</v>
      </c>
      <c r="BB3" s="58" t="n">
        <v>14</v>
      </c>
      <c r="BC3" s="58" t="n">
        <v>4</v>
      </c>
    </row>
    <row r="4">
      <c r="A4" s="20" t="inlineStr">
        <is>
          <t>P0029</t>
        </is>
      </c>
      <c r="B4" s="20" t="inlineStr">
        <is>
          <t>Gredista</t>
        </is>
      </c>
      <c r="C4" s="24" t="inlineStr">
        <is>
          <t>pax</t>
        </is>
      </c>
      <c r="D4" s="68" t="n">
        <v>7</v>
      </c>
      <c r="E4" s="68" t="n">
        <v>7</v>
      </c>
      <c r="F4" s="68" t="n">
        <v>7</v>
      </c>
      <c r="G4" s="68" t="n">
        <v>5</v>
      </c>
      <c r="H4" s="68" t="n">
        <v>5</v>
      </c>
      <c r="I4" s="68" t="n">
        <v>5</v>
      </c>
      <c r="J4" s="68" t="n">
        <v>5</v>
      </c>
      <c r="K4" s="68" t="n">
        <v>5</v>
      </c>
      <c r="L4" s="68" t="n">
        <v>5</v>
      </c>
      <c r="M4" s="68" t="n">
        <v>5</v>
      </c>
      <c r="N4" s="68" t="n">
        <v>5</v>
      </c>
      <c r="O4" s="68" t="n">
        <v>5</v>
      </c>
      <c r="P4" s="68" t="n">
        <v>5</v>
      </c>
      <c r="Q4" s="68" t="n">
        <v>5</v>
      </c>
      <c r="R4" s="68" t="n">
        <v>5</v>
      </c>
      <c r="S4" s="68" t="n">
        <v>5</v>
      </c>
      <c r="T4" s="68" t="n">
        <v>5</v>
      </c>
      <c r="U4" s="68" t="n">
        <v>5</v>
      </c>
      <c r="V4" s="68" t="n">
        <v>5</v>
      </c>
      <c r="W4" s="68" t="n">
        <v>5</v>
      </c>
      <c r="X4" s="68" t="n">
        <v>5</v>
      </c>
      <c r="Y4" s="68" t="n">
        <v>5</v>
      </c>
      <c r="Z4" s="68" t="n">
        <v>5</v>
      </c>
      <c r="AA4" s="68" t="n">
        <v>5</v>
      </c>
      <c r="AB4" s="68" t="n">
        <v>5</v>
      </c>
      <c r="AC4" s="68" t="n">
        <v>5</v>
      </c>
      <c r="AD4" s="68" t="n">
        <v>5</v>
      </c>
      <c r="AE4" s="68" t="n">
        <v>5</v>
      </c>
      <c r="AF4" s="68" t="n">
        <v>5</v>
      </c>
      <c r="AG4" s="68" t="n">
        <v>5</v>
      </c>
      <c r="AH4" s="68" t="n">
        <v>5</v>
      </c>
      <c r="AI4" s="68" t="n">
        <v>5</v>
      </c>
      <c r="AJ4" s="68" t="n">
        <v>5</v>
      </c>
      <c r="AK4" s="68" t="n">
        <v>5</v>
      </c>
      <c r="AL4" s="68" t="n">
        <v>5</v>
      </c>
      <c r="AM4" s="68" t="n">
        <v>5</v>
      </c>
      <c r="AN4" s="68" t="n">
        <v>5</v>
      </c>
      <c r="AO4" s="68" t="n">
        <v>5</v>
      </c>
      <c r="AP4" s="68" t="n">
        <v>5</v>
      </c>
      <c r="AQ4" s="68" t="n">
        <v>5</v>
      </c>
      <c r="AR4" s="68" t="n">
        <v>5</v>
      </c>
      <c r="AS4" s="68" t="n">
        <v>5</v>
      </c>
      <c r="AT4" s="68" t="n">
        <v>5</v>
      </c>
      <c r="AU4" s="68" t="n">
        <v>5</v>
      </c>
      <c r="AV4" s="68" t="n">
        <v>5</v>
      </c>
      <c r="AW4" s="68" t="n">
        <v>5</v>
      </c>
      <c r="AX4" s="68" t="n">
        <v>5</v>
      </c>
      <c r="AY4" s="68" t="n">
        <v>5</v>
      </c>
      <c r="AZ4" s="68" t="n">
        <v>5</v>
      </c>
      <c r="BA4" s="68" t="n">
        <v>5</v>
      </c>
      <c r="BB4" s="68" t="n">
        <v>5</v>
      </c>
      <c r="BC4" s="68" t="n">
        <v>2</v>
      </c>
    </row>
    <row r="5">
      <c r="A5" s="10" t="inlineStr">
        <is>
          <t>P0032</t>
        </is>
      </c>
      <c r="B5" s="10" t="inlineStr">
        <is>
          <t>Motorista de Caminhão Basculante</t>
        </is>
      </c>
      <c r="C5" s="14" t="inlineStr">
        <is>
          <t>pax</t>
        </is>
      </c>
      <c r="D5" s="58" t="n">
        <v>86</v>
      </c>
      <c r="E5" s="58" t="n">
        <v>86</v>
      </c>
      <c r="F5" s="58" t="n">
        <v>86</v>
      </c>
      <c r="G5" s="58" t="n">
        <v>86</v>
      </c>
      <c r="H5" s="58" t="n">
        <v>86</v>
      </c>
      <c r="I5" s="58" t="n">
        <v>86</v>
      </c>
      <c r="J5" s="58" t="n">
        <v>86</v>
      </c>
      <c r="K5" s="58" t="n">
        <v>86</v>
      </c>
      <c r="L5" s="58" t="n">
        <v>86</v>
      </c>
      <c r="M5" s="58" t="n">
        <v>86</v>
      </c>
      <c r="N5" s="58" t="n">
        <v>86</v>
      </c>
      <c r="O5" s="58" t="n">
        <v>86</v>
      </c>
      <c r="P5" s="58" t="n">
        <v>86</v>
      </c>
      <c r="Q5" s="58" t="n">
        <v>86</v>
      </c>
      <c r="R5" s="58" t="n">
        <v>86</v>
      </c>
      <c r="S5" s="58" t="n">
        <v>86</v>
      </c>
      <c r="T5" s="58" t="n">
        <v>86</v>
      </c>
      <c r="U5" s="58" t="n">
        <v>86</v>
      </c>
      <c r="V5" s="58" t="n">
        <v>86</v>
      </c>
      <c r="W5" s="58" t="n">
        <v>86</v>
      </c>
      <c r="X5" s="58" t="n">
        <v>86</v>
      </c>
      <c r="Y5" s="58" t="n">
        <v>86</v>
      </c>
      <c r="Z5" s="58" t="n">
        <v>86</v>
      </c>
      <c r="AA5" s="58" t="n">
        <v>86</v>
      </c>
      <c r="AB5" s="58" t="n">
        <v>86</v>
      </c>
      <c r="AC5" s="58" t="n">
        <v>86</v>
      </c>
      <c r="AD5" s="58" t="n">
        <v>86</v>
      </c>
      <c r="AE5" s="58" t="n">
        <v>86</v>
      </c>
      <c r="AF5" s="58" t="n">
        <v>86</v>
      </c>
      <c r="AG5" s="58" t="n">
        <v>86</v>
      </c>
      <c r="AH5" s="58" t="n">
        <v>86</v>
      </c>
      <c r="AI5" s="58" t="n">
        <v>86</v>
      </c>
      <c r="AJ5" s="58" t="n">
        <v>86</v>
      </c>
      <c r="AK5" s="58" t="n">
        <v>86</v>
      </c>
      <c r="AL5" s="58" t="n">
        <v>86</v>
      </c>
      <c r="AM5" s="58" t="n">
        <v>86</v>
      </c>
      <c r="AN5" s="58" t="n">
        <v>86</v>
      </c>
      <c r="AO5" s="58" t="n">
        <v>86</v>
      </c>
      <c r="AP5" s="58" t="n">
        <v>86</v>
      </c>
      <c r="AQ5" s="58" t="n">
        <v>86</v>
      </c>
      <c r="AR5" s="58" t="n">
        <v>86</v>
      </c>
      <c r="AS5" s="58" t="n">
        <v>86</v>
      </c>
      <c r="AT5" s="58" t="n">
        <v>86</v>
      </c>
      <c r="AU5" s="58" t="n">
        <v>86</v>
      </c>
      <c r="AV5" s="58" t="n">
        <v>86</v>
      </c>
      <c r="AW5" s="58" t="n">
        <v>72</v>
      </c>
      <c r="AX5" s="58" t="n">
        <v>72</v>
      </c>
      <c r="AY5" s="58" t="n">
        <v>72</v>
      </c>
      <c r="AZ5" s="58" t="n">
        <v>72</v>
      </c>
      <c r="BA5" s="58" t="n">
        <v>22</v>
      </c>
      <c r="BB5" s="58" t="n">
        <v>22</v>
      </c>
      <c r="BC5" s="35" t="n"/>
    </row>
    <row r="6">
      <c r="A6" s="20" t="inlineStr">
        <is>
          <t>P0033</t>
        </is>
      </c>
      <c r="B6" s="20" t="inlineStr">
        <is>
          <t>Motorista de Caminhão Pipa</t>
        </is>
      </c>
      <c r="C6" s="24" t="inlineStr">
        <is>
          <t>pax</t>
        </is>
      </c>
      <c r="D6" s="68" t="n">
        <v>6</v>
      </c>
      <c r="E6" s="68" t="n">
        <v>6</v>
      </c>
      <c r="F6" s="68" t="n">
        <v>6</v>
      </c>
      <c r="G6" s="68" t="n">
        <v>4</v>
      </c>
      <c r="H6" s="68" t="n">
        <v>4</v>
      </c>
      <c r="I6" s="68" t="n">
        <v>4</v>
      </c>
      <c r="J6" s="68" t="n">
        <v>3</v>
      </c>
      <c r="K6" s="68" t="n">
        <v>3</v>
      </c>
      <c r="L6" s="68" t="n">
        <v>3</v>
      </c>
      <c r="M6" s="68" t="n">
        <v>3</v>
      </c>
      <c r="N6" s="68" t="n">
        <v>3</v>
      </c>
      <c r="O6" s="68" t="n">
        <v>3</v>
      </c>
      <c r="P6" s="68" t="n">
        <v>3</v>
      </c>
      <c r="Q6" s="68" t="n">
        <v>3</v>
      </c>
      <c r="R6" s="68" t="n">
        <v>3</v>
      </c>
      <c r="S6" s="68" t="n">
        <v>3</v>
      </c>
      <c r="T6" s="68" t="n">
        <v>3</v>
      </c>
      <c r="U6" s="68" t="n">
        <v>3</v>
      </c>
      <c r="V6" s="68" t="n">
        <v>3</v>
      </c>
      <c r="W6" s="68" t="n">
        <v>3</v>
      </c>
      <c r="X6" s="68" t="n">
        <v>3</v>
      </c>
      <c r="Y6" s="68" t="n">
        <v>3</v>
      </c>
      <c r="Z6" s="68" t="n">
        <v>3</v>
      </c>
      <c r="AA6" s="68" t="n">
        <v>3</v>
      </c>
      <c r="AB6" s="68" t="n">
        <v>3</v>
      </c>
      <c r="AC6" s="68" t="n">
        <v>3</v>
      </c>
      <c r="AD6" s="68" t="n">
        <v>3</v>
      </c>
      <c r="AE6" s="68" t="n">
        <v>3</v>
      </c>
      <c r="AF6" s="68" t="n">
        <v>3</v>
      </c>
      <c r="AG6" s="68" t="n">
        <v>3</v>
      </c>
      <c r="AH6" s="68" t="n">
        <v>3</v>
      </c>
      <c r="AI6" s="68" t="n">
        <v>3</v>
      </c>
      <c r="AJ6" s="68" t="n">
        <v>3</v>
      </c>
      <c r="AK6" s="68" t="n">
        <v>3</v>
      </c>
      <c r="AL6" s="68" t="n">
        <v>3</v>
      </c>
      <c r="AM6" s="68" t="n">
        <v>3</v>
      </c>
      <c r="AN6" s="68" t="n">
        <v>3</v>
      </c>
      <c r="AO6" s="68" t="n">
        <v>3</v>
      </c>
      <c r="AP6" s="68" t="n">
        <v>3</v>
      </c>
      <c r="AQ6" s="68" t="n">
        <v>3</v>
      </c>
      <c r="AR6" s="68" t="n">
        <v>3</v>
      </c>
      <c r="AS6" s="68" t="n">
        <v>3</v>
      </c>
      <c r="AT6" s="68" t="n">
        <v>3</v>
      </c>
      <c r="AU6" s="68" t="n">
        <v>3</v>
      </c>
      <c r="AV6" s="68" t="n">
        <v>3</v>
      </c>
      <c r="AW6" s="68" t="n">
        <v>3</v>
      </c>
      <c r="AX6" s="68" t="n">
        <v>3</v>
      </c>
      <c r="AY6" s="68" t="n">
        <v>3</v>
      </c>
      <c r="AZ6" s="68" t="n">
        <v>3</v>
      </c>
      <c r="BA6" s="68" t="n">
        <v>3</v>
      </c>
      <c r="BB6" s="68" t="n">
        <v>3</v>
      </c>
      <c r="BC6" s="36" t="n"/>
    </row>
    <row r="7">
      <c r="A7" s="10" t="inlineStr">
        <is>
          <t>P0040</t>
        </is>
      </c>
      <c r="B7" s="10" t="inlineStr">
        <is>
          <t>Operador de Escavadeira</t>
        </is>
      </c>
      <c r="C7" s="14" t="inlineStr">
        <is>
          <t>pax</t>
        </is>
      </c>
      <c r="D7" s="58" t="n">
        <v>19</v>
      </c>
      <c r="E7" s="58" t="n">
        <v>19</v>
      </c>
      <c r="F7" s="58" t="n">
        <v>19</v>
      </c>
      <c r="G7" s="58" t="n">
        <v>19</v>
      </c>
      <c r="H7" s="58" t="n">
        <v>19</v>
      </c>
      <c r="I7" s="58" t="n">
        <v>19</v>
      </c>
      <c r="J7" s="58" t="n">
        <v>19</v>
      </c>
      <c r="K7" s="58" t="n">
        <v>19</v>
      </c>
      <c r="L7" s="58" t="n">
        <v>19</v>
      </c>
      <c r="M7" s="58" t="n">
        <v>19</v>
      </c>
      <c r="N7" s="58" t="n">
        <v>19</v>
      </c>
      <c r="O7" s="58" t="n">
        <v>19</v>
      </c>
      <c r="P7" s="58" t="n">
        <v>19</v>
      </c>
      <c r="Q7" s="58" t="n">
        <v>19</v>
      </c>
      <c r="R7" s="58" t="n">
        <v>19</v>
      </c>
      <c r="S7" s="58" t="n">
        <v>19</v>
      </c>
      <c r="T7" s="58" t="n">
        <v>19</v>
      </c>
      <c r="U7" s="58" t="n">
        <v>19</v>
      </c>
      <c r="V7" s="58" t="n">
        <v>19</v>
      </c>
      <c r="W7" s="58" t="n">
        <v>19</v>
      </c>
      <c r="X7" s="58" t="n">
        <v>19</v>
      </c>
      <c r="Y7" s="58" t="n">
        <v>19</v>
      </c>
      <c r="Z7" s="58" t="n">
        <v>19</v>
      </c>
      <c r="AA7" s="58" t="n">
        <v>19</v>
      </c>
      <c r="AB7" s="58" t="n">
        <v>19</v>
      </c>
      <c r="AC7" s="58" t="n">
        <v>14</v>
      </c>
      <c r="AD7" s="58" t="n">
        <v>14</v>
      </c>
      <c r="AE7" s="58" t="n">
        <v>14</v>
      </c>
      <c r="AF7" s="58" t="n">
        <v>14</v>
      </c>
      <c r="AG7" s="58" t="n">
        <v>14</v>
      </c>
      <c r="AH7" s="58" t="n">
        <v>14</v>
      </c>
      <c r="AI7" s="58" t="n">
        <v>14</v>
      </c>
      <c r="AJ7" s="58" t="n">
        <v>14</v>
      </c>
      <c r="AK7" s="58" t="n">
        <v>14</v>
      </c>
      <c r="AL7" s="58" t="n">
        <v>14</v>
      </c>
      <c r="AM7" s="58" t="n">
        <v>14</v>
      </c>
      <c r="AN7" s="58" t="n">
        <v>14</v>
      </c>
      <c r="AO7" s="58" t="n">
        <v>14</v>
      </c>
      <c r="AP7" s="58" t="n">
        <v>14</v>
      </c>
      <c r="AQ7" s="58" t="n">
        <v>14</v>
      </c>
      <c r="AR7" s="58" t="n">
        <v>14</v>
      </c>
      <c r="AS7" s="58" t="n">
        <v>14</v>
      </c>
      <c r="AT7" s="58" t="n">
        <v>14</v>
      </c>
      <c r="AU7" s="58" t="n">
        <v>14</v>
      </c>
      <c r="AV7" s="58" t="n">
        <v>14</v>
      </c>
      <c r="AW7" s="58" t="n">
        <v>12</v>
      </c>
      <c r="AX7" s="58" t="n">
        <v>12</v>
      </c>
      <c r="AY7" s="58" t="n">
        <v>12</v>
      </c>
      <c r="AZ7" s="58" t="n">
        <v>12</v>
      </c>
      <c r="BA7" s="58" t="n">
        <v>4</v>
      </c>
      <c r="BB7" s="58" t="n">
        <v>4</v>
      </c>
      <c r="BC7" s="35" t="n"/>
    </row>
    <row r="8">
      <c r="A8" s="20" t="inlineStr">
        <is>
          <t>P0043</t>
        </is>
      </c>
      <c r="B8" s="20" t="inlineStr">
        <is>
          <t>Operador de Motoniveladora</t>
        </is>
      </c>
      <c r="C8" s="24" t="inlineStr">
        <is>
          <t>pax</t>
        </is>
      </c>
      <c r="D8" s="68" t="n">
        <v>5</v>
      </c>
      <c r="E8" s="68" t="n">
        <v>5</v>
      </c>
      <c r="F8" s="68" t="n">
        <v>5</v>
      </c>
      <c r="G8" s="68" t="n">
        <v>3</v>
      </c>
      <c r="H8" s="68" t="n">
        <v>3</v>
      </c>
      <c r="I8" s="68" t="n">
        <v>3</v>
      </c>
      <c r="J8" s="68" t="n">
        <v>3</v>
      </c>
      <c r="K8" s="68" t="n">
        <v>3</v>
      </c>
      <c r="L8" s="68" t="n">
        <v>3</v>
      </c>
      <c r="M8" s="68" t="n">
        <v>3</v>
      </c>
      <c r="N8" s="68" t="n">
        <v>3</v>
      </c>
      <c r="O8" s="68" t="n">
        <v>3</v>
      </c>
      <c r="P8" s="68" t="n">
        <v>3</v>
      </c>
      <c r="Q8" s="68" t="n">
        <v>3</v>
      </c>
      <c r="R8" s="68" t="n">
        <v>3</v>
      </c>
      <c r="S8" s="68" t="n">
        <v>3</v>
      </c>
      <c r="T8" s="68" t="n">
        <v>3</v>
      </c>
      <c r="U8" s="68" t="n">
        <v>3</v>
      </c>
      <c r="V8" s="68" t="n">
        <v>3</v>
      </c>
      <c r="W8" s="68" t="n">
        <v>3</v>
      </c>
      <c r="X8" s="68" t="n">
        <v>3</v>
      </c>
      <c r="Y8" s="68" t="n">
        <v>3</v>
      </c>
      <c r="Z8" s="68" t="n">
        <v>3</v>
      </c>
      <c r="AA8" s="68" t="n">
        <v>3</v>
      </c>
      <c r="AB8" s="68" t="n">
        <v>3</v>
      </c>
      <c r="AC8" s="68" t="n">
        <v>3</v>
      </c>
      <c r="AD8" s="68" t="n">
        <v>3</v>
      </c>
      <c r="AE8" s="68" t="n">
        <v>3</v>
      </c>
      <c r="AF8" s="68" t="n">
        <v>3</v>
      </c>
      <c r="AG8" s="68" t="n">
        <v>3</v>
      </c>
      <c r="AH8" s="68" t="n">
        <v>3</v>
      </c>
      <c r="AI8" s="68" t="n">
        <v>3</v>
      </c>
      <c r="AJ8" s="68" t="n">
        <v>3</v>
      </c>
      <c r="AK8" s="68" t="n">
        <v>3</v>
      </c>
      <c r="AL8" s="68" t="n">
        <v>3</v>
      </c>
      <c r="AM8" s="68" t="n">
        <v>3</v>
      </c>
      <c r="AN8" s="68" t="n">
        <v>3</v>
      </c>
      <c r="AO8" s="68" t="n">
        <v>3</v>
      </c>
      <c r="AP8" s="68" t="n">
        <v>3</v>
      </c>
      <c r="AQ8" s="68" t="n">
        <v>3</v>
      </c>
      <c r="AR8" s="68" t="n">
        <v>3</v>
      </c>
      <c r="AS8" s="68" t="n">
        <v>3</v>
      </c>
      <c r="AT8" s="68" t="n">
        <v>3</v>
      </c>
      <c r="AU8" s="68" t="n">
        <v>3</v>
      </c>
      <c r="AV8" s="68" t="n">
        <v>3</v>
      </c>
      <c r="AW8" s="68" t="n">
        <v>3</v>
      </c>
      <c r="AX8" s="68" t="n">
        <v>3</v>
      </c>
      <c r="AY8" s="68" t="n">
        <v>3</v>
      </c>
      <c r="AZ8" s="68" t="n">
        <v>3</v>
      </c>
      <c r="BA8" s="68" t="n">
        <v>3</v>
      </c>
      <c r="BB8" s="68" t="n">
        <v>3</v>
      </c>
      <c r="BC8" s="36" t="n"/>
    </row>
    <row r="9">
      <c r="A9" s="10" t="inlineStr">
        <is>
          <t>P0046</t>
        </is>
      </c>
      <c r="B9" s="10" t="inlineStr">
        <is>
          <t>Operador de Rolo Compactador</t>
        </is>
      </c>
      <c r="C9" s="14" t="inlineStr">
        <is>
          <t>pax</t>
        </is>
      </c>
      <c r="D9" s="58" t="n">
        <v>17</v>
      </c>
      <c r="E9" s="58" t="n">
        <v>17</v>
      </c>
      <c r="F9" s="58" t="n">
        <v>17</v>
      </c>
      <c r="G9" s="58" t="n">
        <v>13</v>
      </c>
      <c r="H9" s="58" t="n">
        <v>13</v>
      </c>
      <c r="I9" s="58" t="n">
        <v>13</v>
      </c>
      <c r="J9" s="58" t="n">
        <v>10</v>
      </c>
      <c r="K9" s="58" t="n">
        <v>10</v>
      </c>
      <c r="L9" s="58" t="n">
        <v>10</v>
      </c>
      <c r="M9" s="58" t="n">
        <v>10</v>
      </c>
      <c r="N9" s="58" t="n">
        <v>10</v>
      </c>
      <c r="O9" s="58" t="n">
        <v>10</v>
      </c>
      <c r="P9" s="58" t="n">
        <v>10</v>
      </c>
      <c r="Q9" s="58" t="n">
        <v>10</v>
      </c>
      <c r="R9" s="58" t="n">
        <v>10</v>
      </c>
      <c r="S9" s="58" t="n">
        <v>10</v>
      </c>
      <c r="T9" s="58" t="n">
        <v>10</v>
      </c>
      <c r="U9" s="58" t="n">
        <v>10</v>
      </c>
      <c r="V9" s="58" t="n">
        <v>10</v>
      </c>
      <c r="W9" s="58" t="n">
        <v>10</v>
      </c>
      <c r="X9" s="58" t="n">
        <v>10</v>
      </c>
      <c r="Y9" s="58" t="n">
        <v>10</v>
      </c>
      <c r="Z9" s="58" t="n">
        <v>10</v>
      </c>
      <c r="AA9" s="58" t="n">
        <v>10</v>
      </c>
      <c r="AB9" s="58" t="n">
        <v>10</v>
      </c>
      <c r="AC9" s="58" t="n">
        <v>10</v>
      </c>
      <c r="AD9" s="58" t="n">
        <v>10</v>
      </c>
      <c r="AE9" s="58" t="n">
        <v>10</v>
      </c>
      <c r="AF9" s="58" t="n">
        <v>10</v>
      </c>
      <c r="AG9" s="58" t="n">
        <v>10</v>
      </c>
      <c r="AH9" s="58" t="n">
        <v>10</v>
      </c>
      <c r="AI9" s="58" t="n">
        <v>10</v>
      </c>
      <c r="AJ9" s="58" t="n">
        <v>10</v>
      </c>
      <c r="AK9" s="58" t="n">
        <v>10</v>
      </c>
      <c r="AL9" s="58" t="n">
        <v>10</v>
      </c>
      <c r="AM9" s="58" t="n">
        <v>10</v>
      </c>
      <c r="AN9" s="58" t="n">
        <v>10</v>
      </c>
      <c r="AO9" s="58" t="n">
        <v>10</v>
      </c>
      <c r="AP9" s="58" t="n">
        <v>10</v>
      </c>
      <c r="AQ9" s="58" t="n">
        <v>10</v>
      </c>
      <c r="AR9" s="58" t="n">
        <v>10</v>
      </c>
      <c r="AS9" s="58" t="n">
        <v>10</v>
      </c>
      <c r="AT9" s="58" t="n">
        <v>10</v>
      </c>
      <c r="AU9" s="58" t="n">
        <v>10</v>
      </c>
      <c r="AV9" s="58" t="n">
        <v>10</v>
      </c>
      <c r="AW9" s="58" t="n">
        <v>10</v>
      </c>
      <c r="AX9" s="58" t="n">
        <v>10</v>
      </c>
      <c r="AY9" s="58" t="n">
        <v>10</v>
      </c>
      <c r="AZ9" s="58" t="n">
        <v>10</v>
      </c>
      <c r="BA9" s="58" t="n">
        <v>10</v>
      </c>
      <c r="BB9" s="58" t="n">
        <v>10</v>
      </c>
      <c r="BC9" s="58" t="n">
        <v>4</v>
      </c>
    </row>
    <row r="10">
      <c r="A10" s="20" t="inlineStr">
        <is>
          <t>P0048</t>
        </is>
      </c>
      <c r="B10" s="20" t="inlineStr">
        <is>
          <t>Operador de Trator de Esteiras</t>
        </is>
      </c>
      <c r="C10" s="24" t="inlineStr">
        <is>
          <t>pax</t>
        </is>
      </c>
      <c r="D10" s="68" t="n">
        <v>33</v>
      </c>
      <c r="E10" s="68" t="n">
        <v>33</v>
      </c>
      <c r="F10" s="68" t="n">
        <v>33</v>
      </c>
      <c r="G10" s="68" t="n">
        <v>33</v>
      </c>
      <c r="H10" s="68" t="n">
        <v>33</v>
      </c>
      <c r="I10" s="68" t="n">
        <v>33</v>
      </c>
      <c r="J10" s="68" t="n">
        <v>32</v>
      </c>
      <c r="K10" s="68" t="n">
        <v>32</v>
      </c>
      <c r="L10" s="68" t="n">
        <v>32</v>
      </c>
      <c r="M10" s="68" t="n">
        <v>32</v>
      </c>
      <c r="N10" s="68" t="n">
        <v>32</v>
      </c>
      <c r="O10" s="68" t="n">
        <v>32</v>
      </c>
      <c r="P10" s="68" t="n">
        <v>32</v>
      </c>
      <c r="Q10" s="68" t="n">
        <v>32</v>
      </c>
      <c r="R10" s="68" t="n">
        <v>32</v>
      </c>
      <c r="S10" s="68" t="n">
        <v>32</v>
      </c>
      <c r="T10" s="68" t="n">
        <v>32</v>
      </c>
      <c r="U10" s="68" t="n">
        <v>32</v>
      </c>
      <c r="V10" s="68" t="n">
        <v>32</v>
      </c>
      <c r="W10" s="68" t="n">
        <v>32</v>
      </c>
      <c r="X10" s="68" t="n">
        <v>32</v>
      </c>
      <c r="Y10" s="68" t="n">
        <v>32</v>
      </c>
      <c r="Z10" s="68" t="n">
        <v>32</v>
      </c>
      <c r="AA10" s="68" t="n">
        <v>32</v>
      </c>
      <c r="AB10" s="68" t="n">
        <v>32</v>
      </c>
      <c r="AC10" s="68" t="n">
        <v>2</v>
      </c>
      <c r="AD10" s="68" t="n">
        <v>2</v>
      </c>
      <c r="AE10" s="68" t="n">
        <v>2</v>
      </c>
      <c r="AF10" s="68" t="n">
        <v>2</v>
      </c>
      <c r="AG10" s="68" t="n">
        <v>2</v>
      </c>
      <c r="AH10" s="68" t="n">
        <v>2</v>
      </c>
      <c r="AI10" s="68" t="n">
        <v>2</v>
      </c>
      <c r="AJ10" s="68" t="n">
        <v>2</v>
      </c>
      <c r="AK10" s="68" t="n">
        <v>2</v>
      </c>
      <c r="AL10" s="68" t="n">
        <v>2</v>
      </c>
      <c r="AM10" s="68" t="n">
        <v>2</v>
      </c>
      <c r="AN10" s="68" t="n">
        <v>2</v>
      </c>
      <c r="AO10" s="68" t="n">
        <v>2</v>
      </c>
      <c r="AP10" s="68" t="n">
        <v>2</v>
      </c>
      <c r="AQ10" s="68" t="n">
        <v>2</v>
      </c>
      <c r="AR10" s="68" t="n">
        <v>2</v>
      </c>
      <c r="AS10" s="68" t="n">
        <v>2</v>
      </c>
      <c r="AT10" s="68" t="n">
        <v>2</v>
      </c>
      <c r="AU10" s="68" t="n">
        <v>2</v>
      </c>
      <c r="AV10" s="68" t="n">
        <v>2</v>
      </c>
      <c r="AW10" s="68" t="n">
        <v>2</v>
      </c>
      <c r="AX10" s="68" t="n">
        <v>2</v>
      </c>
      <c r="AY10" s="68" t="n">
        <v>2</v>
      </c>
      <c r="AZ10" s="68" t="n">
        <v>2</v>
      </c>
      <c r="BA10" s="68" t="n">
        <v>2</v>
      </c>
      <c r="BB10" s="68" t="n">
        <v>2</v>
      </c>
      <c r="BC10" s="68" t="n">
        <v>2</v>
      </c>
    </row>
    <row r="11">
      <c r="A11" s="10" t="inlineStr">
        <is>
          <t>P0049</t>
        </is>
      </c>
      <c r="B11" s="10" t="inlineStr">
        <is>
          <t>Operador de Trator de Pneu</t>
        </is>
      </c>
      <c r="C11" s="14" t="inlineStr">
        <is>
          <t>pax</t>
        </is>
      </c>
      <c r="D11" s="58" t="n">
        <v>5</v>
      </c>
      <c r="E11" s="58" t="n">
        <v>5</v>
      </c>
      <c r="F11" s="58" t="n">
        <v>5</v>
      </c>
      <c r="G11" s="58" t="n">
        <v>3</v>
      </c>
      <c r="H11" s="58" t="n">
        <v>3</v>
      </c>
      <c r="I11" s="58" t="n">
        <v>3</v>
      </c>
      <c r="J11" s="58" t="n">
        <v>3</v>
      </c>
      <c r="K11" s="58" t="n">
        <v>3</v>
      </c>
      <c r="L11" s="58" t="n">
        <v>3</v>
      </c>
      <c r="M11" s="58" t="n">
        <v>3</v>
      </c>
      <c r="N11" s="58" t="n">
        <v>3</v>
      </c>
      <c r="O11" s="58" t="n">
        <v>3</v>
      </c>
      <c r="P11" s="58" t="n">
        <v>3</v>
      </c>
      <c r="Q11" s="58" t="n">
        <v>3</v>
      </c>
      <c r="R11" s="58" t="n">
        <v>3</v>
      </c>
      <c r="S11" s="58" t="n">
        <v>3</v>
      </c>
      <c r="T11" s="58" t="n">
        <v>3</v>
      </c>
      <c r="U11" s="58" t="n">
        <v>3</v>
      </c>
      <c r="V11" s="58" t="n">
        <v>3</v>
      </c>
      <c r="W11" s="58" t="n">
        <v>3</v>
      </c>
      <c r="X11" s="58" t="n">
        <v>3</v>
      </c>
      <c r="Y11" s="58" t="n">
        <v>3</v>
      </c>
      <c r="Z11" s="58" t="n">
        <v>3</v>
      </c>
      <c r="AA11" s="58" t="n">
        <v>3</v>
      </c>
      <c r="AB11" s="58" t="n">
        <v>3</v>
      </c>
      <c r="AC11" s="58" t="n">
        <v>3</v>
      </c>
      <c r="AD11" s="58" t="n">
        <v>3</v>
      </c>
      <c r="AE11" s="58" t="n">
        <v>3</v>
      </c>
      <c r="AF11" s="58" t="n">
        <v>3</v>
      </c>
      <c r="AG11" s="58" t="n">
        <v>3</v>
      </c>
      <c r="AH11" s="58" t="n">
        <v>3</v>
      </c>
      <c r="AI11" s="58" t="n">
        <v>3</v>
      </c>
      <c r="AJ11" s="58" t="n">
        <v>3</v>
      </c>
      <c r="AK11" s="58" t="n">
        <v>3</v>
      </c>
      <c r="AL11" s="58" t="n">
        <v>3</v>
      </c>
      <c r="AM11" s="58" t="n">
        <v>3</v>
      </c>
      <c r="AN11" s="58" t="n">
        <v>3</v>
      </c>
      <c r="AO11" s="58" t="n">
        <v>3</v>
      </c>
      <c r="AP11" s="58" t="n">
        <v>3</v>
      </c>
      <c r="AQ11" s="58" t="n">
        <v>3</v>
      </c>
      <c r="AR11" s="58" t="n">
        <v>3</v>
      </c>
      <c r="AS11" s="58" t="n">
        <v>3</v>
      </c>
      <c r="AT11" s="58" t="n">
        <v>3</v>
      </c>
      <c r="AU11" s="58" t="n">
        <v>3</v>
      </c>
      <c r="AV11" s="58" t="n">
        <v>3</v>
      </c>
      <c r="AW11" s="58" t="n">
        <v>3</v>
      </c>
      <c r="AX11" s="58" t="n">
        <v>3</v>
      </c>
      <c r="AY11" s="58" t="n">
        <v>3</v>
      </c>
      <c r="AZ11" s="58" t="n">
        <v>3</v>
      </c>
      <c r="BA11" s="58" t="n">
        <v>3</v>
      </c>
      <c r="BB11" s="58" t="n">
        <v>3</v>
      </c>
      <c r="BC11" s="35" t="n"/>
    </row>
    <row r="12">
      <c r="A12" s="20" t="inlineStr">
        <is>
          <t>P0062</t>
        </is>
      </c>
      <c r="B12" s="20" t="inlineStr">
        <is>
          <t>Operador de motosserra</t>
        </is>
      </c>
      <c r="C12" s="24" t="inlineStr">
        <is>
          <t>pax</t>
        </is>
      </c>
      <c r="D12" s="68" t="n">
        <v>30</v>
      </c>
      <c r="E12" s="68" t="n">
        <v>30</v>
      </c>
      <c r="F12" s="68" t="n">
        <v>30</v>
      </c>
      <c r="G12" s="68" t="n">
        <v>30</v>
      </c>
      <c r="H12" s="68" t="n">
        <v>30</v>
      </c>
      <c r="I12" s="68" t="n">
        <v>30</v>
      </c>
      <c r="J12" s="68" t="n">
        <v>30</v>
      </c>
      <c r="K12" s="68" t="n">
        <v>30</v>
      </c>
      <c r="L12" s="68" t="n">
        <v>30</v>
      </c>
      <c r="M12" s="68" t="n">
        <v>30</v>
      </c>
      <c r="N12" s="68" t="n">
        <v>30</v>
      </c>
      <c r="O12" s="68" t="n">
        <v>30</v>
      </c>
      <c r="P12" s="68" t="n">
        <v>30</v>
      </c>
      <c r="Q12" s="68" t="n">
        <v>30</v>
      </c>
      <c r="R12" s="68" t="n">
        <v>30</v>
      </c>
      <c r="S12" s="68" t="n">
        <v>30</v>
      </c>
      <c r="T12" s="68" t="n">
        <v>30</v>
      </c>
      <c r="U12" s="68" t="n">
        <v>30</v>
      </c>
      <c r="V12" s="68" t="n">
        <v>30</v>
      </c>
      <c r="W12" s="68" t="n">
        <v>30</v>
      </c>
      <c r="X12" s="68" t="n">
        <v>30</v>
      </c>
      <c r="Y12" s="68" t="n">
        <v>30</v>
      </c>
      <c r="Z12" s="68" t="n">
        <v>30</v>
      </c>
      <c r="AA12" s="68" t="n">
        <v>30</v>
      </c>
      <c r="AB12" s="68" t="n">
        <v>30</v>
      </c>
      <c r="AC12" s="36" t="n"/>
      <c r="AD12" s="36" t="n"/>
      <c r="AE12" s="36" t="n"/>
      <c r="AF12" s="36" t="n"/>
      <c r="AG12" s="36" t="n"/>
      <c r="AH12" s="36" t="n"/>
      <c r="AI12" s="36" t="n"/>
      <c r="AJ12" s="36" t="n"/>
      <c r="AK12" s="36" t="n"/>
      <c r="AL12" s="36" t="n"/>
      <c r="AM12" s="36" t="n"/>
      <c r="AN12" s="36" t="n"/>
      <c r="AO12" s="36" t="n"/>
      <c r="AP12" s="36" t="n"/>
      <c r="AQ12" s="36" t="n"/>
      <c r="AR12" s="36" t="n"/>
      <c r="AS12" s="36" t="n"/>
      <c r="AT12" s="36" t="n"/>
      <c r="AU12" s="36" t="n"/>
      <c r="AV12" s="36" t="n"/>
      <c r="AW12" s="36" t="n"/>
      <c r="AX12" s="36" t="n"/>
      <c r="AY12" s="36" t="n"/>
      <c r="AZ12" s="36" t="n"/>
      <c r="BA12" s="36" t="n"/>
      <c r="BB12" s="36" t="n"/>
      <c r="BC12" s="36" t="n"/>
    </row>
    <row r="13">
      <c r="A13" s="10" t="inlineStr">
        <is>
          <t>P0065</t>
        </is>
      </c>
      <c r="B13" s="10" t="inlineStr">
        <is>
          <t>Encarregado de Frente</t>
        </is>
      </c>
      <c r="C13" s="14" t="inlineStr">
        <is>
          <t>pax</t>
        </is>
      </c>
      <c r="D13" s="58" t="n">
        <v>13</v>
      </c>
      <c r="E13" s="58" t="n">
        <v>13</v>
      </c>
      <c r="F13" s="58" t="n">
        <v>13</v>
      </c>
      <c r="G13" s="58" t="n">
        <v>12</v>
      </c>
      <c r="H13" s="58" t="n">
        <v>12</v>
      </c>
      <c r="I13" s="58" t="n">
        <v>12</v>
      </c>
      <c r="J13" s="58" t="n">
        <v>12</v>
      </c>
      <c r="K13" s="58" t="n">
        <v>12</v>
      </c>
      <c r="L13" s="58" t="n">
        <v>12</v>
      </c>
      <c r="M13" s="58" t="n">
        <v>12</v>
      </c>
      <c r="N13" s="58" t="n">
        <v>12</v>
      </c>
      <c r="O13" s="58" t="n">
        <v>12</v>
      </c>
      <c r="P13" s="58" t="n">
        <v>12</v>
      </c>
      <c r="Q13" s="58" t="n">
        <v>12</v>
      </c>
      <c r="R13" s="58" t="n">
        <v>12</v>
      </c>
      <c r="S13" s="58" t="n">
        <v>12</v>
      </c>
      <c r="T13" s="58" t="n">
        <v>12</v>
      </c>
      <c r="U13" s="58" t="n">
        <v>12</v>
      </c>
      <c r="V13" s="58" t="n">
        <v>12</v>
      </c>
      <c r="W13" s="58" t="n">
        <v>12</v>
      </c>
      <c r="X13" s="58" t="n">
        <v>12</v>
      </c>
      <c r="Y13" s="58" t="n">
        <v>12</v>
      </c>
      <c r="Z13" s="58" t="n">
        <v>12</v>
      </c>
      <c r="AA13" s="58" t="n">
        <v>12</v>
      </c>
      <c r="AB13" s="58" t="n">
        <v>12</v>
      </c>
      <c r="AC13" s="58" t="n">
        <v>7</v>
      </c>
      <c r="AD13" s="58" t="n">
        <v>7</v>
      </c>
      <c r="AE13" s="58" t="n">
        <v>7</v>
      </c>
      <c r="AF13" s="58" t="n">
        <v>7</v>
      </c>
      <c r="AG13" s="58" t="n">
        <v>7</v>
      </c>
      <c r="AH13" s="58" t="n">
        <v>7</v>
      </c>
      <c r="AI13" s="58" t="n">
        <v>7</v>
      </c>
      <c r="AJ13" s="58" t="n">
        <v>7</v>
      </c>
      <c r="AK13" s="58" t="n">
        <v>7</v>
      </c>
      <c r="AL13" s="58" t="n">
        <v>7</v>
      </c>
      <c r="AM13" s="58" t="n">
        <v>7</v>
      </c>
      <c r="AN13" s="58" t="n">
        <v>7</v>
      </c>
      <c r="AO13" s="58" t="n">
        <v>7</v>
      </c>
      <c r="AP13" s="58" t="n">
        <v>7</v>
      </c>
      <c r="AQ13" s="58" t="n">
        <v>7</v>
      </c>
      <c r="AR13" s="58" t="n">
        <v>7</v>
      </c>
      <c r="AS13" s="58" t="n">
        <v>7</v>
      </c>
      <c r="AT13" s="58" t="n">
        <v>7</v>
      </c>
      <c r="AU13" s="58" t="n">
        <v>7</v>
      </c>
      <c r="AV13" s="58" t="n">
        <v>7</v>
      </c>
      <c r="AW13" s="58" t="n">
        <v>5</v>
      </c>
      <c r="AX13" s="58" t="n">
        <v>5</v>
      </c>
      <c r="AY13" s="58" t="n">
        <v>5</v>
      </c>
      <c r="AZ13" s="58" t="n">
        <v>5</v>
      </c>
      <c r="BA13" s="58" t="n">
        <v>5</v>
      </c>
      <c r="BB13" s="58" t="n">
        <v>5</v>
      </c>
      <c r="BC13" s="58" t="n">
        <v>1</v>
      </c>
    </row>
    <row r="14">
      <c r="A14" s="20" t="inlineStr">
        <is>
          <t>P0072</t>
        </is>
      </c>
      <c r="B14" s="20" t="inlineStr">
        <is>
          <t>Apontador</t>
        </is>
      </c>
      <c r="C14" s="24" t="inlineStr">
        <is>
          <t>pax</t>
        </is>
      </c>
      <c r="D14" s="68" t="n">
        <v>5</v>
      </c>
      <c r="E14" s="68" t="n">
        <v>5</v>
      </c>
      <c r="F14" s="68" t="n">
        <v>5</v>
      </c>
      <c r="G14" s="68" t="n">
        <v>5</v>
      </c>
      <c r="H14" s="68" t="n">
        <v>5</v>
      </c>
      <c r="I14" s="68" t="n">
        <v>5</v>
      </c>
      <c r="J14" s="68" t="n">
        <v>5</v>
      </c>
      <c r="K14" s="68" t="n">
        <v>5</v>
      </c>
      <c r="L14" s="68" t="n">
        <v>5</v>
      </c>
      <c r="M14" s="68" t="n">
        <v>5</v>
      </c>
      <c r="N14" s="68" t="n">
        <v>5</v>
      </c>
      <c r="O14" s="68" t="n">
        <v>5</v>
      </c>
      <c r="P14" s="68" t="n">
        <v>5</v>
      </c>
      <c r="Q14" s="68" t="n">
        <v>5</v>
      </c>
      <c r="R14" s="68" t="n">
        <v>5</v>
      </c>
      <c r="S14" s="68" t="n">
        <v>5</v>
      </c>
      <c r="T14" s="68" t="n">
        <v>5</v>
      </c>
      <c r="U14" s="68" t="n">
        <v>5</v>
      </c>
      <c r="V14" s="68" t="n">
        <v>5</v>
      </c>
      <c r="W14" s="68" t="n">
        <v>5</v>
      </c>
      <c r="X14" s="68" t="n">
        <v>5</v>
      </c>
      <c r="Y14" s="68" t="n">
        <v>5</v>
      </c>
      <c r="Z14" s="68" t="n">
        <v>5</v>
      </c>
      <c r="AA14" s="68" t="n">
        <v>5</v>
      </c>
      <c r="AB14" s="68" t="n">
        <v>5</v>
      </c>
      <c r="AC14" s="36" t="n"/>
      <c r="AD14" s="36" t="n"/>
      <c r="AE14" s="36" t="n"/>
      <c r="AF14" s="36" t="n"/>
      <c r="AG14" s="36" t="n"/>
      <c r="AH14" s="36" t="n"/>
      <c r="AI14" s="36" t="n"/>
      <c r="AJ14" s="36" t="n"/>
      <c r="AK14" s="36" t="n"/>
      <c r="AL14" s="36" t="n"/>
      <c r="AM14" s="36" t="n"/>
      <c r="AN14" s="36" t="n"/>
      <c r="AO14" s="36" t="n"/>
      <c r="AP14" s="36" t="n"/>
      <c r="AQ14" s="36" t="n"/>
      <c r="AR14" s="36" t="n"/>
      <c r="AS14" s="36" t="n"/>
      <c r="AT14" s="36" t="n"/>
      <c r="AU14" s="36" t="n"/>
      <c r="AV14" s="36" t="n"/>
      <c r="AW14" s="36" t="n"/>
      <c r="AX14" s="36" t="n"/>
      <c r="AY14" s="36" t="n"/>
      <c r="AZ14" s="36" t="n"/>
      <c r="BA14" s="36" t="n"/>
      <c r="BB14" s="36" t="n"/>
      <c r="BC14" s="36" t="n"/>
    </row>
    <row r="15">
      <c r="A15" s="10" t="inlineStr">
        <is>
          <t>P0079</t>
        </is>
      </c>
      <c r="B15" s="10" t="inlineStr">
        <is>
          <t>SINALEIRO</t>
        </is>
      </c>
      <c r="C15" s="14" t="inlineStr">
        <is>
          <t>pax</t>
        </is>
      </c>
      <c r="D15" s="58" t="n">
        <v>30</v>
      </c>
      <c r="E15" s="58" t="n">
        <v>30</v>
      </c>
      <c r="F15" s="58" t="n">
        <v>30</v>
      </c>
      <c r="G15" s="58" t="n">
        <v>30</v>
      </c>
      <c r="H15" s="58" t="n">
        <v>30</v>
      </c>
      <c r="I15" s="58" t="n">
        <v>30</v>
      </c>
      <c r="J15" s="58" t="n">
        <v>30</v>
      </c>
      <c r="K15" s="58" t="n">
        <v>30</v>
      </c>
      <c r="L15" s="58" t="n">
        <v>30</v>
      </c>
      <c r="M15" s="58" t="n">
        <v>30</v>
      </c>
      <c r="N15" s="58" t="n">
        <v>30</v>
      </c>
      <c r="O15" s="58" t="n">
        <v>30</v>
      </c>
      <c r="P15" s="58" t="n">
        <v>30</v>
      </c>
      <c r="Q15" s="58" t="n">
        <v>30</v>
      </c>
      <c r="R15" s="58" t="n">
        <v>30</v>
      </c>
      <c r="S15" s="58" t="n">
        <v>30</v>
      </c>
      <c r="T15" s="58" t="n">
        <v>30</v>
      </c>
      <c r="U15" s="58" t="n">
        <v>30</v>
      </c>
      <c r="V15" s="58" t="n">
        <v>30</v>
      </c>
      <c r="W15" s="58" t="n">
        <v>30</v>
      </c>
      <c r="X15" s="58" t="n">
        <v>30</v>
      </c>
      <c r="Y15" s="58" t="n">
        <v>30</v>
      </c>
      <c r="Z15" s="58" t="n">
        <v>30</v>
      </c>
      <c r="AA15" s="58" t="n">
        <v>30</v>
      </c>
      <c r="AB15" s="58" t="n">
        <v>30</v>
      </c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  <c r="BC15" s="35" t="n"/>
    </row>
    <row r="17">
      <c r="A17" s="101" t="inlineStr">
        <is>
          <t>TOTAL SEMANAL</t>
        </is>
      </c>
      <c r="D17" s="102" t="n">
        <v>316</v>
      </c>
      <c r="E17" s="102" t="n">
        <v>316</v>
      </c>
      <c r="F17" s="102" t="n">
        <v>316</v>
      </c>
      <c r="G17" s="102" t="n">
        <v>299</v>
      </c>
      <c r="H17" s="102" t="n">
        <v>299</v>
      </c>
      <c r="I17" s="102" t="n">
        <v>299</v>
      </c>
      <c r="J17" s="102" t="n">
        <v>292</v>
      </c>
      <c r="K17" s="102" t="n">
        <v>292</v>
      </c>
      <c r="L17" s="102" t="n">
        <v>292</v>
      </c>
      <c r="M17" s="102" t="n">
        <v>292</v>
      </c>
      <c r="N17" s="102" t="n">
        <v>292</v>
      </c>
      <c r="O17" s="102" t="n">
        <v>292</v>
      </c>
      <c r="P17" s="102" t="n">
        <v>292</v>
      </c>
      <c r="Q17" s="102" t="n">
        <v>292</v>
      </c>
      <c r="R17" s="102" t="n">
        <v>292</v>
      </c>
      <c r="S17" s="102" t="n">
        <v>292</v>
      </c>
      <c r="T17" s="102" t="n">
        <v>292</v>
      </c>
      <c r="U17" s="102" t="n">
        <v>292</v>
      </c>
      <c r="V17" s="102" t="n">
        <v>292</v>
      </c>
      <c r="W17" s="102" t="n">
        <v>292</v>
      </c>
      <c r="X17" s="102" t="n">
        <v>292</v>
      </c>
      <c r="Y17" s="102" t="n">
        <v>292</v>
      </c>
      <c r="Z17" s="102" t="n">
        <v>292</v>
      </c>
      <c r="AA17" s="102" t="n">
        <v>292</v>
      </c>
      <c r="AB17" s="102" t="n">
        <v>292</v>
      </c>
      <c r="AC17" s="102" t="n">
        <v>157</v>
      </c>
      <c r="AD17" s="102" t="n">
        <v>157</v>
      </c>
      <c r="AE17" s="102" t="n">
        <v>157</v>
      </c>
      <c r="AF17" s="102" t="n">
        <v>157</v>
      </c>
      <c r="AG17" s="102" t="n">
        <v>157</v>
      </c>
      <c r="AH17" s="102" t="n">
        <v>157</v>
      </c>
      <c r="AI17" s="102" t="n">
        <v>157</v>
      </c>
      <c r="AJ17" s="102" t="n">
        <v>157</v>
      </c>
      <c r="AK17" s="102" t="n">
        <v>157</v>
      </c>
      <c r="AL17" s="102" t="n">
        <v>157</v>
      </c>
      <c r="AM17" s="102" t="n">
        <v>157</v>
      </c>
      <c r="AN17" s="102" t="n">
        <v>157</v>
      </c>
      <c r="AO17" s="102" t="n">
        <v>157</v>
      </c>
      <c r="AP17" s="102" t="n">
        <v>157</v>
      </c>
      <c r="AQ17" s="102" t="n">
        <v>157</v>
      </c>
      <c r="AR17" s="102" t="n">
        <v>157</v>
      </c>
      <c r="AS17" s="102" t="n">
        <v>157</v>
      </c>
      <c r="AT17" s="102" t="n">
        <v>157</v>
      </c>
      <c r="AU17" s="102" t="n">
        <v>157</v>
      </c>
      <c r="AV17" s="102" t="n">
        <v>157</v>
      </c>
      <c r="AW17" s="102" t="n">
        <v>137</v>
      </c>
      <c r="AX17" s="102" t="n">
        <v>137</v>
      </c>
      <c r="AY17" s="102" t="n">
        <v>137</v>
      </c>
      <c r="AZ17" s="102" t="n">
        <v>137</v>
      </c>
      <c r="BA17" s="102" t="n">
        <v>71</v>
      </c>
      <c r="BB17" s="102" t="n">
        <v>71</v>
      </c>
      <c r="BC17" s="102" t="n">
        <v>13</v>
      </c>
    </row>
  </sheetData>
  <mergeCells count="2">
    <mergeCell ref="A17:C17"/>
    <mergeCell ref="A1:B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2026-05-13T18:25:24Z</dcterms:created>
  <dcterms:modified xsi:type="dcterms:W3CDTF">2026-05-13T18:25:25Z</dcterms:modified>
</cp:coreProperties>
</file>