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IAL.BDI" sheetId="1" state="visible" r:id="rId1"/>
    <sheet name="CURVA.ABC" sheetId="2" state="visible" r:id="rId2"/>
    <sheet name="S-CURVE" sheetId="3" state="visible" r:id="rId3"/>
    <sheet name="CAMPANHA.FROTA" sheetId="4" state="visible" r:id="rId4"/>
    <sheet name="CUBO.COMP" sheetId="5" state="visible" r:id="rId5"/>
    <sheet name="DIRETOS.DET" sheetId="6" state="visible" r:id="rId6"/>
    <sheet name="DIRETOS.RES" sheetId="7" state="visible" r:id="rId7"/>
    <sheet name="INDIRETOS.DET" sheetId="8" state="visible" r:id="rId8"/>
    <sheet name="INDIRETOS.RES" sheetId="9" state="visible" r:id="rId9"/>
    <sheet name="PLANEJAMENTO" sheetId="10" state="visible" r:id="rId10"/>
    <sheet name="CRONOGRAMA.DET" sheetId="11" state="visible" r:id="rId11"/>
    <sheet name="CRONOGRAMA.RES" sheetId="12" state="visible" r:id="rId12"/>
    <sheet name="EQUIPE" sheetId="13" state="visible" r:id="rId13"/>
    <sheet name="EQUILIBRIO" sheetId="14" state="visible" r:id="rId14"/>
    <sheet name="CALENDARIO.OP" sheetId="15" state="visible" r:id="rId15"/>
    <sheet name="RESULTADO" sheetId="16" state="visible" r:id="rId16"/>
    <sheet name="ANALISE.FC_CAIXA" sheetId="17" state="visible" r:id="rId17"/>
    <sheet name="HIST.EQUIPAMENTOS" sheetId="18" state="visible" r:id="rId18"/>
    <sheet name="HIST.MAO_OBRA" sheetId="19" state="visible" r:id="rId19"/>
    <sheet name="GRAFICOS" sheetId="20" state="visible" r:id="rId20"/>
  </sheets>
  <definedNames>
    <definedName name="TOTAL_DIRETO">'DIRETOS.DET'!$I$136</definedName>
    <definedName name="DIRETOS_RES_SEM_BDI">'DIRETOS.RES'!$I$15</definedName>
    <definedName name="DIRETOS_RES_COM_BDI">'DIRETOS.RES'!$N$15</definedName>
    <definedName name="TOTAL_ADM">'INDIRETOS.DET'!$H$26</definedName>
    <definedName name="TOTAL_TOP">'INDIRETOS.DET'!$H$32</definedName>
    <definedName name="TOTAL_LAB">'INDIRETOS.DET'!$H$36</definedName>
    <definedName name="TOTAL_QSMS">'INDIRETOS.DET'!$H$43</definedName>
    <definedName name="TOTAL_MOB">'INDIRETOS.DET'!$H$46</definedName>
    <definedName name="TOTAL_INDIRETO">'INDIRETOS.DET'!$H$48</definedName>
    <definedName name="TOTAL_SEM_BDI">PLANEJAMENTO!$M$15</definedName>
    <definedName name="TOTAL_COM_BDI">PLANEJAMENTO!$N$15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000&quot;%&quot;"/>
    <numFmt numFmtId="166" formatCode="R$ #,##0.00"/>
    <numFmt numFmtId="167" formatCode="#,##0.##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1A202C"/>
      <sz val="9"/>
    </font>
    <font>
      <name val="Calibri"/>
      <b val="1"/>
      <color rgb="001A3A5C"/>
      <sz val="10"/>
    </font>
    <font>
      <name val="Calibri"/>
      <b val="1"/>
      <color rgb="00FFFFFF"/>
      <sz val="10"/>
    </font>
    <font>
      <name val="Calibri"/>
      <b val="1"/>
      <color rgb="00C05C18"/>
      <sz val="10"/>
    </font>
    <font>
      <name val="Calibri"/>
      <b val="1"/>
      <color rgb="00276749"/>
      <sz val="10"/>
    </font>
    <font>
      <name val="Calibri"/>
      <b val="1"/>
      <color rgb="009B1C1C"/>
      <sz val="10"/>
    </font>
    <font>
      <name val="Calibri"/>
      <b val="1"/>
      <color rgb="0092400E"/>
      <sz val="10"/>
    </font>
    <font>
      <name val="Calibri"/>
      <color rgb="009B1C1C"/>
      <sz val="10"/>
    </font>
    <font>
      <name val="Calibri"/>
      <color rgb="00276749"/>
      <sz val="10"/>
    </font>
    <font>
      <name val="Calibri"/>
      <color rgb="001A202C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color rgb="001A3A5C"/>
      <sz val="10"/>
    </font>
    <font>
      <name val="Calibri"/>
      <b val="1"/>
      <color rgb="009B1C1C"/>
      <sz val="14"/>
    </font>
    <font>
      <name val="Calibri"/>
      <color rgb="002B6CB0"/>
      <sz val="10"/>
    </font>
    <font>
      <name val="Calibri"/>
      <i val="1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5E6D8"/>
        <bgColor rgb="00F5E6D8"/>
      </patternFill>
    </fill>
    <fill>
      <patternFill patternType="solid">
        <fgColor rgb="002B6CB0"/>
        <bgColor rgb="002B6CB0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F4444"/>
        <bgColor rgb="00FF4444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164" fontId="0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5" borderId="0" pivotButton="0" quotePrefix="0" xfId="0"/>
    <xf numFmtId="164" fontId="0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6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6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0" fillId="4" borderId="1" pivotButton="0" quotePrefix="0" xfId="0"/>
    <xf numFmtId="164" fontId="0" fillId="5" borderId="1" pivotButton="0" quotePrefix="0" xfId="0"/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6" fontId="10" fillId="4" borderId="1" pivotButton="0" quotePrefix="0" xfId="0"/>
    <xf numFmtId="166" fontId="9" fillId="4" borderId="1" pivotButton="0" quotePrefix="0" xfId="0"/>
    <xf numFmtId="166" fontId="10" fillId="5" borderId="1" pivotButton="0" quotePrefix="0" xfId="0"/>
    <xf numFmtId="166" fontId="9" fillId="5" borderId="1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0" fillId="6" borderId="1" pivotButton="0" quotePrefix="0" xfId="0"/>
    <xf numFmtId="166" fontId="5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7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7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3" fillId="3" borderId="1" applyAlignment="1" pivotButton="0" quotePrefix="0" xfId="0">
      <alignment horizontal="left" vertical="center"/>
    </xf>
    <xf numFmtId="0" fontId="0" fillId="0" borderId="4" pivotButton="0" quotePrefix="0" xfId="0"/>
    <xf numFmtId="166" fontId="13" fillId="3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3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7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7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167" fontId="0" fillId="10" borderId="1" applyAlignment="1" pivotButton="0" quotePrefix="0" xfId="0">
      <alignment horizontal="right" vertical="center"/>
    </xf>
    <xf numFmtId="4" fontId="0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8" fillId="11" borderId="1" applyAlignment="1" pivotButton="0" quotePrefix="0" xfId="0">
      <alignment horizontal="left" vertical="center"/>
    </xf>
    <xf numFmtId="9" fontId="11" fillId="1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right" vertical="center"/>
    </xf>
    <xf numFmtId="0" fontId="15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right" vertical="center"/>
    </xf>
    <xf numFmtId="1" fontId="0" fillId="12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" fontId="0" fillId="5" borderId="1" applyAlignment="1" pivotButton="0" quotePrefix="0" xfId="0">
      <alignment horizontal="right" vertical="center"/>
    </xf>
    <xf numFmtId="10" fontId="0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6" fontId="13" fillId="4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166" fontId="9" fillId="13" borderId="1" applyAlignment="1" pivotButton="0" quotePrefix="0" xfId="0">
      <alignment horizontal="right" vertical="center"/>
    </xf>
    <xf numFmtId="166" fontId="10" fillId="1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right" vertical="center"/>
    </xf>
    <xf numFmtId="166" fontId="6" fillId="14" borderId="1" applyAlignment="1" pivotButton="0" quotePrefix="0" xfId="0">
      <alignment horizontal="right" vertical="center"/>
    </xf>
    <xf numFmtId="166" fontId="7" fillId="13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" fontId="4" fillId="2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Equipamentos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</f>
            </strRef>
          </tx>
          <spPr>
            <a:ln>
              <a:prstDash val="solid"/>
            </a:ln>
          </spPr>
          <cat>
            <numRef>
              <f>'GRAFICOS'!$A$3:$A$57</f>
            </numRef>
          </cat>
          <val>
            <numRef>
              <f>'GRAFICOS'!$B$3:$B$57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Mao de Obra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</f>
            </strRef>
          </tx>
          <spPr>
            <a:ln>
              <a:prstDash val="solid"/>
            </a:ln>
          </spPr>
          <cat>
            <numRef>
              <f>'GRAFICOS'!$D$3:$D$57</f>
            </numRef>
          </cat>
          <val>
            <numRef>
              <f>'GRAFICOS'!$E$3:$E$57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Pessoas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Cronograma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'GRAFICOS'!H2</f>
            </strRef>
          </tx>
          <spPr>
            <a:noFill/>
            <a:ln>
              <a:noFill/>
              <a:prstDash val="solid"/>
            </a:ln>
          </spPr>
          <cat>
            <numRef>
              <f>'GRAFICOS'!$G$3:$G$13</f>
            </numRef>
          </cat>
          <val>
            <numRef>
              <f>'GRAFICOS'!$H$3:$H$13</f>
            </numRef>
          </val>
        </ser>
        <ser>
          <idx val="1"/>
          <order val="1"/>
          <tx>
            <strRef>
              <f>'GRAFICOS'!I2</f>
            </strRef>
          </tx>
          <spPr>
            <a:ln>
              <a:prstDash val="solid"/>
            </a:ln>
          </spPr>
          <cat>
            <numRef>
              <f>'GRAFICOS'!$G$3:$G$13</f>
            </numRef>
          </cat>
          <val>
            <numRef>
              <f>'GRAFICOS'!$I$3:$I$13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Atividades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'GRAFICOS'!$B$22:$B$35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'GRAFICOS'!C21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'GRAFICOS'!$C$22:$C$35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'GRAFICOS'!D21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'GRAFICOS'!$D$22:$D$35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Exposicao Acumulada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'GRAFICOS'!$E$22:$E$35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51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1" t="inlineStr">
        <is>
          <t>MEMORIAL DE CALCULO BDI - AUDITORIA PONTA A PONTA (ADR-057)</t>
        </is>
      </c>
    </row>
    <row r="2">
      <c r="A2" s="2" t="inlineStr">
        <is>
          <t>Projeto: AGIS - Ferrovia Nova Transnordestina (Supressao e Terraplanagem) | Gerado: 2026-06-01T23:08:44 | Regime: pre_reforma | Vigencia: 2026-04-01</t>
        </is>
      </c>
    </row>
    <row r="4">
      <c r="A4" s="3" t="inlineStr">
        <is>
          <t>1. ENCARGOS SOCIAIS - Grupos A-F + Judicial (vigencia abril/2026)</t>
        </is>
      </c>
    </row>
    <row r="5">
      <c r="A5" s="4" t="inlineStr">
        <is>
          <t>Regime</t>
        </is>
      </c>
      <c r="B5" s="4" t="inlineStr">
        <is>
          <t>Grp A</t>
        </is>
      </c>
      <c r="C5" s="4" t="inlineStr">
        <is>
          <t>Grp B</t>
        </is>
      </c>
      <c r="D5" s="4" t="inlineStr">
        <is>
          <t>Grp C</t>
        </is>
      </c>
      <c r="E5" s="4" t="inlineStr">
        <is>
          <t>Grp D</t>
        </is>
      </c>
      <c r="F5" s="4" t="inlineStr">
        <is>
          <t>Grp E</t>
        </is>
      </c>
      <c r="G5" s="4" t="inlineStr">
        <is>
          <t>Grp F</t>
        </is>
      </c>
      <c r="H5" s="4" t="inlineStr">
        <is>
          <t>Judicial</t>
        </is>
      </c>
      <c r="I5" s="4" t="inlineStr">
        <is>
          <t>TOTAL</t>
        </is>
      </c>
    </row>
    <row r="6">
      <c r="A6" s="5" t="inlineStr">
        <is>
          <t>Horista CLT</t>
        </is>
      </c>
      <c r="B6" s="6" t="n">
        <v>37.8</v>
      </c>
      <c r="C6" s="6" t="n">
        <v>47.84</v>
      </c>
      <c r="D6" s="6" t="n">
        <v>40.53</v>
      </c>
      <c r="E6" s="6" t="n">
        <v>19.07</v>
      </c>
      <c r="F6" s="6" t="n">
        <v>10.22</v>
      </c>
      <c r="G6" s="6" t="n">
        <v>19.24</v>
      </c>
      <c r="H6" s="6" t="n">
        <v>3</v>
      </c>
      <c r="I6" s="7" t="n">
        <v>177.7</v>
      </c>
    </row>
    <row r="7">
      <c r="A7" s="8" t="inlineStr">
        <is>
          <t>Mensalista CLT</t>
        </is>
      </c>
      <c r="B7" s="9" t="n">
        <v>37.8</v>
      </c>
      <c r="C7" s="9" t="n">
        <v>9.94</v>
      </c>
      <c r="D7" s="9" t="n">
        <v>40.3</v>
      </c>
      <c r="E7" s="9" t="n">
        <v>4.74</v>
      </c>
      <c r="F7" s="9" t="n">
        <v>10.22</v>
      </c>
      <c r="G7" s="9" t="n">
        <v>0</v>
      </c>
      <c r="H7" s="9" t="n">
        <v>3</v>
      </c>
      <c r="I7" s="10" t="n">
        <v>106</v>
      </c>
    </row>
    <row r="8">
      <c r="A8" s="2" t="inlineStr">
        <is>
          <t>Nota: encargos aplicados ANTES do BDI. Custo MO = Salario x (1 + Encargos)</t>
        </is>
      </c>
    </row>
    <row r="10">
      <c r="A10" s="3" t="inlineStr">
        <is>
          <t>2. BDI POR CATEGORIA - Formulacao TCU Ac.2622/2013: BDI=(1+OH)/(1-T)-1</t>
        </is>
      </c>
    </row>
    <row r="11">
      <c r="A11" s="4" t="inlineStr">
        <is>
          <t>Categoria</t>
        </is>
      </c>
      <c r="B11" s="4" t="inlineStr">
        <is>
          <t>AC(%)</t>
        </is>
      </c>
      <c r="C11" s="4" t="inlineStr">
        <is>
          <t>DF(%)</t>
        </is>
      </c>
      <c r="D11" s="4" t="inlineStr">
        <is>
          <t>R(%)</t>
        </is>
      </c>
      <c r="E11" s="4" t="inlineStr">
        <is>
          <t>CR(%)</t>
        </is>
      </c>
      <c r="F11" s="4" t="inlineStr">
        <is>
          <t>L(%)</t>
        </is>
      </c>
      <c r="G11" s="4" t="inlineStr">
        <is>
          <t>OH(%)</t>
        </is>
      </c>
      <c r="H11" s="4" t="inlineStr">
        <is>
          <t>COFINS</t>
        </is>
      </c>
      <c r="I11" s="4" t="inlineStr">
        <is>
          <t>ISS</t>
        </is>
      </c>
      <c r="J11" s="4" t="inlineStr">
        <is>
          <t>PIS</t>
        </is>
      </c>
      <c r="K11" s="4" t="inlineStr">
        <is>
          <t>CSSL</t>
        </is>
      </c>
      <c r="L11" s="4" t="inlineStr">
        <is>
          <t>IR</t>
        </is>
      </c>
      <c r="M11" s="4" t="inlineStr">
        <is>
          <t>T(%)</t>
        </is>
      </c>
      <c r="N11" s="4" t="inlineStr">
        <is>
          <t>BDI(%)</t>
        </is>
      </c>
    </row>
    <row r="12">
      <c r="A12" s="11" t="inlineStr">
        <is>
          <t>MAO DE OBRA [inputs.tabela_bdi]</t>
        </is>
      </c>
      <c r="B12" s="12" t="n">
        <v>5</v>
      </c>
      <c r="C12" s="12" t="n">
        <v>1.5</v>
      </c>
      <c r="D12" s="12" t="n">
        <v>1</v>
      </c>
      <c r="E12" s="12" t="n">
        <v>0</v>
      </c>
      <c r="F12" s="12" t="n">
        <v>9</v>
      </c>
      <c r="G12" s="13" t="n">
        <v>16.5</v>
      </c>
      <c r="H12" s="12" t="n">
        <v>0</v>
      </c>
      <c r="I12" s="12" t="n">
        <v>5</v>
      </c>
      <c r="J12" s="12" t="n">
        <v>0</v>
      </c>
      <c r="K12" s="12" t="n">
        <v>1.99</v>
      </c>
      <c r="L12" s="12" t="n">
        <v>2.74</v>
      </c>
      <c r="M12" s="12" t="n">
        <v>9.73</v>
      </c>
      <c r="N12" s="13" t="n">
        <v>29.975</v>
      </c>
    </row>
    <row r="13">
      <c r="A13" s="14" t="inlineStr">
        <is>
          <t>MATERIAL [inputs.tabela_bdi]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4</v>
      </c>
      <c r="G13" s="16" t="n">
        <v>4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6" t="n">
        <v>4</v>
      </c>
    </row>
    <row r="14">
      <c r="A14" s="11" t="inlineStr">
        <is>
          <t>SERVICOS [inputs.tabela_bdi]</t>
        </is>
      </c>
      <c r="B14" s="12" t="n">
        <v>5</v>
      </c>
      <c r="C14" s="12" t="n">
        <v>1.5</v>
      </c>
      <c r="D14" s="12" t="n">
        <v>1</v>
      </c>
      <c r="E14" s="12" t="n">
        <v>0</v>
      </c>
      <c r="F14" s="12" t="n">
        <v>9</v>
      </c>
      <c r="G14" s="13" t="n">
        <v>16.5</v>
      </c>
      <c r="H14" s="12" t="n">
        <v>0</v>
      </c>
      <c r="I14" s="12" t="n">
        <v>5</v>
      </c>
      <c r="J14" s="12" t="n">
        <v>0</v>
      </c>
      <c r="K14" s="12" t="n">
        <v>1.99</v>
      </c>
      <c r="L14" s="12" t="n">
        <v>2.74</v>
      </c>
      <c r="M14" s="12" t="n">
        <v>9.73</v>
      </c>
      <c r="N14" s="13" t="n">
        <v>29.975</v>
      </c>
    </row>
    <row r="15">
      <c r="A15" s="14" t="inlineStr">
        <is>
          <t>INDIRETO [inputs.tabela_bdi]</t>
        </is>
      </c>
      <c r="B15" s="15" t="n">
        <v>5</v>
      </c>
      <c r="C15" s="15" t="n">
        <v>1.5</v>
      </c>
      <c r="D15" s="15" t="n">
        <v>1</v>
      </c>
      <c r="E15" s="15" t="n">
        <v>0</v>
      </c>
      <c r="F15" s="15" t="n">
        <v>5</v>
      </c>
      <c r="G15" s="16" t="n">
        <v>12.5</v>
      </c>
      <c r="H15" s="15" t="n">
        <v>0</v>
      </c>
      <c r="I15" s="15" t="n">
        <v>5</v>
      </c>
      <c r="J15" s="15" t="n">
        <v>0</v>
      </c>
      <c r="K15" s="15" t="n">
        <v>1.99</v>
      </c>
      <c r="L15" s="15" t="n">
        <v>2.74</v>
      </c>
      <c r="M15" s="15" t="n">
        <v>9.73</v>
      </c>
      <c r="N15" s="16" t="n">
        <v>25.2053</v>
      </c>
    </row>
    <row r="16">
      <c r="A16" s="11" t="inlineStr">
        <is>
          <t>DIESEL [inputs.tabela_bdi]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4</v>
      </c>
      <c r="G16" s="13" t="n">
        <v>4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 t="n">
        <v>4</v>
      </c>
    </row>
    <row r="18">
      <c r="A18" s="3" t="inlineStr">
        <is>
          <t>3. DECOMPOSICAO NO PRECO DE VENDA - De cada R$1,00 cobrado</t>
        </is>
      </c>
    </row>
    <row r="19">
      <c r="A19" s="4" t="inlineStr">
        <is>
          <t>Categoria</t>
        </is>
      </c>
      <c r="B19" s="4" t="inlineStr">
        <is>
          <t>Custo Dir.</t>
        </is>
      </c>
      <c r="C19" s="4" t="inlineStr">
        <is>
          <t>OH-AC</t>
        </is>
      </c>
      <c r="D19" s="4" t="inlineStr">
        <is>
          <t>OH-DF</t>
        </is>
      </c>
      <c r="E19" s="4" t="inlineStr">
        <is>
          <t>OH-R</t>
        </is>
      </c>
      <c r="F19" s="4" t="inlineStr">
        <is>
          <t>OH-CR</t>
        </is>
      </c>
      <c r="G19" s="4" t="inlineStr">
        <is>
          <t>Margem L</t>
        </is>
      </c>
      <c r="H19" s="4" t="inlineStr">
        <is>
          <t>COFINS</t>
        </is>
      </c>
      <c r="I19" s="4" t="inlineStr">
        <is>
          <t>ISS</t>
        </is>
      </c>
      <c r="J19" s="4" t="inlineStr">
        <is>
          <t>PIS</t>
        </is>
      </c>
      <c r="K19" s="4" t="inlineStr">
        <is>
          <t>CSSL</t>
        </is>
      </c>
      <c r="L19" s="4" t="inlineStr">
        <is>
          <t>IR</t>
        </is>
      </c>
      <c r="M19" s="4" t="inlineStr">
        <is>
          <t>T Total</t>
        </is>
      </c>
      <c r="N19" s="4" t="inlineStr">
        <is>
          <t>SOMA</t>
        </is>
      </c>
    </row>
    <row r="20">
      <c r="A20" s="11" t="inlineStr">
        <is>
          <t>MAO DE OBRA</t>
        </is>
      </c>
      <c r="B20" s="6" t="n">
        <v>77.48</v>
      </c>
      <c r="C20" s="6" t="n">
        <v>3.87</v>
      </c>
      <c r="D20" s="6" t="n">
        <v>1.16</v>
      </c>
      <c r="E20" s="6" t="n">
        <v>0.77</v>
      </c>
      <c r="F20" s="6" t="n">
        <v>0</v>
      </c>
      <c r="G20" s="17" t="n">
        <v>6.97</v>
      </c>
      <c r="H20" s="6" t="n">
        <v>0</v>
      </c>
      <c r="I20" s="6" t="n">
        <v>5</v>
      </c>
      <c r="J20" s="6" t="n">
        <v>0</v>
      </c>
      <c r="K20" s="6" t="n">
        <v>1.99</v>
      </c>
      <c r="L20" s="6" t="n">
        <v>2.74</v>
      </c>
      <c r="M20" s="6" t="n">
        <v>9.73</v>
      </c>
      <c r="N20" s="17" t="n">
        <v>100</v>
      </c>
    </row>
    <row r="21">
      <c r="A21" s="14" t="inlineStr">
        <is>
          <t>MATERIAL</t>
        </is>
      </c>
      <c r="B21" s="9" t="n">
        <v>96.15000000000001</v>
      </c>
      <c r="C21" s="9" t="n">
        <v>0</v>
      </c>
      <c r="D21" s="9" t="n">
        <v>0</v>
      </c>
      <c r="E21" s="9" t="n">
        <v>0</v>
      </c>
      <c r="F21" s="9" t="n">
        <v>0</v>
      </c>
      <c r="G21" s="18" t="n">
        <v>3.85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18" t="n">
        <v>100</v>
      </c>
    </row>
    <row r="22">
      <c r="A22" s="11" t="inlineStr">
        <is>
          <t>SERVICOS</t>
        </is>
      </c>
      <c r="B22" s="6" t="n">
        <v>77.48</v>
      </c>
      <c r="C22" s="6" t="n">
        <v>3.87</v>
      </c>
      <c r="D22" s="6" t="n">
        <v>1.16</v>
      </c>
      <c r="E22" s="6" t="n">
        <v>0.77</v>
      </c>
      <c r="F22" s="6" t="n">
        <v>0</v>
      </c>
      <c r="G22" s="17" t="n">
        <v>6.97</v>
      </c>
      <c r="H22" s="6" t="n">
        <v>0</v>
      </c>
      <c r="I22" s="6" t="n">
        <v>5</v>
      </c>
      <c r="J22" s="6" t="n">
        <v>0</v>
      </c>
      <c r="K22" s="6" t="n">
        <v>1.99</v>
      </c>
      <c r="L22" s="6" t="n">
        <v>2.74</v>
      </c>
      <c r="M22" s="6" t="n">
        <v>9.73</v>
      </c>
      <c r="N22" s="17" t="n">
        <v>100</v>
      </c>
    </row>
    <row r="23">
      <c r="A23" s="14" t="inlineStr">
        <is>
          <t>INDIRETO</t>
        </is>
      </c>
      <c r="B23" s="9" t="n">
        <v>80.23999999999999</v>
      </c>
      <c r="C23" s="9" t="n">
        <v>4.01</v>
      </c>
      <c r="D23" s="9" t="n">
        <v>1.2</v>
      </c>
      <c r="E23" s="9" t="n">
        <v>0.8</v>
      </c>
      <c r="F23" s="9" t="n">
        <v>0</v>
      </c>
      <c r="G23" s="18" t="n">
        <v>4.01</v>
      </c>
      <c r="H23" s="9" t="n">
        <v>0</v>
      </c>
      <c r="I23" s="9" t="n">
        <v>5</v>
      </c>
      <c r="J23" s="9" t="n">
        <v>0</v>
      </c>
      <c r="K23" s="9" t="n">
        <v>1.99</v>
      </c>
      <c r="L23" s="9" t="n">
        <v>2.74</v>
      </c>
      <c r="M23" s="9" t="n">
        <v>9.73</v>
      </c>
      <c r="N23" s="18" t="n">
        <v>100</v>
      </c>
    </row>
    <row r="24">
      <c r="A24" s="11" t="inlineStr">
        <is>
          <t>DIESEL</t>
        </is>
      </c>
      <c r="B24" s="6" t="n">
        <v>96.15000000000001</v>
      </c>
      <c r="C24" s="6" t="n">
        <v>0</v>
      </c>
      <c r="D24" s="6" t="n">
        <v>0</v>
      </c>
      <c r="E24" s="6" t="n">
        <v>0</v>
      </c>
      <c r="F24" s="6" t="n">
        <v>0</v>
      </c>
      <c r="G24" s="17" t="n">
        <v>3.85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17" t="n">
        <v>100</v>
      </c>
    </row>
    <row r="26">
      <c r="A26" s="3" t="inlineStr">
        <is>
          <t>4. APLICACAO POR ITEM DA EAP - BDI efetivo x preco unitario</t>
        </is>
      </c>
    </row>
    <row r="27">
      <c r="A27" s="4" t="inlineStr">
        <is>
          <t>Item</t>
        </is>
      </c>
      <c r="B27" s="4" t="inlineStr">
        <is>
          <t>Descricao</t>
        </is>
      </c>
      <c r="C27" s="4" t="inlineStr">
        <is>
          <t>CPU</t>
        </is>
      </c>
      <c r="D27" s="4" t="inlineStr">
        <is>
          <t>Un.</t>
        </is>
      </c>
      <c r="E27" s="4" t="inlineStr">
        <is>
          <t>Qtd.</t>
        </is>
      </c>
      <c r="F27" s="4" t="inlineStr">
        <is>
          <t>PU s/BDI</t>
        </is>
      </c>
      <c r="G27" s="4" t="inlineStr">
        <is>
          <t>BDI(%)</t>
        </is>
      </c>
      <c r="H27" s="4" t="inlineStr">
        <is>
          <t>PU c/BDI</t>
        </is>
      </c>
      <c r="I27" s="4" t="inlineStr">
        <is>
          <t>Sub. s/BDI</t>
        </is>
      </c>
      <c r="J27" s="4" t="inlineStr">
        <is>
          <t>Sub. c/BDI</t>
        </is>
      </c>
      <c r="K27" s="4" t="inlineStr">
        <is>
          <t>MO (R$)</t>
        </is>
      </c>
      <c r="L27" s="4" t="inlineStr">
        <is>
          <t>EQ (R$)</t>
        </is>
      </c>
      <c r="M27" s="4" t="inlineStr">
        <is>
          <t>MAT (R$)</t>
        </is>
      </c>
      <c r="N27" s="4" t="inlineStr">
        <is>
          <t>DIESEL (R$)</t>
        </is>
      </c>
    </row>
    <row r="28">
      <c r="A28" s="19" t="inlineStr">
        <is>
          <t>eap-1_0</t>
        </is>
      </c>
      <c r="B28" s="19" t="inlineStr">
        <is>
          <t>Desmatamento e limpeza de area vegetada</t>
        </is>
      </c>
      <c r="C28" s="19" t="inlineStr">
        <is>
          <t>CPU-TERRA-ATI-003</t>
        </is>
      </c>
      <c r="D28" s="19" t="inlineStr">
        <is>
          <t>m2</t>
        </is>
      </c>
      <c r="E28" s="20" t="n">
        <v>2400000</v>
      </c>
      <c r="F28" s="21" t="n">
        <v>0.8767</v>
      </c>
      <c r="G28" s="6" t="n">
        <v>17.76</v>
      </c>
      <c r="H28" s="21" t="n">
        <v>1.0324</v>
      </c>
      <c r="I28" s="21" t="n">
        <v>2104003.2</v>
      </c>
      <c r="J28" s="21" t="n">
        <v>2477673.16</v>
      </c>
      <c r="K28" s="21" t="n">
        <v>0.1929</v>
      </c>
      <c r="L28" s="21" t="n">
        <v>0.3879</v>
      </c>
      <c r="M28" s="21" t="n">
        <v>0</v>
      </c>
      <c r="N28" s="21" t="n">
        <v>0.2959</v>
      </c>
    </row>
    <row r="29">
      <c r="A29" s="22" t="inlineStr">
        <is>
          <t>eap-1_1</t>
        </is>
      </c>
      <c r="B29" s="22" t="inlineStr">
        <is>
          <t>Esc/carg/transp 1aCat DMT&lt;=2000m</t>
        </is>
      </c>
      <c r="C29" s="22" t="inlineStr">
        <is>
          <t>CPU-TERRA-ESCO-CARGA-1CAT-DMT2000</t>
        </is>
      </c>
      <c r="D29" s="22" t="inlineStr">
        <is>
          <t>m3</t>
        </is>
      </c>
      <c r="E29" s="23" t="n">
        <v>107463.1053</v>
      </c>
      <c r="F29" s="24" t="n">
        <v>7.6583</v>
      </c>
      <c r="G29" s="9" t="n">
        <v>20.59</v>
      </c>
      <c r="H29" s="24" t="n">
        <v>9.2349</v>
      </c>
      <c r="I29" s="24" t="n">
        <v>822980.08</v>
      </c>
      <c r="J29" s="24" t="n">
        <v>992406.46</v>
      </c>
      <c r="K29" s="24" t="n">
        <v>1.4918</v>
      </c>
      <c r="L29" s="24" t="n">
        <v>4.8551</v>
      </c>
      <c r="M29" s="24" t="n">
        <v>0</v>
      </c>
      <c r="N29" s="24" t="n">
        <v>1.3114</v>
      </c>
    </row>
    <row r="30">
      <c r="A30" s="19" t="inlineStr">
        <is>
          <t>eap-1_2</t>
        </is>
      </c>
      <c r="B30" s="19" t="inlineStr">
        <is>
          <t>Esc/carg/transp 1aCat DMT&lt;=3000m</t>
        </is>
      </c>
      <c r="C30" s="19" t="inlineStr">
        <is>
          <t>CPU-TERRA-ESCO-CARGA-1CAT-DMT3000</t>
        </is>
      </c>
      <c r="D30" s="19" t="inlineStr">
        <is>
          <t>m3</t>
        </is>
      </c>
      <c r="E30" s="20" t="n">
        <v>336915.0947</v>
      </c>
      <c r="F30" s="21" t="n">
        <v>8.4612</v>
      </c>
      <c r="G30" s="6" t="n">
        <v>20.72</v>
      </c>
      <c r="H30" s="21" t="n">
        <v>10.2145</v>
      </c>
      <c r="I30" s="21" t="n">
        <v>2850704.99</v>
      </c>
      <c r="J30" s="21" t="n">
        <v>3441418.84</v>
      </c>
      <c r="K30" s="21" t="n">
        <v>1.663</v>
      </c>
      <c r="L30" s="21" t="n">
        <v>5.4057</v>
      </c>
      <c r="M30" s="21" t="n">
        <v>0</v>
      </c>
      <c r="N30" s="21" t="n">
        <v>1.3925</v>
      </c>
    </row>
    <row r="31">
      <c r="A31" s="22" t="inlineStr">
        <is>
          <t>eap-1_3</t>
        </is>
      </c>
      <c r="B31" s="22" t="inlineStr">
        <is>
          <t>Esc/carg/transp 2aCat DMT&lt;=2000m</t>
        </is>
      </c>
      <c r="C31" s="22" t="inlineStr">
        <is>
          <t>CPU-TERRA-ESCO-CARGA-2CAT-DMT2000</t>
        </is>
      </c>
      <c r="D31" s="22" t="inlineStr">
        <is>
          <t>m3</t>
        </is>
      </c>
      <c r="E31" s="23" t="n">
        <v>105311.3323</v>
      </c>
      <c r="F31" s="24" t="n">
        <v>10.0939</v>
      </c>
      <c r="G31" s="9" t="n">
        <v>20.42</v>
      </c>
      <c r="H31" s="24" t="n">
        <v>12.1553</v>
      </c>
      <c r="I31" s="24" t="n">
        <v>1063003.64</v>
      </c>
      <c r="J31" s="24" t="n">
        <v>1280091.96</v>
      </c>
      <c r="K31" s="24" t="n">
        <v>1.9446</v>
      </c>
      <c r="L31" s="24" t="n">
        <v>6.3386</v>
      </c>
      <c r="M31" s="24" t="n">
        <v>0</v>
      </c>
      <c r="N31" s="24" t="n">
        <v>1.8107</v>
      </c>
    </row>
    <row r="32">
      <c r="A32" s="19" t="inlineStr">
        <is>
          <t>eap-1_4</t>
        </is>
      </c>
      <c r="B32" s="19" t="inlineStr">
        <is>
          <t>Esc/carg/transp 2aCat DMT&lt;=3000m</t>
        </is>
      </c>
      <c r="C32" s="19" t="inlineStr">
        <is>
          <t>CPU-TERRA-ESCO-CARGA-2CAT-DMT3000</t>
        </is>
      </c>
      <c r="D32" s="19" t="inlineStr">
        <is>
          <t>m3</t>
        </is>
      </c>
      <c r="E32" s="20" t="n">
        <v>585945.7677</v>
      </c>
      <c r="F32" s="21" t="n">
        <v>10.7574</v>
      </c>
      <c r="G32" s="6" t="n">
        <v>20.53</v>
      </c>
      <c r="H32" s="21" t="n">
        <v>12.9657</v>
      </c>
      <c r="I32" s="21" t="n">
        <v>6303250.07</v>
      </c>
      <c r="J32" s="21" t="n">
        <v>7597204.52</v>
      </c>
      <c r="K32" s="21" t="n">
        <v>2.0873</v>
      </c>
      <c r="L32" s="21" t="n">
        <v>6.7969</v>
      </c>
      <c r="M32" s="21" t="n">
        <v>0</v>
      </c>
      <c r="N32" s="21" t="n">
        <v>1.8732</v>
      </c>
    </row>
    <row r="33">
      <c r="A33" s="22" t="inlineStr">
        <is>
          <t>eap-1_5</t>
        </is>
      </c>
      <c r="B33" s="22" t="inlineStr">
        <is>
          <t>Esc/carg/transp 3aCat DMT&lt;=2000m</t>
        </is>
      </c>
      <c r="C33" s="22" t="inlineStr">
        <is>
          <t>CPU-TERRA-ESCO-CARGA-3CAT-DMT2000</t>
        </is>
      </c>
      <c r="D33" s="22" t="inlineStr">
        <is>
          <t>m3</t>
        </is>
      </c>
      <c r="E33" s="23" t="n">
        <v>304634.4556</v>
      </c>
      <c r="F33" s="24" t="n">
        <v>14.8713</v>
      </c>
      <c r="G33" s="9" t="n">
        <v>20.37</v>
      </c>
      <c r="H33" s="24" t="n">
        <v>17.9001</v>
      </c>
      <c r="I33" s="24" t="n">
        <v>4530306.11</v>
      </c>
      <c r="J33" s="24" t="n">
        <v>5452981.76</v>
      </c>
      <c r="K33" s="24" t="n">
        <v>2.0472</v>
      </c>
      <c r="L33" s="24" t="n">
        <v>10.4616</v>
      </c>
      <c r="M33" s="24" t="n">
        <v>0</v>
      </c>
      <c r="N33" s="24" t="n">
        <v>2.3625</v>
      </c>
    </row>
    <row r="34">
      <c r="A34" s="19" t="inlineStr">
        <is>
          <t>eap-1_6</t>
        </is>
      </c>
      <c r="B34" s="19" t="inlineStr">
        <is>
          <t>Esc/carg/transp 3aCat DMT&lt;=3000m</t>
        </is>
      </c>
      <c r="C34" s="19" t="inlineStr">
        <is>
          <t>CPU-TERRA-ESCO-CARGA-3CAT-DMT3000</t>
        </is>
      </c>
      <c r="D34" s="19" t="inlineStr">
        <is>
          <t>m3</t>
        </is>
      </c>
      <c r="E34" s="20" t="n">
        <v>676519.0444</v>
      </c>
      <c r="F34" s="21" t="n">
        <v>18.2248</v>
      </c>
      <c r="G34" s="6" t="n">
        <v>20.61</v>
      </c>
      <c r="H34" s="21" t="n">
        <v>21.9805</v>
      </c>
      <c r="I34" s="21" t="n">
        <v>12329412.1</v>
      </c>
      <c r="J34" s="21" t="n">
        <v>14870246.89</v>
      </c>
      <c r="K34" s="21" t="n">
        <v>2.5128</v>
      </c>
      <c r="L34" s="21" t="n">
        <v>13.0568</v>
      </c>
      <c r="M34" s="21" t="n">
        <v>0</v>
      </c>
      <c r="N34" s="21" t="n">
        <v>2.6552</v>
      </c>
    </row>
    <row r="35">
      <c r="A35" s="22" t="inlineStr">
        <is>
          <t>eap-1_7</t>
        </is>
      </c>
      <c r="B35" s="22" t="inlineStr">
        <is>
          <t>Compactacao aterros 100% Proctor Normal</t>
        </is>
      </c>
      <c r="C35" s="22" t="inlineStr">
        <is>
          <t>CPU-TERRA-COMPAC-PN</t>
        </is>
      </c>
      <c r="D35" s="22" t="inlineStr">
        <is>
          <t>m3</t>
        </is>
      </c>
      <c r="E35" s="23" t="n">
        <v>1135635.3</v>
      </c>
      <c r="F35" s="24" t="n">
        <v>9.1313</v>
      </c>
      <c r="G35" s="9" t="n">
        <v>17.23</v>
      </c>
      <c r="H35" s="24" t="n">
        <v>10.7048</v>
      </c>
      <c r="I35" s="24" t="n">
        <v>10369819.8</v>
      </c>
      <c r="J35" s="24" t="n">
        <v>12156798.29</v>
      </c>
      <c r="K35" s="24" t="n">
        <v>1.647</v>
      </c>
      <c r="L35" s="24" t="n">
        <v>4.2925</v>
      </c>
      <c r="M35" s="24" t="n">
        <v>0</v>
      </c>
      <c r="N35" s="24" t="n">
        <v>3.1918</v>
      </c>
    </row>
    <row r="36">
      <c r="A36" s="19" t="inlineStr">
        <is>
          <t>eap-1_8</t>
        </is>
      </c>
      <c r="B36" s="19" t="inlineStr">
        <is>
          <t>Compactacao aterros 100% Proctor Intermediario</t>
        </is>
      </c>
      <c r="C36" s="19" t="inlineStr">
        <is>
          <t>CPU-TERRA-COMPAC-PI</t>
        </is>
      </c>
      <c r="D36" s="19" t="inlineStr">
        <is>
          <t>m3</t>
        </is>
      </c>
      <c r="E36" s="20" t="n">
        <v>29411</v>
      </c>
      <c r="F36" s="21" t="n">
        <v>11.9393</v>
      </c>
      <c r="G36" s="6" t="n">
        <v>17.23</v>
      </c>
      <c r="H36" s="21" t="n">
        <v>13.9967</v>
      </c>
      <c r="I36" s="21" t="n">
        <v>351146.05</v>
      </c>
      <c r="J36" s="21" t="n">
        <v>411657.26</v>
      </c>
      <c r="K36" s="21" t="n">
        <v>2.1535</v>
      </c>
      <c r="L36" s="21" t="n">
        <v>5.6125</v>
      </c>
      <c r="M36" s="21" t="n">
        <v>0</v>
      </c>
      <c r="N36" s="21" t="n">
        <v>4.1733</v>
      </c>
    </row>
    <row r="37">
      <c r="A37" s="22" t="inlineStr">
        <is>
          <t>eap-1_9</t>
        </is>
      </c>
      <c r="B37" s="22" t="inlineStr">
        <is>
          <t>Construcao corpo aterro material 3a categoria</t>
        </is>
      </c>
      <c r="C37" s="22" t="inlineStr">
        <is>
          <t>CPU-TERRA-CORPO-ATERRO-3CAT</t>
        </is>
      </c>
      <c r="D37" s="22" t="inlineStr">
        <is>
          <t>m3</t>
        </is>
      </c>
      <c r="E37" s="23" t="n">
        <v>981153.5</v>
      </c>
      <c r="F37" s="24" t="n">
        <v>5.873</v>
      </c>
      <c r="G37" s="9" t="n">
        <v>17</v>
      </c>
      <c r="H37" s="24" t="n">
        <v>6.8713</v>
      </c>
      <c r="I37" s="24" t="n">
        <v>5762268.39</v>
      </c>
      <c r="J37" s="24" t="n">
        <v>6741771.1</v>
      </c>
      <c r="K37" s="24" t="n">
        <v>0.9499</v>
      </c>
      <c r="L37" s="24" t="n">
        <v>2.8415</v>
      </c>
      <c r="M37" s="24" t="n">
        <v>0</v>
      </c>
      <c r="N37" s="24" t="n">
        <v>2.0815</v>
      </c>
    </row>
    <row r="38">
      <c r="A38" s="19" t="inlineStr">
        <is>
          <t>eap-1_10</t>
        </is>
      </c>
      <c r="B38" s="19" t="inlineStr">
        <is>
          <t>Compactacao camada final aterro sobre rocha</t>
        </is>
      </c>
      <c r="C38" s="19" t="inlineStr">
        <is>
          <t>CPU-TERRA-COMPAC-FINAL-ROCHA</t>
        </is>
      </c>
      <c r="D38" s="19" t="inlineStr">
        <is>
          <t>m3</t>
        </is>
      </c>
      <c r="E38" s="20" t="n">
        <v>24721.17</v>
      </c>
      <c r="F38" s="21" t="n">
        <v>14.4369</v>
      </c>
      <c r="G38" s="6" t="n">
        <v>16.31</v>
      </c>
      <c r="H38" s="21" t="n">
        <v>16.7922</v>
      </c>
      <c r="I38" s="21" t="n">
        <v>356897.06</v>
      </c>
      <c r="J38" s="21" t="n">
        <v>415123.69</v>
      </c>
      <c r="K38" s="21" t="n">
        <v>2.34</v>
      </c>
      <c r="L38" s="21" t="n">
        <v>6.435</v>
      </c>
      <c r="M38" s="21" t="n">
        <v>0</v>
      </c>
      <c r="N38" s="21" t="n">
        <v>5.6619</v>
      </c>
    </row>
  </sheetData>
  <mergeCells count="5">
    <mergeCell ref="A18:N18"/>
    <mergeCell ref="A4:N4"/>
    <mergeCell ref="A26:N26"/>
    <mergeCell ref="A10:N1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30" customWidth="1" min="8" max="8"/>
  </cols>
  <sheetData>
    <row r="1">
      <c r="A1" s="1" t="inlineStr">
        <is>
          <t>CURVA ABC POR INSUMO — ANALISE DE PARETO (80/20) — ADR-058</t>
        </is>
      </c>
    </row>
    <row r="2">
      <c r="A2" s="2" t="inlineStr">
        <is>
          <t>Total custo direto: R$ 12,936,539.03  |  Classe A: 17 itens (78.5%)  |  B: 9  |  C: 13</t>
        </is>
      </c>
    </row>
    <row r="4">
      <c r="A4" s="4" t="inlineStr">
        <is>
          <t>Insumo ID</t>
        </is>
      </c>
      <c r="B4" s="4" t="inlineStr">
        <is>
          <t>Descricao</t>
        </is>
      </c>
      <c r="C4" s="4" t="inlineStr">
        <is>
          <t>Categoria</t>
        </is>
      </c>
      <c r="D4" s="4" t="inlineStr">
        <is>
          <t>Custo Total (R$)</t>
        </is>
      </c>
      <c r="E4" s="4" t="inlineStr">
        <is>
          <t>% Custo</t>
        </is>
      </c>
      <c r="F4" s="4" t="inlineStr">
        <is>
          <t>% Acumulado</t>
        </is>
      </c>
      <c r="G4" s="4" t="inlineStr">
        <is>
          <t>Classe</t>
        </is>
      </c>
      <c r="H4" s="4" t="inlineStr">
        <is>
          <t>Atividades</t>
        </is>
      </c>
    </row>
    <row r="5">
      <c r="A5" s="19" t="inlineStr">
        <is>
          <t>AGIS-FN-MOTOR-BASC</t>
        </is>
      </c>
      <c r="B5" s="19" t="inlineStr">
        <is>
          <t>Motorista de Caminhão Basculante</t>
        </is>
      </c>
      <c r="C5" s="19" t="inlineStr">
        <is>
          <t>MAO_OBRA</t>
        </is>
      </c>
      <c r="D5" s="25" t="n">
        <v>1918220.7</v>
      </c>
      <c r="E5" s="6" t="n">
        <v>14.8279</v>
      </c>
      <c r="F5" s="6" t="n">
        <v>14.8279</v>
      </c>
      <c r="G5" s="26" t="inlineStr">
        <is>
          <t>A</t>
        </is>
      </c>
      <c r="H5" s="19" t="inlineStr">
        <is>
          <t>eap-1_1, eap-1_2, eap-1_3, eap-1_4, eap-1_5</t>
        </is>
      </c>
    </row>
    <row r="6">
      <c r="A6" s="22" t="inlineStr">
        <is>
          <t>AGIS-E0015</t>
        </is>
      </c>
      <c r="B6" s="22" t="inlineStr">
        <is>
          <t>Escavadeira Hidráulica sobre esteira 38T</t>
        </is>
      </c>
      <c r="C6" s="22" t="inlineStr">
        <is>
          <t>EQUIPAMENTO</t>
        </is>
      </c>
      <c r="D6" s="27" t="n">
        <v>1181550.48</v>
      </c>
      <c r="E6" s="9" t="n">
        <v>9.1334</v>
      </c>
      <c r="F6" s="9" t="n">
        <v>23.9614</v>
      </c>
      <c r="G6" s="28" t="inlineStr">
        <is>
          <t>A</t>
        </is>
      </c>
      <c r="H6" s="22" t="inlineStr">
        <is>
          <t>eap-1_1, eap-1_2, eap-1_3, eap-1_4</t>
        </is>
      </c>
    </row>
    <row r="7">
      <c r="A7" s="19" t="inlineStr">
        <is>
          <t>AGIS-E0016</t>
        </is>
      </c>
      <c r="B7" s="19" t="inlineStr">
        <is>
          <t>Escavadeira Hidráulica sobre esteira 48T</t>
        </is>
      </c>
      <c r="C7" s="19" t="inlineStr">
        <is>
          <t>EQUIPAMENTO</t>
        </is>
      </c>
      <c r="D7" s="25" t="n">
        <v>928659.27</v>
      </c>
      <c r="E7" s="6" t="n">
        <v>7.1786</v>
      </c>
      <c r="F7" s="6" t="n">
        <v>31.1399</v>
      </c>
      <c r="G7" s="26" t="inlineStr">
        <is>
          <t>A</t>
        </is>
      </c>
      <c r="H7" s="19" t="inlineStr">
        <is>
          <t>eap-1_5, eap-1_6</t>
        </is>
      </c>
    </row>
    <row r="8">
      <c r="A8" s="22" t="inlineStr">
        <is>
          <t>AGIS-E0015__DIESEL</t>
        </is>
      </c>
      <c r="B8" s="22" t="inlineStr">
        <is>
          <t>Diesel: Escavadeira Hidráulica sobre esteira 38T</t>
        </is>
      </c>
      <c r="C8" s="22" t="inlineStr">
        <is>
          <t>DIESEL</t>
        </is>
      </c>
      <c r="D8" s="27" t="n">
        <v>663554.41</v>
      </c>
      <c r="E8" s="9" t="n">
        <v>5.1293</v>
      </c>
      <c r="F8" s="9" t="n">
        <v>36.2692</v>
      </c>
      <c r="G8" s="28" t="inlineStr">
        <is>
          <t>A</t>
        </is>
      </c>
      <c r="H8" s="22" t="inlineStr">
        <is>
          <t>eap-1_1, eap-1_2, eap-1_3, eap-1_4</t>
        </is>
      </c>
    </row>
    <row r="9">
      <c r="A9" s="19" t="inlineStr">
        <is>
          <t>AGIS-TRAT-EST-40T</t>
        </is>
      </c>
      <c r="B9" s="19" t="inlineStr">
        <is>
          <t>Trator de Esteiras 40T</t>
        </is>
      </c>
      <c r="C9" s="19" t="inlineStr">
        <is>
          <t>EQUIPAMENTO</t>
        </is>
      </c>
      <c r="D9" s="25" t="n">
        <v>632621.4399999999</v>
      </c>
      <c r="E9" s="6" t="n">
        <v>4.8902</v>
      </c>
      <c r="F9" s="6" t="n">
        <v>41.15940000000001</v>
      </c>
      <c r="G9" s="26" t="inlineStr">
        <is>
          <t>A</t>
        </is>
      </c>
      <c r="H9" s="19" t="inlineStr">
        <is>
          <t>eap-1_9</t>
        </is>
      </c>
    </row>
    <row r="10">
      <c r="A10" s="22" t="inlineStr">
        <is>
          <t>AGIS-E0002</t>
        </is>
      </c>
      <c r="B10" s="22" t="inlineStr">
        <is>
          <t>Caminhão Basculante 14 m³</t>
        </is>
      </c>
      <c r="C10" s="22" t="inlineStr">
        <is>
          <t>EQUIPAMENTO</t>
        </is>
      </c>
      <c r="D10" s="27" t="n">
        <v>539181.46</v>
      </c>
      <c r="E10" s="9" t="n">
        <v>4.1679</v>
      </c>
      <c r="F10" s="9" t="n">
        <v>45.3273</v>
      </c>
      <c r="G10" s="28" t="inlineStr">
        <is>
          <t>A</t>
        </is>
      </c>
      <c r="H10" s="22" t="inlineStr">
        <is>
          <t>eap-1_1, eap-1_2, eap-1_3, eap-1_4</t>
        </is>
      </c>
    </row>
    <row r="11">
      <c r="A11" s="19" t="inlineStr">
        <is>
          <t>AGIS-MOTON-140K</t>
        </is>
      </c>
      <c r="B11" s="19" t="inlineStr">
        <is>
          <t>Motoniveladora 140K</t>
        </is>
      </c>
      <c r="C11" s="19" t="inlineStr">
        <is>
          <t>EQUIPAMENTO</t>
        </is>
      </c>
      <c r="D11" s="25" t="n">
        <v>489621.79</v>
      </c>
      <c r="E11" s="6" t="n">
        <v>3.7848</v>
      </c>
      <c r="F11" s="6" t="n">
        <v>49.1121</v>
      </c>
      <c r="G11" s="26" t="inlineStr">
        <is>
          <t>A</t>
        </is>
      </c>
      <c r="H11" s="19" t="inlineStr">
        <is>
          <t>eap-1_7, eap-1_8</t>
        </is>
      </c>
    </row>
    <row r="12">
      <c r="A12" s="22" t="inlineStr">
        <is>
          <t>AGIS-TRAT-EST-20T</t>
        </is>
      </c>
      <c r="B12" s="22" t="inlineStr">
        <is>
          <t>Trator de Esteiras 20T</t>
        </is>
      </c>
      <c r="C12" s="22" t="inlineStr">
        <is>
          <t>EQUIPAMENTO</t>
        </is>
      </c>
      <c r="D12" s="27" t="n">
        <v>482724</v>
      </c>
      <c r="E12" s="9" t="n">
        <v>3.7315</v>
      </c>
      <c r="F12" s="9" t="n">
        <v>52.8436</v>
      </c>
      <c r="G12" s="28" t="inlineStr">
        <is>
          <t>A</t>
        </is>
      </c>
      <c r="H12" s="22" t="inlineStr">
        <is>
          <t>eap-1_0, eap-1_10</t>
        </is>
      </c>
    </row>
    <row r="13">
      <c r="A13" s="19" t="inlineStr">
        <is>
          <t>AGIS-E0004</t>
        </is>
      </c>
      <c r="B13" s="19" t="inlineStr">
        <is>
          <t>Caminhão Basculante 14 m³ - Rochas</t>
        </is>
      </c>
      <c r="C13" s="19" t="inlineStr">
        <is>
          <t>EQUIPAMENTO</t>
        </is>
      </c>
      <c r="D13" s="25" t="n">
        <v>459184.88</v>
      </c>
      <c r="E13" s="6" t="n">
        <v>3.5495</v>
      </c>
      <c r="F13" s="6" t="n">
        <v>56.3931</v>
      </c>
      <c r="G13" s="26" t="inlineStr">
        <is>
          <t>A</t>
        </is>
      </c>
      <c r="H13" s="19" t="inlineStr">
        <is>
          <t>eap-1_5, eap-1_6</t>
        </is>
      </c>
    </row>
    <row r="14">
      <c r="A14" s="22" t="inlineStr">
        <is>
          <t>AGIS-E0016__DIESEL</t>
        </is>
      </c>
      <c r="B14" s="22" t="inlineStr">
        <is>
          <t>Diesel: Escavadeira Hidráulica sobre esteira 48T</t>
        </is>
      </c>
      <c r="C14" s="22" t="inlineStr">
        <is>
          <t>DIESEL</t>
        </is>
      </c>
      <c r="D14" s="27" t="n">
        <v>431222.43</v>
      </c>
      <c r="E14" s="9" t="n">
        <v>3.3334</v>
      </c>
      <c r="F14" s="9" t="n">
        <v>59.7265</v>
      </c>
      <c r="G14" s="28" t="inlineStr">
        <is>
          <t>A</t>
        </is>
      </c>
      <c r="H14" s="22" t="inlineStr">
        <is>
          <t>eap-1_5, eap-1_6</t>
        </is>
      </c>
    </row>
    <row r="15">
      <c r="A15" s="19" t="inlineStr">
        <is>
          <t>AGIS-ROLO-PC-10T</t>
        </is>
      </c>
      <c r="B15" s="19" t="inlineStr">
        <is>
          <t>Rolo Compactador Pé de Carneiro 10T</t>
        </is>
      </c>
      <c r="C15" s="19" t="inlineStr">
        <is>
          <t>EQUIPAMENTO</t>
        </is>
      </c>
      <c r="D15" s="25" t="n">
        <v>423016</v>
      </c>
      <c r="E15" s="6" t="n">
        <v>3.2699</v>
      </c>
      <c r="F15" s="6" t="n">
        <v>62.99639999999999</v>
      </c>
      <c r="G15" s="26" t="inlineStr">
        <is>
          <t>A</t>
        </is>
      </c>
      <c r="H15" s="19" t="inlineStr">
        <is>
          <t>eap-1_10, eap-1_7, eap-1_8, eap-1_9</t>
        </is>
      </c>
    </row>
    <row r="16">
      <c r="A16" s="22" t="inlineStr">
        <is>
          <t>AGIS-FN-OPER-ESCAV</t>
        </is>
      </c>
      <c r="B16" s="22" t="inlineStr">
        <is>
          <t>Operador de Escavadeira</t>
        </is>
      </c>
      <c r="C16" s="22" t="inlineStr">
        <is>
          <t>MAO_OBRA</t>
        </is>
      </c>
      <c r="D16" s="27" t="n">
        <v>367305.4</v>
      </c>
      <c r="E16" s="9" t="n">
        <v>2.8393</v>
      </c>
      <c r="F16" s="9" t="n">
        <v>65.8357</v>
      </c>
      <c r="G16" s="28" t="inlineStr">
        <is>
          <t>A</t>
        </is>
      </c>
      <c r="H16" s="22" t="inlineStr">
        <is>
          <t>eap-1_0, eap-1_1, eap-1_2, eap-1_3, eap-1_4</t>
        </is>
      </c>
    </row>
    <row r="17">
      <c r="A17" s="19" t="inlineStr">
        <is>
          <t>AGIS-ROLO-PC-10T__DIESEL</t>
        </is>
      </c>
      <c r="B17" s="19" t="inlineStr">
        <is>
          <t>Diesel: Rolo Compactador Pé de Carneiro 10T</t>
        </is>
      </c>
      <c r="C17" s="19" t="inlineStr">
        <is>
          <t>DIESEL</t>
        </is>
      </c>
      <c r="D17" s="25" t="n">
        <v>356711.91</v>
      </c>
      <c r="E17" s="6" t="n">
        <v>2.7574</v>
      </c>
      <c r="F17" s="6" t="n">
        <v>68.59309999999999</v>
      </c>
      <c r="G17" s="26" t="inlineStr">
        <is>
          <t>A</t>
        </is>
      </c>
      <c r="H17" s="19" t="inlineStr">
        <is>
          <t>eap-1_10, eap-1_7, eap-1_8, eap-1_9</t>
        </is>
      </c>
    </row>
    <row r="18">
      <c r="A18" s="22" t="inlineStr">
        <is>
          <t>AGIS-ESCAV-22T</t>
        </is>
      </c>
      <c r="B18" s="22" t="inlineStr">
        <is>
          <t>Escavadeira Hidráulica sobre esteira 22T</t>
        </is>
      </c>
      <c r="C18" s="22" t="inlineStr">
        <is>
          <t>EQUIPAMENTO</t>
        </is>
      </c>
      <c r="D18" s="27" t="n">
        <v>331693.12</v>
      </c>
      <c r="E18" s="9" t="n">
        <v>2.564</v>
      </c>
      <c r="F18" s="9" t="n">
        <v>71.1571</v>
      </c>
      <c r="G18" s="28" t="inlineStr">
        <is>
          <t>A</t>
        </is>
      </c>
      <c r="H18" s="22" t="inlineStr">
        <is>
          <t>eap-1_0</t>
        </is>
      </c>
    </row>
    <row r="19">
      <c r="A19" s="19" t="inlineStr">
        <is>
          <t>AGIS-FN-ENCAR</t>
        </is>
      </c>
      <c r="B19" s="19" t="inlineStr">
        <is>
          <t>Encarregado de Frente</t>
        </is>
      </c>
      <c r="C19" s="19" t="inlineStr">
        <is>
          <t>MAO_OBRA</t>
        </is>
      </c>
      <c r="D19" s="25" t="n">
        <v>329466.21</v>
      </c>
      <c r="E19" s="6" t="n">
        <v>2.5468</v>
      </c>
      <c r="F19" s="6" t="n">
        <v>73.7039</v>
      </c>
      <c r="G19" s="26" t="inlineStr">
        <is>
          <t>A</t>
        </is>
      </c>
      <c r="H19" s="19" t="inlineStr">
        <is>
          <t>eap-1_0, eap-1_1, eap-1_2, eap-1_3, eap-1_4</t>
        </is>
      </c>
    </row>
    <row r="20">
      <c r="A20" s="22" t="inlineStr">
        <is>
          <t>AGIS-FN-AJUD</t>
        </is>
      </c>
      <c r="B20" s="22" t="inlineStr">
        <is>
          <t>Ajudante</t>
        </is>
      </c>
      <c r="C20" s="22" t="inlineStr">
        <is>
          <t>MAO_OBRA</t>
        </is>
      </c>
      <c r="D20" s="27" t="n">
        <v>316902.74</v>
      </c>
      <c r="E20" s="9" t="n">
        <v>2.4497</v>
      </c>
      <c r="F20" s="9" t="n">
        <v>76.1536</v>
      </c>
      <c r="G20" s="28" t="inlineStr">
        <is>
          <t>A</t>
        </is>
      </c>
      <c r="H20" s="22" t="inlineStr">
        <is>
          <t>eap-1_0, eap-1_1, eap-1_10, eap-1_2, eap-1_3</t>
        </is>
      </c>
    </row>
    <row r="21">
      <c r="A21" s="19" t="inlineStr">
        <is>
          <t>AGIS-TRAT-EST-20T__DIESEL</t>
        </is>
      </c>
      <c r="B21" s="19" t="inlineStr">
        <is>
          <t>Diesel: Trator de Esteiras 20T</t>
        </is>
      </c>
      <c r="C21" s="19" t="inlineStr">
        <is>
          <t>DIESEL</t>
        </is>
      </c>
      <c r="D21" s="25" t="n">
        <v>305082.49</v>
      </c>
      <c r="E21" s="6" t="n">
        <v>2.3583</v>
      </c>
      <c r="F21" s="6" t="n">
        <v>78.5119</v>
      </c>
      <c r="G21" s="26" t="inlineStr">
        <is>
          <t>A</t>
        </is>
      </c>
      <c r="H21" s="19" t="inlineStr">
        <is>
          <t>eap-1_0, eap-1_10</t>
        </is>
      </c>
    </row>
    <row r="22">
      <c r="A22" s="22" t="inlineStr">
        <is>
          <t>AGIS-FN-OPER-ROLO</t>
        </is>
      </c>
      <c r="B22" s="22" t="inlineStr">
        <is>
          <t>Operador de Rolo Compactador</t>
        </is>
      </c>
      <c r="C22" s="22" t="inlineStr">
        <is>
          <t>MAO_OBRA</t>
        </is>
      </c>
      <c r="D22" s="27" t="n">
        <v>304601.88</v>
      </c>
      <c r="E22" s="9" t="n">
        <v>2.3546</v>
      </c>
      <c r="F22" s="9" t="n">
        <v>80.8665</v>
      </c>
      <c r="G22" s="29" t="inlineStr">
        <is>
          <t>B</t>
        </is>
      </c>
      <c r="H22" s="22" t="inlineStr">
        <is>
          <t>eap-1_10, eap-1_7, eap-1_8, eap-1_9</t>
        </is>
      </c>
    </row>
    <row r="23">
      <c r="A23" s="19" t="inlineStr">
        <is>
          <t>AGIS-TRAT-EST-40T__DIESEL</t>
        </is>
      </c>
      <c r="B23" s="19" t="inlineStr">
        <is>
          <t>Diesel: Trator de Esteiras 40T</t>
        </is>
      </c>
      <c r="C23" s="19" t="inlineStr">
        <is>
          <t>DIESEL</t>
        </is>
      </c>
      <c r="D23" s="25" t="n">
        <v>300388.91</v>
      </c>
      <c r="E23" s="6" t="n">
        <v>2.322</v>
      </c>
      <c r="F23" s="6" t="n">
        <v>83.1885</v>
      </c>
      <c r="G23" s="30" t="inlineStr">
        <is>
          <t>B</t>
        </is>
      </c>
      <c r="H23" s="19" t="inlineStr">
        <is>
          <t>eap-1_9</t>
        </is>
      </c>
    </row>
    <row r="24">
      <c r="A24" s="22" t="inlineStr">
        <is>
          <t>AGIS-TRATOR-PNEU-GRADE</t>
        </is>
      </c>
      <c r="B24" s="22" t="inlineStr">
        <is>
          <t>Trator de Pneus com Grade</t>
        </is>
      </c>
      <c r="C24" s="22" t="inlineStr">
        <is>
          <t>EQUIPAMENTO</t>
        </is>
      </c>
      <c r="D24" s="27" t="n">
        <v>294188.4</v>
      </c>
      <c r="E24" s="9" t="n">
        <v>2.2741</v>
      </c>
      <c r="F24" s="9" t="n">
        <v>85.46259999999999</v>
      </c>
      <c r="G24" s="29" t="inlineStr">
        <is>
          <t>B</t>
        </is>
      </c>
      <c r="H24" s="22" t="inlineStr">
        <is>
          <t>eap-1_7, eap-1_8</t>
        </is>
      </c>
    </row>
    <row r="25">
      <c r="A25" s="19" t="inlineStr">
        <is>
          <t>AGIS-CAM-PIPA-18K</t>
        </is>
      </c>
      <c r="B25" s="19" t="inlineStr">
        <is>
          <t>Caminhão Pipa 18.000 L</t>
        </is>
      </c>
      <c r="C25" s="19" t="inlineStr">
        <is>
          <t>EQUIPAMENTO</t>
        </is>
      </c>
      <c r="D25" s="25" t="n">
        <v>256036</v>
      </c>
      <c r="E25" s="6" t="n">
        <v>1.9792</v>
      </c>
      <c r="F25" s="6" t="n">
        <v>87.4417</v>
      </c>
      <c r="G25" s="30" t="inlineStr">
        <is>
          <t>B</t>
        </is>
      </c>
      <c r="H25" s="19" t="inlineStr">
        <is>
          <t>eap-1_10, eap-1_7, eap-1_8</t>
        </is>
      </c>
    </row>
    <row r="26">
      <c r="A26" s="22" t="inlineStr">
        <is>
          <t>AGIS-MOTON-140K__DIESEL</t>
        </is>
      </c>
      <c r="B26" s="22" t="inlineStr">
        <is>
          <t>Diesel: Motoniveladora 140K</t>
        </is>
      </c>
      <c r="C26" s="22" t="inlineStr">
        <is>
          <t>DIESEL</t>
        </is>
      </c>
      <c r="D26" s="27" t="n">
        <v>245239.42</v>
      </c>
      <c r="E26" s="9" t="n">
        <v>1.8957</v>
      </c>
      <c r="F26" s="9" t="n">
        <v>89.3374</v>
      </c>
      <c r="G26" s="29" t="inlineStr">
        <is>
          <t>B</t>
        </is>
      </c>
      <c r="H26" s="22" t="inlineStr">
        <is>
          <t>eap-1_7, eap-1_8</t>
        </is>
      </c>
    </row>
    <row r="27">
      <c r="A27" s="19" t="inlineStr">
        <is>
          <t>AGIS-ESCAV-22T__DIESEL</t>
        </is>
      </c>
      <c r="B27" s="19" t="inlineStr">
        <is>
          <t>Diesel: Escavadeira Hidráulica sobre esteira 22T</t>
        </is>
      </c>
      <c r="C27" s="19" t="inlineStr">
        <is>
          <t>DIESEL</t>
        </is>
      </c>
      <c r="D27" s="25" t="n">
        <v>219424.74</v>
      </c>
      <c r="E27" s="6" t="n">
        <v>1.6962</v>
      </c>
      <c r="F27" s="6" t="n">
        <v>91.03360000000001</v>
      </c>
      <c r="G27" s="30" t="inlineStr">
        <is>
          <t>B</t>
        </is>
      </c>
      <c r="H27" s="19" t="inlineStr">
        <is>
          <t>eap-1_0</t>
        </is>
      </c>
    </row>
    <row r="28">
      <c r="A28" s="22" t="inlineStr">
        <is>
          <t>AGIS-TRATOR-PNEU-GRADE__DIESEL</t>
        </is>
      </c>
      <c r="B28" s="22" t="inlineStr">
        <is>
          <t>Diesel: Trator de Pneus com Grade</t>
        </is>
      </c>
      <c r="C28" s="22" t="inlineStr">
        <is>
          <t>DIESEL</t>
        </is>
      </c>
      <c r="D28" s="27" t="n">
        <v>200650.39</v>
      </c>
      <c r="E28" s="9" t="n">
        <v>1.551</v>
      </c>
      <c r="F28" s="9" t="n">
        <v>92.58459999999999</v>
      </c>
      <c r="G28" s="29" t="inlineStr">
        <is>
          <t>B</t>
        </is>
      </c>
      <c r="H28" s="22" t="inlineStr">
        <is>
          <t>eap-1_7, eap-1_8</t>
        </is>
      </c>
    </row>
    <row r="29">
      <c r="A29" s="19" t="inlineStr">
        <is>
          <t>AGIS-FN-OPER-TRAT-EST</t>
        </is>
      </c>
      <c r="B29" s="19" t="inlineStr">
        <is>
          <t>Operador de Trator de Esteiras</t>
        </is>
      </c>
      <c r="C29" s="19" t="inlineStr">
        <is>
          <t>MAO_OBRA</t>
        </is>
      </c>
      <c r="D29" s="25" t="n">
        <v>155564.64</v>
      </c>
      <c r="E29" s="6" t="n">
        <v>1.2025</v>
      </c>
      <c r="F29" s="6" t="n">
        <v>93.7872</v>
      </c>
      <c r="G29" s="30" t="inlineStr">
        <is>
          <t>B</t>
        </is>
      </c>
      <c r="H29" s="19" t="inlineStr">
        <is>
          <t>eap-1_0, eap-1_10, eap-1_9</t>
        </is>
      </c>
    </row>
    <row r="30">
      <c r="A30" s="22" t="inlineStr">
        <is>
          <t>AGIS-FN-GREDISTA</t>
        </is>
      </c>
      <c r="B30" s="22" t="inlineStr">
        <is>
          <t>Gredista</t>
        </is>
      </c>
      <c r="C30" s="22" t="inlineStr">
        <is>
          <t>MAO_OBRA</t>
        </is>
      </c>
      <c r="D30" s="27" t="n">
        <v>103816.02</v>
      </c>
      <c r="E30" s="9" t="n">
        <v>0.8024999999999999</v>
      </c>
      <c r="F30" s="9" t="n">
        <v>94.58969999999999</v>
      </c>
      <c r="G30" s="29" t="inlineStr">
        <is>
          <t>B</t>
        </is>
      </c>
      <c r="H30" s="22" t="inlineStr">
        <is>
          <t>eap-1_7, eap-1_8, eap-1_9</t>
        </is>
      </c>
    </row>
    <row r="31">
      <c r="A31" s="19" t="inlineStr">
        <is>
          <t>AGIS-CAM-PIPA-18K__DIESEL</t>
        </is>
      </c>
      <c r="B31" s="19" t="inlineStr">
        <is>
          <t>Diesel: Caminhão Pipa 18.000 L</t>
        </is>
      </c>
      <c r="C31" s="19" t="inlineStr">
        <is>
          <t>DIESEL</t>
        </is>
      </c>
      <c r="D31" s="25" t="n">
        <v>90351.36</v>
      </c>
      <c r="E31" s="6" t="n">
        <v>0.6984</v>
      </c>
      <c r="F31" s="6" t="n">
        <v>95.2881</v>
      </c>
      <c r="G31" s="31" t="inlineStr">
        <is>
          <t>C</t>
        </is>
      </c>
      <c r="H31" s="19" t="inlineStr">
        <is>
          <t>eap-1_10, eap-1_7, eap-1_8</t>
        </is>
      </c>
    </row>
    <row r="32">
      <c r="A32" s="22" t="inlineStr">
        <is>
          <t>AGIS-FN-MOTOR-PIPA</t>
        </is>
      </c>
      <c r="B32" s="22" t="inlineStr">
        <is>
          <t>Motorista de Caminhão Pipa</t>
        </is>
      </c>
      <c r="C32" s="22" t="inlineStr">
        <is>
          <t>MAO_OBRA</t>
        </is>
      </c>
      <c r="D32" s="27" t="n">
        <v>84825.84</v>
      </c>
      <c r="E32" s="9" t="n">
        <v>0.6557000000000001</v>
      </c>
      <c r="F32" s="9" t="n">
        <v>95.9438</v>
      </c>
      <c r="G32" s="32" t="inlineStr">
        <is>
          <t>C</t>
        </is>
      </c>
      <c r="H32" s="22" t="inlineStr">
        <is>
          <t>eap-1_10, eap-1_7, eap-1_8</t>
        </is>
      </c>
    </row>
    <row r="33">
      <c r="A33" s="19" t="inlineStr">
        <is>
          <t>AGIS-FN-OPER-TRAT-PNEU</t>
        </is>
      </c>
      <c r="B33" s="19" t="inlineStr">
        <is>
          <t>Operador de Trator de Pneus</t>
        </is>
      </c>
      <c r="C33" s="19" t="inlineStr">
        <is>
          <t>MAO_OBRA</t>
        </is>
      </c>
      <c r="D33" s="25" t="n">
        <v>82103.56</v>
      </c>
      <c r="E33" s="6" t="n">
        <v>0.6347</v>
      </c>
      <c r="F33" s="6" t="n">
        <v>96.57850000000001</v>
      </c>
      <c r="G33" s="31" t="inlineStr">
        <is>
          <t>C</t>
        </is>
      </c>
      <c r="H33" s="19" t="inlineStr">
        <is>
          <t>eap-1_7, eap-1_8</t>
        </is>
      </c>
    </row>
    <row r="34">
      <c r="A34" s="22" t="inlineStr">
        <is>
          <t>AGIS-FN-OPER-MOTON</t>
        </is>
      </c>
      <c r="B34" s="22" t="inlineStr">
        <is>
          <t>Operador de Motoniveladora</t>
        </is>
      </c>
      <c r="C34" s="22" t="inlineStr">
        <is>
          <t>MAO_OBRA</t>
        </is>
      </c>
      <c r="D34" s="27" t="n">
        <v>82103.56</v>
      </c>
      <c r="E34" s="9" t="n">
        <v>0.6347</v>
      </c>
      <c r="F34" s="9" t="n">
        <v>97.2131</v>
      </c>
      <c r="G34" s="32" t="inlineStr">
        <is>
          <t>C</t>
        </is>
      </c>
      <c r="H34" s="22" t="inlineStr">
        <is>
          <t>eap-1_7, eap-1_8</t>
        </is>
      </c>
    </row>
    <row r="35">
      <c r="A35" s="19" t="inlineStr">
        <is>
          <t>AGIS-FN-OPER-MOTOSSERRA</t>
        </is>
      </c>
      <c r="B35" s="19" t="inlineStr">
        <is>
          <t>Operador de Motosserra</t>
        </is>
      </c>
      <c r="C35" s="19" t="inlineStr">
        <is>
          <t>MAO_OBRA</t>
        </is>
      </c>
      <c r="D35" s="25" t="n">
        <v>73461.08</v>
      </c>
      <c r="E35" s="6" t="n">
        <v>0.5679</v>
      </c>
      <c r="F35" s="6" t="n">
        <v>97.78099999999999</v>
      </c>
      <c r="G35" s="31" t="inlineStr">
        <is>
          <t>C</t>
        </is>
      </c>
      <c r="H35" s="19" t="inlineStr">
        <is>
          <t>eap-1_0</t>
        </is>
      </c>
    </row>
    <row r="36">
      <c r="A36" s="22" t="inlineStr">
        <is>
          <t>AGIS-E0002__DIESEL</t>
        </is>
      </c>
      <c r="B36" s="22" t="inlineStr">
        <is>
          <t>Diesel: Caminhão Basculante 14 m³</t>
        </is>
      </c>
      <c r="C36" s="22" t="inlineStr">
        <is>
          <t>DIESEL</t>
        </is>
      </c>
      <c r="D36" s="27" t="n">
        <v>63803.29</v>
      </c>
      <c r="E36" s="9" t="n">
        <v>0.4932</v>
      </c>
      <c r="F36" s="9" t="n">
        <v>98.27420000000001</v>
      </c>
      <c r="G36" s="32" t="inlineStr">
        <is>
          <t>C</t>
        </is>
      </c>
      <c r="H36" s="22" t="inlineStr">
        <is>
          <t>eap-1_1, eap-1_2, eap-1_3, eap-1_4</t>
        </is>
      </c>
    </row>
    <row r="37">
      <c r="A37" s="19" t="inlineStr">
        <is>
          <t>AGIS-FN-APONTADOR</t>
        </is>
      </c>
      <c r="B37" s="19" t="inlineStr">
        <is>
          <t>Apontador</t>
        </is>
      </c>
      <c r="C37" s="19" t="inlineStr">
        <is>
          <t>MAO_OBRA</t>
        </is>
      </c>
      <c r="D37" s="25" t="n">
        <v>50424.92</v>
      </c>
      <c r="E37" s="6" t="n">
        <v>0.3898</v>
      </c>
      <c r="F37" s="6" t="n">
        <v>98.664</v>
      </c>
      <c r="G37" s="31" t="inlineStr">
        <is>
          <t>C</t>
        </is>
      </c>
      <c r="H37" s="19" t="inlineStr">
        <is>
          <t>eap-1_0</t>
        </is>
      </c>
    </row>
    <row r="38">
      <c r="A38" s="22" t="inlineStr">
        <is>
          <t>AGIS-E0004__DIESEL</t>
        </is>
      </c>
      <c r="B38" s="22" t="inlineStr">
        <is>
          <t>Diesel: Caminhão Basculante 14 m³ - Rochas</t>
        </is>
      </c>
      <c r="C38" s="22" t="inlineStr">
        <is>
          <t>DIESEL</t>
        </is>
      </c>
      <c r="D38" s="27" t="n">
        <v>43122.29</v>
      </c>
      <c r="E38" s="9" t="n">
        <v>0.3333</v>
      </c>
      <c r="F38" s="9" t="n">
        <v>98.9973</v>
      </c>
      <c r="G38" s="32" t="inlineStr">
        <is>
          <t>C</t>
        </is>
      </c>
      <c r="H38" s="22" t="inlineStr">
        <is>
          <t>eap-1_5, eap-1_6</t>
        </is>
      </c>
    </row>
    <row r="39">
      <c r="A39" s="19" t="inlineStr">
        <is>
          <t>AGIS-FN-SINALEIRO</t>
        </is>
      </c>
      <c r="B39" s="19" t="inlineStr">
        <is>
          <t>Sinaleiro</t>
        </is>
      </c>
      <c r="C39" s="19" t="inlineStr">
        <is>
          <t>MAO_OBRA</t>
        </is>
      </c>
      <c r="D39" s="25" t="n">
        <v>33461.78</v>
      </c>
      <c r="E39" s="6" t="n">
        <v>0.2587</v>
      </c>
      <c r="F39" s="6" t="n">
        <v>99.256</v>
      </c>
      <c r="G39" s="31" t="inlineStr">
        <is>
          <t>C</t>
        </is>
      </c>
      <c r="H39" s="19" t="inlineStr">
        <is>
          <t>eap-1_0</t>
        </is>
      </c>
    </row>
    <row r="40">
      <c r="A40" s="22" t="inlineStr">
        <is>
          <t>AGIS-ROLO-LISO__DIESEL</t>
        </is>
      </c>
      <c r="B40" s="22" t="inlineStr">
        <is>
          <t>Diesel: Rolo Compactador Liso</t>
        </is>
      </c>
      <c r="C40" s="22" t="inlineStr">
        <is>
          <t>DIESEL</t>
        </is>
      </c>
      <c r="D40" s="27" t="n">
        <v>28161.47</v>
      </c>
      <c r="E40" s="9" t="n">
        <v>0.2177</v>
      </c>
      <c r="F40" s="9" t="n">
        <v>99.47369999999999</v>
      </c>
      <c r="G40" s="32" t="inlineStr">
        <is>
          <t>C</t>
        </is>
      </c>
      <c r="H40" s="22" t="inlineStr">
        <is>
          <t>eap-1_10</t>
        </is>
      </c>
    </row>
    <row r="41">
      <c r="A41" s="19" t="inlineStr">
        <is>
          <t>AGIS-ROLO-LISO</t>
        </is>
      </c>
      <c r="B41" s="19" t="inlineStr">
        <is>
          <t>Rolo Compactador Liso</t>
        </is>
      </c>
      <c r="C41" s="19" t="inlineStr">
        <is>
          <t>EQUIPAMENTO</t>
        </is>
      </c>
      <c r="D41" s="25" t="n">
        <v>27324</v>
      </c>
      <c r="E41" s="6" t="n">
        <v>0.2112</v>
      </c>
      <c r="F41" s="6" t="n">
        <v>99.6849</v>
      </c>
      <c r="G41" s="31" t="inlineStr">
        <is>
          <t>C</t>
        </is>
      </c>
      <c r="H41" s="19" t="inlineStr">
        <is>
          <t>eap-1_10</t>
        </is>
      </c>
    </row>
    <row r="42">
      <c r="A42" s="22" t="inlineStr">
        <is>
          <t>AGIS-MOTOSSERRA</t>
        </is>
      </c>
      <c r="B42" s="22" t="inlineStr">
        <is>
          <t>Motosserra a Gasolina</t>
        </is>
      </c>
      <c r="C42" s="22" t="inlineStr">
        <is>
          <t>EQUIPAMENTO</t>
        </is>
      </c>
      <c r="D42" s="27" t="n">
        <v>25806</v>
      </c>
      <c r="E42" s="9" t="n">
        <v>0.1995</v>
      </c>
      <c r="F42" s="9" t="n">
        <v>99.8844</v>
      </c>
      <c r="G42" s="32" t="inlineStr">
        <is>
          <t>C</t>
        </is>
      </c>
      <c r="H42" s="22" t="inlineStr">
        <is>
          <t>eap-1_0</t>
        </is>
      </c>
    </row>
    <row r="43">
      <c r="A43" s="19" t="inlineStr">
        <is>
          <t>AGIS-MOTOSSERRA__DIESEL</t>
        </is>
      </c>
      <c r="B43" s="19" t="inlineStr">
        <is>
          <t>Diesel: Motosserra a Gasolina</t>
        </is>
      </c>
      <c r="C43" s="19" t="inlineStr">
        <is>
          <t>DIESEL</t>
        </is>
      </c>
      <c r="D43" s="25" t="n">
        <v>14960.75</v>
      </c>
      <c r="E43" s="6" t="n">
        <v>0.1156</v>
      </c>
      <c r="F43" s="6" t="n">
        <v>100</v>
      </c>
      <c r="G43" s="31" t="inlineStr">
        <is>
          <t>C</t>
        </is>
      </c>
      <c r="H43" s="19" t="inlineStr">
        <is>
          <t>eap-1_0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CURVA S — DESEMBOLSO ACUMULADO PLANEJADO (ADR-058)</t>
        </is>
      </c>
    </row>
    <row r="2">
      <c r="A2" s="2" t="inlineStr">
        <is>
          <t>Total projeto: R$ 64,505,448.17  |  Direto: R$ 47,225,529.25  |  Indireto: R$ 17,279,918.92</t>
        </is>
      </c>
    </row>
    <row r="4">
      <c r="A4" s="4" t="inlineStr">
        <is>
          <t>Semana ISO</t>
        </is>
      </c>
      <c r="B4" s="4" t="inlineStr">
        <is>
          <t>Equip. Unicos</t>
        </is>
      </c>
      <c r="C4" s="4" t="inlineStr">
        <is>
          <t>Equipes Total</t>
        </is>
      </c>
      <c r="D4" s="4" t="inlineStr">
        <is>
          <t>Custo Semana (R$)</t>
        </is>
      </c>
      <c r="E4" s="4" t="inlineStr">
        <is>
          <t>Custo Acum. (R$)</t>
        </is>
      </c>
      <c r="F4" s="4" t="inlineStr">
        <is>
          <t>% Acumulado</t>
        </is>
      </c>
      <c r="G4" s="4" t="inlineStr">
        <is>
          <t>C. Direto</t>
        </is>
      </c>
      <c r="H4" s="4" t="inlineStr">
        <is>
          <t>C. Indireto</t>
        </is>
      </c>
    </row>
    <row r="5">
      <c r="A5" s="19" t="inlineStr">
        <is>
          <t>2026-W23</t>
        </is>
      </c>
      <c r="B5" s="19" t="n">
        <v>3</v>
      </c>
      <c r="C5" s="19" t="n">
        <v>2</v>
      </c>
      <c r="D5" s="25" t="n">
        <v>2366319.1</v>
      </c>
      <c r="E5" s="25" t="n">
        <v>2366319.1</v>
      </c>
      <c r="F5" s="6" t="n">
        <v>3.6684</v>
      </c>
      <c r="G5" s="25" t="n">
        <v>61698.54</v>
      </c>
      <c r="H5" s="25" t="n">
        <v>2304620.56</v>
      </c>
    </row>
    <row r="6">
      <c r="A6" s="22" t="inlineStr">
        <is>
          <t>2026-W24</t>
        </is>
      </c>
      <c r="B6" s="22" t="n">
        <v>3</v>
      </c>
      <c r="C6" s="22" t="n">
        <v>2</v>
      </c>
      <c r="D6" s="27" t="n">
        <v>339018.88</v>
      </c>
      <c r="E6" s="27" t="n">
        <v>2705337.98</v>
      </c>
      <c r="F6" s="9" t="n">
        <v>4.194</v>
      </c>
      <c r="G6" s="27" t="n">
        <v>61698.54</v>
      </c>
      <c r="H6" s="27" t="n">
        <v>277320.34</v>
      </c>
    </row>
    <row r="7">
      <c r="A7" s="19" t="inlineStr">
        <is>
          <t>2026-W25</t>
        </is>
      </c>
      <c r="B7" s="19" t="n">
        <v>7</v>
      </c>
      <c r="C7" s="19" t="n">
        <v>10</v>
      </c>
      <c r="D7" s="25" t="n">
        <v>1201796.6</v>
      </c>
      <c r="E7" s="25" t="n">
        <v>3907134.58</v>
      </c>
      <c r="F7" s="6" t="n">
        <v>6.0571</v>
      </c>
      <c r="G7" s="25" t="n">
        <v>924476.26</v>
      </c>
      <c r="H7" s="25" t="n">
        <v>277320.34</v>
      </c>
    </row>
    <row r="8">
      <c r="A8" s="22" t="inlineStr">
        <is>
          <t>2026-W26</t>
        </is>
      </c>
      <c r="B8" s="22" t="n">
        <v>7</v>
      </c>
      <c r="C8" s="22" t="n">
        <v>10</v>
      </c>
      <c r="D8" s="27" t="n">
        <v>1201796.6</v>
      </c>
      <c r="E8" s="27" t="n">
        <v>5108931.18</v>
      </c>
      <c r="F8" s="9" t="n">
        <v>7.920199999999999</v>
      </c>
      <c r="G8" s="27" t="n">
        <v>924476.26</v>
      </c>
      <c r="H8" s="27" t="n">
        <v>277320.34</v>
      </c>
    </row>
    <row r="9">
      <c r="A9" s="19" t="inlineStr">
        <is>
          <t>2026-W27</t>
        </is>
      </c>
      <c r="B9" s="19" t="n">
        <v>7</v>
      </c>
      <c r="C9" s="19" t="n">
        <v>10</v>
      </c>
      <c r="D9" s="25" t="n">
        <v>1201796.6</v>
      </c>
      <c r="E9" s="25" t="n">
        <v>6310727.78</v>
      </c>
      <c r="F9" s="6" t="n">
        <v>9.783200000000001</v>
      </c>
      <c r="G9" s="25" t="n">
        <v>924476.26</v>
      </c>
      <c r="H9" s="25" t="n">
        <v>277320.34</v>
      </c>
    </row>
    <row r="10">
      <c r="A10" s="22" t="inlineStr">
        <is>
          <t>2026-W28</t>
        </is>
      </c>
      <c r="B10" s="22" t="n">
        <v>7</v>
      </c>
      <c r="C10" s="22" t="n">
        <v>10</v>
      </c>
      <c r="D10" s="27" t="n">
        <v>1201796.6</v>
      </c>
      <c r="E10" s="27" t="n">
        <v>7512524.38</v>
      </c>
      <c r="F10" s="9" t="n">
        <v>11.6463</v>
      </c>
      <c r="G10" s="27" t="n">
        <v>924476.26</v>
      </c>
      <c r="H10" s="27" t="n">
        <v>277320.34</v>
      </c>
    </row>
    <row r="11">
      <c r="A11" s="19" t="inlineStr">
        <is>
          <t>2026-W29</t>
        </is>
      </c>
      <c r="B11" s="19" t="n">
        <v>7</v>
      </c>
      <c r="C11" s="19" t="n">
        <v>10</v>
      </c>
      <c r="D11" s="25" t="n">
        <v>1201796.6</v>
      </c>
      <c r="E11" s="25" t="n">
        <v>8714320.98</v>
      </c>
      <c r="F11" s="6" t="n">
        <v>13.5094</v>
      </c>
      <c r="G11" s="25" t="n">
        <v>924476.26</v>
      </c>
      <c r="H11" s="25" t="n">
        <v>277320.34</v>
      </c>
    </row>
    <row r="12">
      <c r="A12" s="22" t="inlineStr">
        <is>
          <t>2026-W30</t>
        </is>
      </c>
      <c r="B12" s="22" t="n">
        <v>7</v>
      </c>
      <c r="C12" s="22" t="n">
        <v>10</v>
      </c>
      <c r="D12" s="27" t="n">
        <v>1201796.6</v>
      </c>
      <c r="E12" s="27" t="n">
        <v>9916117.58</v>
      </c>
      <c r="F12" s="9" t="n">
        <v>15.3725</v>
      </c>
      <c r="G12" s="27" t="n">
        <v>924476.26</v>
      </c>
      <c r="H12" s="27" t="n">
        <v>277320.34</v>
      </c>
    </row>
    <row r="13">
      <c r="A13" s="19" t="inlineStr">
        <is>
          <t>2026-W31</t>
        </is>
      </c>
      <c r="B13" s="19" t="n">
        <v>7</v>
      </c>
      <c r="C13" s="19" t="n">
        <v>10</v>
      </c>
      <c r="D13" s="25" t="n">
        <v>1201796.6</v>
      </c>
      <c r="E13" s="25" t="n">
        <v>11117914.18</v>
      </c>
      <c r="F13" s="6" t="n">
        <v>17.2356</v>
      </c>
      <c r="G13" s="25" t="n">
        <v>924476.26</v>
      </c>
      <c r="H13" s="25" t="n">
        <v>277320.34</v>
      </c>
    </row>
    <row r="14">
      <c r="A14" s="22" t="inlineStr">
        <is>
          <t>2026-W32</t>
        </is>
      </c>
      <c r="B14" s="22" t="n">
        <v>7</v>
      </c>
      <c r="C14" s="22" t="n">
        <v>10</v>
      </c>
      <c r="D14" s="27" t="n">
        <v>1201796.6</v>
      </c>
      <c r="E14" s="27" t="n">
        <v>12319710.78</v>
      </c>
      <c r="F14" s="9" t="n">
        <v>19.0987</v>
      </c>
      <c r="G14" s="27" t="n">
        <v>924476.26</v>
      </c>
      <c r="H14" s="27" t="n">
        <v>277320.34</v>
      </c>
    </row>
    <row r="15">
      <c r="A15" s="19" t="inlineStr">
        <is>
          <t>2026-W33</t>
        </is>
      </c>
      <c r="B15" s="19" t="n">
        <v>7</v>
      </c>
      <c r="C15" s="19" t="n">
        <v>10</v>
      </c>
      <c r="D15" s="25" t="n">
        <v>1201796.6</v>
      </c>
      <c r="E15" s="25" t="n">
        <v>13521507.38</v>
      </c>
      <c r="F15" s="6" t="n">
        <v>20.9618</v>
      </c>
      <c r="G15" s="25" t="n">
        <v>924476.26</v>
      </c>
      <c r="H15" s="25" t="n">
        <v>277320.34</v>
      </c>
    </row>
    <row r="16">
      <c r="A16" s="22" t="inlineStr">
        <is>
          <t>2026-W34</t>
        </is>
      </c>
      <c r="B16" s="22" t="n">
        <v>7</v>
      </c>
      <c r="C16" s="22" t="n">
        <v>10</v>
      </c>
      <c r="D16" s="27" t="n">
        <v>1201796.6</v>
      </c>
      <c r="E16" s="27" t="n">
        <v>14723303.98</v>
      </c>
      <c r="F16" s="9" t="n">
        <v>22.8249</v>
      </c>
      <c r="G16" s="27" t="n">
        <v>924476.26</v>
      </c>
      <c r="H16" s="27" t="n">
        <v>277320.34</v>
      </c>
    </row>
    <row r="17">
      <c r="A17" s="19" t="inlineStr">
        <is>
          <t>2026-W35</t>
        </is>
      </c>
      <c r="B17" s="19" t="n">
        <v>7</v>
      </c>
      <c r="C17" s="19" t="n">
        <v>11</v>
      </c>
      <c r="D17" s="25" t="n">
        <v>1288908.93</v>
      </c>
      <c r="E17" s="25" t="n">
        <v>16012212.91</v>
      </c>
      <c r="F17" s="6" t="n">
        <v>24.823</v>
      </c>
      <c r="G17" s="25" t="n">
        <v>1011588.59</v>
      </c>
      <c r="H17" s="25" t="n">
        <v>277320.34</v>
      </c>
    </row>
    <row r="18">
      <c r="A18" s="22" t="inlineStr">
        <is>
          <t>2026-W36</t>
        </is>
      </c>
      <c r="B18" s="22" t="n">
        <v>11</v>
      </c>
      <c r="C18" s="22" t="n">
        <v>16</v>
      </c>
      <c r="D18" s="27" t="n">
        <v>1685642</v>
      </c>
      <c r="E18" s="27" t="n">
        <v>17697854.91</v>
      </c>
      <c r="F18" s="9" t="n">
        <v>27.4362</v>
      </c>
      <c r="G18" s="27" t="n">
        <v>1408321.66</v>
      </c>
      <c r="H18" s="27" t="n">
        <v>277320.34</v>
      </c>
    </row>
    <row r="19">
      <c r="A19" s="19" t="inlineStr">
        <is>
          <t>2026-W37</t>
        </is>
      </c>
      <c r="B19" s="19" t="n">
        <v>11</v>
      </c>
      <c r="C19" s="19" t="n">
        <v>16</v>
      </c>
      <c r="D19" s="25" t="n">
        <v>1685642</v>
      </c>
      <c r="E19" s="25" t="n">
        <v>19383496.91</v>
      </c>
      <c r="F19" s="6" t="n">
        <v>30.0494</v>
      </c>
      <c r="G19" s="25" t="n">
        <v>1408321.66</v>
      </c>
      <c r="H19" s="25" t="n">
        <v>277320.34</v>
      </c>
    </row>
    <row r="20">
      <c r="A20" s="22" t="inlineStr">
        <is>
          <t>2026-W38</t>
        </is>
      </c>
      <c r="B20" s="22" t="n">
        <v>11</v>
      </c>
      <c r="C20" s="22" t="n">
        <v>16</v>
      </c>
      <c r="D20" s="27" t="n">
        <v>1685642</v>
      </c>
      <c r="E20" s="27" t="n">
        <v>21069138.91</v>
      </c>
      <c r="F20" s="9" t="n">
        <v>32.6626</v>
      </c>
      <c r="G20" s="27" t="n">
        <v>1408321.66</v>
      </c>
      <c r="H20" s="27" t="n">
        <v>277320.34</v>
      </c>
    </row>
    <row r="21">
      <c r="A21" s="19" t="inlineStr">
        <is>
          <t>2026-W39</t>
        </is>
      </c>
      <c r="B21" s="19" t="n">
        <v>11</v>
      </c>
      <c r="C21" s="19" t="n">
        <v>16</v>
      </c>
      <c r="D21" s="25" t="n">
        <v>1681275.5</v>
      </c>
      <c r="E21" s="25" t="n">
        <v>22750414.41</v>
      </c>
      <c r="F21" s="6" t="n">
        <v>35.269</v>
      </c>
      <c r="G21" s="25" t="n">
        <v>1403955.16</v>
      </c>
      <c r="H21" s="25" t="n">
        <v>277320.34</v>
      </c>
    </row>
    <row r="22">
      <c r="A22" s="22" t="inlineStr">
        <is>
          <t>2026-W40</t>
        </is>
      </c>
      <c r="B22" s="22" t="n">
        <v>11</v>
      </c>
      <c r="C22" s="22" t="n">
        <v>13</v>
      </c>
      <c r="D22" s="27" t="n">
        <v>1374048.07</v>
      </c>
      <c r="E22" s="27" t="n">
        <v>24124462.48</v>
      </c>
      <c r="F22" s="9" t="n">
        <v>37.3991</v>
      </c>
      <c r="G22" s="27" t="n">
        <v>1096727.73</v>
      </c>
      <c r="H22" s="27" t="n">
        <v>277320.34</v>
      </c>
    </row>
    <row r="23">
      <c r="A23" s="19" t="inlineStr">
        <is>
          <t>2026-W41</t>
        </is>
      </c>
      <c r="B23" s="19" t="n">
        <v>11</v>
      </c>
      <c r="C23" s="19" t="n">
        <v>13</v>
      </c>
      <c r="D23" s="25" t="n">
        <v>1360064.9</v>
      </c>
      <c r="E23" s="25" t="n">
        <v>25484527.38</v>
      </c>
      <c r="F23" s="6" t="n">
        <v>39.5076</v>
      </c>
      <c r="G23" s="25" t="n">
        <v>1082744.56</v>
      </c>
      <c r="H23" s="25" t="n">
        <v>277320.34</v>
      </c>
    </row>
    <row r="24">
      <c r="A24" s="22" t="inlineStr">
        <is>
          <t>2026-W42</t>
        </is>
      </c>
      <c r="B24" s="22" t="n">
        <v>11</v>
      </c>
      <c r="C24" s="22" t="n">
        <v>13</v>
      </c>
      <c r="D24" s="27" t="n">
        <v>1360064.9</v>
      </c>
      <c r="E24" s="27" t="n">
        <v>26844592.28</v>
      </c>
      <c r="F24" s="9" t="n">
        <v>41.616</v>
      </c>
      <c r="G24" s="27" t="n">
        <v>1082744.56</v>
      </c>
      <c r="H24" s="27" t="n">
        <v>277320.34</v>
      </c>
    </row>
    <row r="25">
      <c r="A25" s="19" t="inlineStr">
        <is>
          <t>2026-W43</t>
        </is>
      </c>
      <c r="B25" s="19" t="n">
        <v>11</v>
      </c>
      <c r="C25" s="19" t="n">
        <v>13</v>
      </c>
      <c r="D25" s="25" t="n">
        <v>1360064.9</v>
      </c>
      <c r="E25" s="25" t="n">
        <v>28204657.18</v>
      </c>
      <c r="F25" s="6" t="n">
        <v>43.7245</v>
      </c>
      <c r="G25" s="25" t="n">
        <v>1082744.56</v>
      </c>
      <c r="H25" s="25" t="n">
        <v>277320.34</v>
      </c>
    </row>
    <row r="26">
      <c r="A26" s="22" t="inlineStr">
        <is>
          <t>2026-W44</t>
        </is>
      </c>
      <c r="B26" s="22" t="n">
        <v>12</v>
      </c>
      <c r="C26" s="22" t="n">
        <v>16</v>
      </c>
      <c r="D26" s="27" t="n">
        <v>1535327.19</v>
      </c>
      <c r="E26" s="27" t="n">
        <v>29739984.37</v>
      </c>
      <c r="F26" s="9" t="n">
        <v>46.1046</v>
      </c>
      <c r="G26" s="27" t="n">
        <v>1258006.85</v>
      </c>
      <c r="H26" s="27" t="n">
        <v>277320.34</v>
      </c>
    </row>
    <row r="27">
      <c r="A27" s="19" t="inlineStr">
        <is>
          <t>2026-W45</t>
        </is>
      </c>
      <c r="B27" s="19" t="n">
        <v>12</v>
      </c>
      <c r="C27" s="19" t="n">
        <v>15</v>
      </c>
      <c r="D27" s="25" t="n">
        <v>1450599.26</v>
      </c>
      <c r="E27" s="25" t="n">
        <v>31190583.63</v>
      </c>
      <c r="F27" s="6" t="n">
        <v>48.3534</v>
      </c>
      <c r="G27" s="25" t="n">
        <v>1173278.92</v>
      </c>
      <c r="H27" s="25" t="n">
        <v>277320.34</v>
      </c>
    </row>
    <row r="28">
      <c r="A28" s="22" t="inlineStr">
        <is>
          <t>2026-W46</t>
        </is>
      </c>
      <c r="B28" s="22" t="n">
        <v>12</v>
      </c>
      <c r="C28" s="22" t="n">
        <v>15</v>
      </c>
      <c r="D28" s="27" t="n">
        <v>1450599.26</v>
      </c>
      <c r="E28" s="27" t="n">
        <v>32641182.89</v>
      </c>
      <c r="F28" s="9" t="n">
        <v>50.6022</v>
      </c>
      <c r="G28" s="27" t="n">
        <v>1173278.92</v>
      </c>
      <c r="H28" s="27" t="n">
        <v>277320.34</v>
      </c>
    </row>
    <row r="29">
      <c r="A29" s="19" t="inlineStr">
        <is>
          <t>2026-W47</t>
        </is>
      </c>
      <c r="B29" s="19" t="n">
        <v>12</v>
      </c>
      <c r="C29" s="19" t="n">
        <v>15</v>
      </c>
      <c r="D29" s="25" t="n">
        <v>1450599.26</v>
      </c>
      <c r="E29" s="25" t="n">
        <v>34091782.15</v>
      </c>
      <c r="F29" s="6" t="n">
        <v>52.85100000000001</v>
      </c>
      <c r="G29" s="25" t="n">
        <v>1173278.92</v>
      </c>
      <c r="H29" s="25" t="n">
        <v>277320.34</v>
      </c>
    </row>
    <row r="30">
      <c r="A30" s="22" t="inlineStr">
        <is>
          <t>2026-W48</t>
        </is>
      </c>
      <c r="B30" s="22" t="n">
        <v>12</v>
      </c>
      <c r="C30" s="22" t="n">
        <v>15</v>
      </c>
      <c r="D30" s="27" t="n">
        <v>1450599.26</v>
      </c>
      <c r="E30" s="27" t="n">
        <v>35542381.41</v>
      </c>
      <c r="F30" s="9" t="n">
        <v>55.0998</v>
      </c>
      <c r="G30" s="27" t="n">
        <v>1173278.92</v>
      </c>
      <c r="H30" s="27" t="n">
        <v>277320.34</v>
      </c>
    </row>
    <row r="31">
      <c r="A31" s="19" t="inlineStr">
        <is>
          <t>2026-W49</t>
        </is>
      </c>
      <c r="B31" s="19" t="n">
        <v>12</v>
      </c>
      <c r="C31" s="19" t="n">
        <v>15</v>
      </c>
      <c r="D31" s="25" t="n">
        <v>1450599.26</v>
      </c>
      <c r="E31" s="25" t="n">
        <v>36992980.67</v>
      </c>
      <c r="F31" s="6" t="n">
        <v>57.3486</v>
      </c>
      <c r="G31" s="25" t="n">
        <v>1173278.92</v>
      </c>
      <c r="H31" s="25" t="n">
        <v>277320.34</v>
      </c>
    </row>
    <row r="32">
      <c r="A32" s="22" t="inlineStr">
        <is>
          <t>2026-W50</t>
        </is>
      </c>
      <c r="B32" s="22" t="n">
        <v>12</v>
      </c>
      <c r="C32" s="22" t="n">
        <v>15</v>
      </c>
      <c r="D32" s="27" t="n">
        <v>1450599.26</v>
      </c>
      <c r="E32" s="27" t="n">
        <v>38443579.93</v>
      </c>
      <c r="F32" s="9" t="n">
        <v>59.5974</v>
      </c>
      <c r="G32" s="27" t="n">
        <v>1173278.92</v>
      </c>
      <c r="H32" s="27" t="n">
        <v>277320.34</v>
      </c>
    </row>
    <row r="33">
      <c r="A33" s="19" t="inlineStr">
        <is>
          <t>2026-W51</t>
        </is>
      </c>
      <c r="B33" s="19" t="n">
        <v>12</v>
      </c>
      <c r="C33" s="19" t="n">
        <v>15</v>
      </c>
      <c r="D33" s="25" t="n">
        <v>1450599.26</v>
      </c>
      <c r="E33" s="25" t="n">
        <v>39894179.19</v>
      </c>
      <c r="F33" s="6" t="n">
        <v>61.8462</v>
      </c>
      <c r="G33" s="25" t="n">
        <v>1173278.92</v>
      </c>
      <c r="H33" s="25" t="n">
        <v>277320.34</v>
      </c>
    </row>
    <row r="34">
      <c r="A34" s="22" t="inlineStr">
        <is>
          <t>2026-W52</t>
        </is>
      </c>
      <c r="B34" s="22" t="n">
        <v>12</v>
      </c>
      <c r="C34" s="22" t="n">
        <v>15</v>
      </c>
      <c r="D34" s="27" t="n">
        <v>1450599.26</v>
      </c>
      <c r="E34" s="27" t="n">
        <v>41344778.45</v>
      </c>
      <c r="F34" s="9" t="n">
        <v>64.095</v>
      </c>
      <c r="G34" s="27" t="n">
        <v>1173278.92</v>
      </c>
      <c r="H34" s="27" t="n">
        <v>277320.34</v>
      </c>
    </row>
    <row r="35">
      <c r="A35" s="19" t="inlineStr">
        <is>
          <t>2026-W53</t>
        </is>
      </c>
      <c r="B35" s="19" t="n">
        <v>12</v>
      </c>
      <c r="C35" s="19" t="n">
        <v>15</v>
      </c>
      <c r="D35" s="25" t="n">
        <v>1450599.26</v>
      </c>
      <c r="E35" s="25" t="n">
        <v>42795377.71</v>
      </c>
      <c r="F35" s="6" t="n">
        <v>66.3438</v>
      </c>
      <c r="G35" s="25" t="n">
        <v>1173278.92</v>
      </c>
      <c r="H35" s="25" t="n">
        <v>277320.34</v>
      </c>
    </row>
    <row r="36">
      <c r="A36" s="22" t="inlineStr">
        <is>
          <t>2027-W01</t>
        </is>
      </c>
      <c r="B36" s="22" t="n">
        <v>12</v>
      </c>
      <c r="C36" s="22" t="n">
        <v>15</v>
      </c>
      <c r="D36" s="27" t="n">
        <v>1426079.11</v>
      </c>
      <c r="E36" s="27" t="n">
        <v>44221456.82</v>
      </c>
      <c r="F36" s="9" t="n">
        <v>68.55459999999999</v>
      </c>
      <c r="G36" s="27" t="n">
        <v>1148758.77</v>
      </c>
      <c r="H36" s="27" t="n">
        <v>277320.34</v>
      </c>
    </row>
    <row r="37">
      <c r="A37" s="19" t="inlineStr">
        <is>
          <t>2027-W02</t>
        </is>
      </c>
      <c r="B37" s="19" t="n">
        <v>12</v>
      </c>
      <c r="C37" s="19" t="n">
        <v>15</v>
      </c>
      <c r="D37" s="25" t="n">
        <v>1426079.11</v>
      </c>
      <c r="E37" s="25" t="n">
        <v>45647535.93</v>
      </c>
      <c r="F37" s="6" t="n">
        <v>70.7654</v>
      </c>
      <c r="G37" s="25" t="n">
        <v>1148758.77</v>
      </c>
      <c r="H37" s="25" t="n">
        <v>277320.34</v>
      </c>
    </row>
    <row r="38">
      <c r="A38" s="22" t="inlineStr">
        <is>
          <t>2027-W03</t>
        </is>
      </c>
      <c r="B38" s="22" t="n">
        <v>12</v>
      </c>
      <c r="C38" s="22" t="n">
        <v>15</v>
      </c>
      <c r="D38" s="27" t="n">
        <v>1426079.11</v>
      </c>
      <c r="E38" s="27" t="n">
        <v>47073615.04</v>
      </c>
      <c r="F38" s="9" t="n">
        <v>72.97620000000001</v>
      </c>
      <c r="G38" s="27" t="n">
        <v>1148758.77</v>
      </c>
      <c r="H38" s="27" t="n">
        <v>277320.34</v>
      </c>
    </row>
    <row r="39">
      <c r="A39" s="19" t="inlineStr">
        <is>
          <t>2027-W04</t>
        </is>
      </c>
      <c r="B39" s="19" t="n">
        <v>9</v>
      </c>
      <c r="C39" s="19" t="n">
        <v>13</v>
      </c>
      <c r="D39" s="25" t="n">
        <v>1367336.68</v>
      </c>
      <c r="E39" s="25" t="n">
        <v>48440951.72</v>
      </c>
      <c r="F39" s="6" t="n">
        <v>75.0959</v>
      </c>
      <c r="G39" s="25" t="n">
        <v>1090016.34</v>
      </c>
      <c r="H39" s="25" t="n">
        <v>277320.34</v>
      </c>
    </row>
    <row r="40">
      <c r="A40" s="22" t="inlineStr">
        <is>
          <t>2027-W05</t>
        </is>
      </c>
      <c r="B40" s="22" t="n">
        <v>9</v>
      </c>
      <c r="C40" s="22" t="n">
        <v>13</v>
      </c>
      <c r="D40" s="27" t="n">
        <v>1354882.71</v>
      </c>
      <c r="E40" s="27" t="n">
        <v>49795834.43</v>
      </c>
      <c r="F40" s="9" t="n">
        <v>77.19629999999999</v>
      </c>
      <c r="G40" s="27" t="n">
        <v>1077562.37</v>
      </c>
      <c r="H40" s="27" t="n">
        <v>277320.34</v>
      </c>
    </row>
    <row r="41">
      <c r="A41" s="19" t="inlineStr">
        <is>
          <t>2027-W06</t>
        </is>
      </c>
      <c r="B41" s="19" t="n">
        <v>7</v>
      </c>
      <c r="C41" s="19" t="n">
        <v>10</v>
      </c>
      <c r="D41" s="25" t="n">
        <v>981587.29</v>
      </c>
      <c r="E41" s="25" t="n">
        <v>50777421.72</v>
      </c>
      <c r="F41" s="6" t="n">
        <v>78.718</v>
      </c>
      <c r="G41" s="25" t="n">
        <v>704266.95</v>
      </c>
      <c r="H41" s="25" t="n">
        <v>277320.34</v>
      </c>
    </row>
    <row r="42">
      <c r="A42" s="22" t="inlineStr">
        <is>
          <t>2027-W07</t>
        </is>
      </c>
      <c r="B42" s="22" t="n">
        <v>7</v>
      </c>
      <c r="C42" s="22" t="n">
        <v>10</v>
      </c>
      <c r="D42" s="27" t="n">
        <v>981587.29</v>
      </c>
      <c r="E42" s="27" t="n">
        <v>51759009.01</v>
      </c>
      <c r="F42" s="9" t="n">
        <v>80.2397</v>
      </c>
      <c r="G42" s="27" t="n">
        <v>704266.95</v>
      </c>
      <c r="H42" s="27" t="n">
        <v>277320.34</v>
      </c>
    </row>
    <row r="43">
      <c r="A43" s="19" t="inlineStr">
        <is>
          <t>2027-W08</t>
        </is>
      </c>
      <c r="B43" s="19" t="n">
        <v>7</v>
      </c>
      <c r="C43" s="19" t="n">
        <v>10</v>
      </c>
      <c r="D43" s="25" t="n">
        <v>981587.29</v>
      </c>
      <c r="E43" s="25" t="n">
        <v>52740596.3</v>
      </c>
      <c r="F43" s="6" t="n">
        <v>81.7615</v>
      </c>
      <c r="G43" s="25" t="n">
        <v>704266.95</v>
      </c>
      <c r="H43" s="25" t="n">
        <v>277320.34</v>
      </c>
    </row>
    <row r="44">
      <c r="A44" s="22" t="inlineStr">
        <is>
          <t>2027-W09</t>
        </is>
      </c>
      <c r="B44" s="22" t="n">
        <v>7</v>
      </c>
      <c r="C44" s="22" t="n">
        <v>10</v>
      </c>
      <c r="D44" s="27" t="n">
        <v>949193.8</v>
      </c>
      <c r="E44" s="27" t="n">
        <v>53689790.1</v>
      </c>
      <c r="F44" s="9" t="n">
        <v>83.233</v>
      </c>
      <c r="G44" s="27" t="n">
        <v>671873.46</v>
      </c>
      <c r="H44" s="27" t="n">
        <v>277320.34</v>
      </c>
    </row>
    <row r="45">
      <c r="A45" s="19" t="inlineStr">
        <is>
          <t>2027-W10</t>
        </is>
      </c>
      <c r="B45" s="19" t="n">
        <v>7</v>
      </c>
      <c r="C45" s="19" t="n">
        <v>10</v>
      </c>
      <c r="D45" s="25" t="n">
        <v>949193.8</v>
      </c>
      <c r="E45" s="25" t="n">
        <v>54638983.9</v>
      </c>
      <c r="F45" s="6" t="n">
        <v>84.70440000000001</v>
      </c>
      <c r="G45" s="25" t="n">
        <v>671873.46</v>
      </c>
      <c r="H45" s="25" t="n">
        <v>277320.34</v>
      </c>
    </row>
    <row r="46">
      <c r="A46" s="22" t="inlineStr">
        <is>
          <t>2027-W11</t>
        </is>
      </c>
      <c r="B46" s="22" t="n">
        <v>7</v>
      </c>
      <c r="C46" s="22" t="n">
        <v>10</v>
      </c>
      <c r="D46" s="27" t="n">
        <v>938561.96</v>
      </c>
      <c r="E46" s="27" t="n">
        <v>55577545.86</v>
      </c>
      <c r="F46" s="9" t="n">
        <v>86.15949999999999</v>
      </c>
      <c r="G46" s="27" t="n">
        <v>661241.62</v>
      </c>
      <c r="H46" s="27" t="n">
        <v>277320.34</v>
      </c>
    </row>
    <row r="47">
      <c r="A47" s="19" t="inlineStr">
        <is>
          <t>2027-W12</t>
        </is>
      </c>
      <c r="B47" s="19" t="n">
        <v>7</v>
      </c>
      <c r="C47" s="19" t="n">
        <v>10</v>
      </c>
      <c r="D47" s="25" t="n">
        <v>938561.96</v>
      </c>
      <c r="E47" s="25" t="n">
        <v>56516107.82</v>
      </c>
      <c r="F47" s="6" t="n">
        <v>87.61449999999999</v>
      </c>
      <c r="G47" s="25" t="n">
        <v>661241.62</v>
      </c>
      <c r="H47" s="25" t="n">
        <v>277320.34</v>
      </c>
    </row>
    <row r="48">
      <c r="A48" s="22" t="inlineStr">
        <is>
          <t>2027-W13</t>
        </is>
      </c>
      <c r="B48" s="22" t="n">
        <v>7</v>
      </c>
      <c r="C48" s="22" t="n">
        <v>10</v>
      </c>
      <c r="D48" s="27" t="n">
        <v>992121.33</v>
      </c>
      <c r="E48" s="27" t="n">
        <v>57508229.15</v>
      </c>
      <c r="F48" s="9" t="n">
        <v>89.1525</v>
      </c>
      <c r="G48" s="27" t="n">
        <v>714800.99</v>
      </c>
      <c r="H48" s="27" t="n">
        <v>277320.34</v>
      </c>
    </row>
    <row r="49">
      <c r="A49" s="19" t="inlineStr">
        <is>
          <t>2027-W14</t>
        </is>
      </c>
      <c r="B49" s="19" t="n">
        <v>7</v>
      </c>
      <c r="C49" s="19" t="n">
        <v>9</v>
      </c>
      <c r="D49" s="25" t="n">
        <v>897394.0699999999</v>
      </c>
      <c r="E49" s="25" t="n">
        <v>58405623.22</v>
      </c>
      <c r="F49" s="6" t="n">
        <v>90.5437</v>
      </c>
      <c r="G49" s="25" t="n">
        <v>620073.73</v>
      </c>
      <c r="H49" s="25" t="n">
        <v>277320.34</v>
      </c>
    </row>
    <row r="50">
      <c r="A50" s="22" t="inlineStr">
        <is>
          <t>2027-W15</t>
        </is>
      </c>
      <c r="B50" s="22" t="n">
        <v>7</v>
      </c>
      <c r="C50" s="22" t="n">
        <v>9</v>
      </c>
      <c r="D50" s="27" t="n">
        <v>897394.0699999999</v>
      </c>
      <c r="E50" s="27" t="n">
        <v>59303017.29</v>
      </c>
      <c r="F50" s="9" t="n">
        <v>91.9349</v>
      </c>
      <c r="G50" s="27" t="n">
        <v>620073.73</v>
      </c>
      <c r="H50" s="27" t="n">
        <v>277320.34</v>
      </c>
    </row>
    <row r="51">
      <c r="A51" s="19" t="inlineStr">
        <is>
          <t>2027-W16</t>
        </is>
      </c>
      <c r="B51" s="19" t="n">
        <v>7</v>
      </c>
      <c r="C51" s="19" t="n">
        <v>9</v>
      </c>
      <c r="D51" s="25" t="n">
        <v>897394.0699999999</v>
      </c>
      <c r="E51" s="25" t="n">
        <v>60200411.36</v>
      </c>
      <c r="F51" s="6" t="n">
        <v>93.3261</v>
      </c>
      <c r="G51" s="25" t="n">
        <v>620073.73</v>
      </c>
      <c r="H51" s="25" t="n">
        <v>277320.34</v>
      </c>
    </row>
    <row r="52">
      <c r="A52" s="22" t="inlineStr">
        <is>
          <t>2027-W17</t>
        </is>
      </c>
      <c r="B52" s="22" t="n">
        <v>7</v>
      </c>
      <c r="C52" s="22" t="n">
        <v>9</v>
      </c>
      <c r="D52" s="27" t="n">
        <v>892375.33</v>
      </c>
      <c r="E52" s="27" t="n">
        <v>61092786.69</v>
      </c>
      <c r="F52" s="9" t="n">
        <v>94.70950000000001</v>
      </c>
      <c r="G52" s="27" t="n">
        <v>615054.99</v>
      </c>
      <c r="H52" s="27" t="n">
        <v>277320.34</v>
      </c>
    </row>
    <row r="53">
      <c r="A53" s="19" t="inlineStr">
        <is>
          <t>2027-W18</t>
        </is>
      </c>
      <c r="B53" s="19" t="n">
        <v>5</v>
      </c>
      <c r="C53" s="19" t="n">
        <v>4</v>
      </c>
      <c r="D53" s="25" t="n">
        <v>522232.06</v>
      </c>
      <c r="E53" s="25" t="n">
        <v>61615018.75</v>
      </c>
      <c r="F53" s="6" t="n">
        <v>95.51909999999999</v>
      </c>
      <c r="G53" s="25" t="n">
        <v>244911.72</v>
      </c>
      <c r="H53" s="25" t="n">
        <v>277320.34</v>
      </c>
    </row>
    <row r="54">
      <c r="A54" s="22" t="inlineStr">
        <is>
          <t>2027-W19</t>
        </is>
      </c>
      <c r="B54" s="22" t="n">
        <v>7</v>
      </c>
      <c r="C54" s="22" t="n">
        <v>5</v>
      </c>
      <c r="D54" s="27" t="n">
        <v>585282.65</v>
      </c>
      <c r="E54" s="27" t="n">
        <v>62200301.4</v>
      </c>
      <c r="F54" s="9" t="n">
        <v>96.4264</v>
      </c>
      <c r="G54" s="27" t="n">
        <v>307962.31</v>
      </c>
      <c r="H54" s="27" t="n">
        <v>277320.34</v>
      </c>
    </row>
    <row r="55">
      <c r="A55" s="19" t="inlineStr">
        <is>
          <t>2027-W20</t>
        </is>
      </c>
      <c r="B55" s="19" t="n">
        <v>7</v>
      </c>
      <c r="C55" s="19" t="n">
        <v>5</v>
      </c>
      <c r="D55" s="25" t="n">
        <v>585282.65</v>
      </c>
      <c r="E55" s="25" t="n">
        <v>62785584.05</v>
      </c>
      <c r="F55" s="6" t="n">
        <v>97.3338</v>
      </c>
      <c r="G55" s="25" t="n">
        <v>307962.31</v>
      </c>
      <c r="H55" s="25" t="n">
        <v>277320.34</v>
      </c>
    </row>
    <row r="56">
      <c r="A56" s="22" t="inlineStr">
        <is>
          <t>2027-W21</t>
        </is>
      </c>
      <c r="B56" s="22" t="n">
        <v>5</v>
      </c>
      <c r="C56" s="22" t="n">
        <v>4</v>
      </c>
      <c r="D56" s="27" t="n">
        <v>523135.39</v>
      </c>
      <c r="E56" s="27" t="n">
        <v>63308719.44</v>
      </c>
      <c r="F56" s="9" t="n">
        <v>98.1448</v>
      </c>
      <c r="G56" s="27" t="n">
        <v>245815.05</v>
      </c>
      <c r="H56" s="27" t="n">
        <v>277320.34</v>
      </c>
    </row>
    <row r="57">
      <c r="A57" s="19" t="inlineStr">
        <is>
          <t>2027-W22</t>
        </is>
      </c>
      <c r="B57" s="19" t="n">
        <v>5</v>
      </c>
      <c r="C57" s="19" t="n">
        <v>4</v>
      </c>
      <c r="D57" s="25" t="n">
        <v>523135.39</v>
      </c>
      <c r="E57" s="25" t="n">
        <v>63831854.83</v>
      </c>
      <c r="F57" s="6" t="n">
        <v>98.95580000000001</v>
      </c>
      <c r="G57" s="25" t="n">
        <v>245815.05</v>
      </c>
      <c r="H57" s="25" t="n">
        <v>277320.34</v>
      </c>
    </row>
    <row r="58">
      <c r="A58" s="22" t="inlineStr">
        <is>
          <t>2027-W23</t>
        </is>
      </c>
      <c r="B58" s="22" t="n">
        <v>4</v>
      </c>
      <c r="C58" s="22" t="n">
        <v>1</v>
      </c>
      <c r="D58" s="27" t="n">
        <v>343133.55</v>
      </c>
      <c r="E58" s="27" t="n">
        <v>64174988.38</v>
      </c>
      <c r="F58" s="9" t="n">
        <v>99.4877</v>
      </c>
      <c r="G58" s="27" t="n">
        <v>65813.21000000001</v>
      </c>
      <c r="H58" s="27" t="n">
        <v>277320.34</v>
      </c>
    </row>
    <row r="59">
      <c r="A59" s="19" t="inlineStr">
        <is>
          <t>2027-W24</t>
        </is>
      </c>
      <c r="B59" s="19" t="n">
        <v>4</v>
      </c>
      <c r="C59" s="19" t="n">
        <v>1</v>
      </c>
      <c r="D59" s="25" t="n">
        <v>330459.75</v>
      </c>
      <c r="E59" s="25" t="n">
        <v>64505448.13</v>
      </c>
      <c r="F59" s="6" t="n">
        <v>100</v>
      </c>
      <c r="G59" s="25" t="n">
        <v>53139.41</v>
      </c>
      <c r="H59" s="25" t="n">
        <v>277320.34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CAMPANHAS DE PERMANENCIA DE EQUIPAMENTOS (ADR-059)</t>
        </is>
      </c>
    </row>
    <row r="2">
      <c r="A2" s="2" t="inlineStr">
        <is>
          <t>Campanhas: 0  |  Economia vs. dismissal: R$ 0.00  |  Standby total: R$ 0.00  |  Economia liquida: R$ 0.00</t>
        </is>
      </c>
    </row>
    <row r="4">
      <c r="A4" s="4" t="inlineStr">
        <is>
          <t>Instancia</t>
        </is>
      </c>
      <c r="B4" s="4" t="inlineStr">
        <is>
          <t>Tipo Equip.</t>
        </is>
      </c>
      <c r="C4" s="4" t="inlineStr">
        <is>
          <t>Sem. Entrada</t>
        </is>
      </c>
      <c r="D4" s="4" t="inlineStr">
        <is>
          <t>Sem. Saida</t>
        </is>
      </c>
      <c r="E4" s="4" t="inlineStr">
        <is>
          <t>Sem. Ativas</t>
        </is>
      </c>
      <c r="F4" s="4" t="inlineStr">
        <is>
          <t>Sem. Standby</t>
        </is>
      </c>
      <c r="G4" s="4" t="inlineStr">
        <is>
          <t>Mob (R$)</t>
        </is>
      </c>
      <c r="H4" s="4" t="inlineStr">
        <is>
          <t>Demob (R$)</t>
        </is>
      </c>
      <c r="I4" s="4" t="inlineStr">
        <is>
          <t>Standby Total</t>
        </is>
      </c>
      <c r="J4" s="4" t="inlineStr">
        <is>
          <t>Custo Camp.</t>
        </is>
      </c>
      <c r="K4" s="4" t="inlineStr">
        <is>
          <t>Economia</t>
        </is>
      </c>
      <c r="L4" s="4" t="inlineStr">
        <is>
          <t>Atividades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COMPOSICAO DO PRECO DE VENDA — CUBO 4D (CATEGORIA x ATIVIDADE x TEMPO x BDI)</t>
        </is>
      </c>
    </row>
    <row r="2">
      <c r="A2" s="2" t="inlineStr">
        <is>
          <t>Regime BDI: pre_reforma  |  Total PV: R$ 59,931,222.93  |  Custo Direto: 80.9%  |  Margem: 6.4%  |  Tributos: 8.0%</t>
        </is>
      </c>
    </row>
    <row r="4">
      <c r="A4" s="3" t="inlineStr">
        <is>
          <t>1. SUMARIO POR COMPONENTE BDI (total do projeto)</t>
        </is>
      </c>
    </row>
    <row r="5">
      <c r="A5" s="4" t="inlineStr">
        <is>
          <t>Componente</t>
        </is>
      </c>
      <c r="B5" s="4" t="inlineStr">
        <is>
          <t>R$ Total</t>
        </is>
      </c>
      <c r="C5" s="4" t="inlineStr">
        <is>
          <t>% PV</t>
        </is>
      </c>
    </row>
    <row r="6">
      <c r="A6" s="11" t="inlineStr">
        <is>
          <t>Custo Direto</t>
        </is>
      </c>
      <c r="B6" s="25" t="n">
        <v>48468761.78</v>
      </c>
      <c r="C6" s="33" t="n">
        <v>80.87</v>
      </c>
    </row>
    <row r="7">
      <c r="A7" s="14" t="inlineStr">
        <is>
          <t>Overhead Total</t>
        </is>
      </c>
      <c r="B7" s="27" t="n">
        <v>2850563.32</v>
      </c>
      <c r="C7" s="34" t="n">
        <v>4.76</v>
      </c>
    </row>
    <row r="8">
      <c r="A8" s="11" t="inlineStr">
        <is>
          <t>Margem L</t>
        </is>
      </c>
      <c r="B8" s="25" t="n">
        <v>3839131.87</v>
      </c>
      <c r="C8" s="33" t="n">
        <v>6.41</v>
      </c>
    </row>
    <row r="9">
      <c r="A9" s="14" t="inlineStr">
        <is>
          <t>Tributos Total</t>
        </is>
      </c>
      <c r="B9" s="27" t="n">
        <v>4772765.96</v>
      </c>
      <c r="C9" s="34" t="n">
        <v>7.96</v>
      </c>
    </row>
    <row r="11">
      <c r="A11" s="3" t="inlineStr">
        <is>
          <t>2. EXPOSICAO TRIBUTARIA POR TIPO (projeto inteiro)</t>
        </is>
      </c>
    </row>
    <row r="12">
      <c r="A12" s="4" t="inlineStr">
        <is>
          <t>Tributo</t>
        </is>
      </c>
      <c r="B12" s="4" t="inlineStr">
        <is>
          <t>R$ Total</t>
        </is>
      </c>
      <c r="C12" s="4" t="inlineStr">
        <is>
          <t>% PV</t>
        </is>
      </c>
    </row>
    <row r="13">
      <c r="A13" s="35" t="inlineStr">
        <is>
          <t>ISS</t>
        </is>
      </c>
      <c r="B13" s="25" t="n">
        <v>2452603.139999995</v>
      </c>
      <c r="C13" s="33" t="n">
        <v>4.09</v>
      </c>
    </row>
    <row r="14">
      <c r="A14" s="36" t="inlineStr">
        <is>
          <t>IR</t>
        </is>
      </c>
      <c r="B14" s="27" t="n">
        <v>1344027.220000005</v>
      </c>
      <c r="C14" s="34" t="n">
        <v>2.24</v>
      </c>
    </row>
    <row r="15">
      <c r="A15" s="35" t="inlineStr">
        <is>
          <t>CSSL</t>
        </is>
      </c>
      <c r="B15" s="25" t="n">
        <v>976135.599999993</v>
      </c>
      <c r="C15" s="33" t="n">
        <v>1.63</v>
      </c>
    </row>
    <row r="17">
      <c r="A17" s="3" t="inlineStr">
        <is>
          <t>3. MARGEM (L) POR ATIVIDADE</t>
        </is>
      </c>
    </row>
    <row r="18">
      <c r="A18" s="4" t="inlineStr">
        <is>
          <t>Atividade</t>
        </is>
      </c>
      <c r="B18" s="4" t="inlineStr">
        <is>
          <t>Margem (R$)</t>
        </is>
      </c>
      <c r="C18" s="4" t="inlineStr">
        <is>
          <t>% Margem Total</t>
        </is>
      </c>
    </row>
    <row r="19">
      <c r="A19" s="37" t="inlineStr">
        <is>
          <t>eap-1_6</t>
        </is>
      </c>
      <c r="B19" s="25" t="n">
        <v>792971.4599999994</v>
      </c>
      <c r="C19" s="33" t="n">
        <v>20.65</v>
      </c>
    </row>
    <row r="20">
      <c r="A20" s="38" t="inlineStr">
        <is>
          <t>eap-1_7</t>
        </is>
      </c>
      <c r="B20" s="27" t="n">
        <v>785195.9500000004</v>
      </c>
      <c r="C20" s="34" t="n">
        <v>20.45</v>
      </c>
    </row>
    <row r="21">
      <c r="A21" s="37" t="inlineStr">
        <is>
          <t>eap-1_9</t>
        </is>
      </c>
      <c r="B21" s="25" t="n">
        <v>746326.0799999995</v>
      </c>
      <c r="C21" s="33" t="n">
        <v>19.44</v>
      </c>
    </row>
    <row r="22">
      <c r="A22" s="38" t="inlineStr">
        <is>
          <t>eap-1_4</t>
        </is>
      </c>
      <c r="B22" s="27" t="n">
        <v>537881.7600000004</v>
      </c>
      <c r="C22" s="34" t="n">
        <v>14.01</v>
      </c>
    </row>
    <row r="23">
      <c r="A23" s="37" t="inlineStr">
        <is>
          <t>eap-1_5</t>
        </is>
      </c>
      <c r="B23" s="25" t="n">
        <v>349840.35</v>
      </c>
      <c r="C23" s="33" t="n">
        <v>9.109999999999999</v>
      </c>
    </row>
    <row r="24">
      <c r="A24" s="38" t="inlineStr">
        <is>
          <t>eap-1_2</t>
        </is>
      </c>
      <c r="B24" s="27" t="n">
        <v>242942.6600000002</v>
      </c>
      <c r="C24" s="34" t="n">
        <v>6.33</v>
      </c>
    </row>
    <row r="25">
      <c r="A25" s="37" t="inlineStr">
        <is>
          <t>eap-1_0</t>
        </is>
      </c>
      <c r="B25" s="25" t="n">
        <v>158585.18</v>
      </c>
      <c r="C25" s="33" t="n">
        <v>4.13</v>
      </c>
    </row>
    <row r="26">
      <c r="A26" s="38" t="inlineStr">
        <is>
          <t>eap-1_3</t>
        </is>
      </c>
      <c r="B26" s="27" t="n">
        <v>96542.87999999999</v>
      </c>
      <c r="C26" s="34" t="n">
        <v>2.51</v>
      </c>
    </row>
    <row r="27">
      <c r="A27" s="37" t="inlineStr">
        <is>
          <t>eap-1_1</t>
        </is>
      </c>
      <c r="B27" s="25" t="n">
        <v>78368.60000000001</v>
      </c>
      <c r="C27" s="33" t="n">
        <v>2.04</v>
      </c>
    </row>
    <row r="28">
      <c r="A28" s="38" t="inlineStr">
        <is>
          <t>eap-1_10</t>
        </is>
      </c>
      <c r="B28" s="27" t="n">
        <v>33651.30000000001</v>
      </c>
      <c r="C28" s="34" t="n">
        <v>0.88</v>
      </c>
    </row>
    <row r="29">
      <c r="A29" s="37" t="inlineStr">
        <is>
          <t>eap-1_8</t>
        </is>
      </c>
      <c r="B29" s="25" t="n">
        <v>16825.65</v>
      </c>
      <c r="C29" s="33" t="n">
        <v>0.44</v>
      </c>
    </row>
    <row r="31">
      <c r="A31" s="3" t="inlineStr">
        <is>
          <t>4. COMPOSICAO DO PRECO POR SEMANA (custo | overhead | margem | tributos)</t>
        </is>
      </c>
    </row>
    <row r="32">
      <c r="A32" s="4" t="inlineStr">
        <is>
          <t>Semana ISO</t>
        </is>
      </c>
      <c r="B32" s="4" t="inlineStr">
        <is>
          <t>Custo Direto</t>
        </is>
      </c>
      <c r="C32" s="4" t="inlineStr">
        <is>
          <t>Overhead</t>
        </is>
      </c>
      <c r="D32" s="4" t="inlineStr">
        <is>
          <t>Margem L</t>
        </is>
      </c>
      <c r="E32" s="4" t="inlineStr">
        <is>
          <t>Tributos</t>
        </is>
      </c>
      <c r="F32" s="4" t="inlineStr">
        <is>
          <t>Total Semana</t>
        </is>
      </c>
      <c r="G32" s="4" t="inlineStr">
        <is>
          <t>% Acumulado</t>
        </is>
      </c>
      <c r="H32" s="4" t="inlineStr">
        <is>
          <t>% Semana/Total</t>
        </is>
      </c>
    </row>
    <row r="33">
      <c r="A33" s="19" t="inlineStr">
        <is>
          <t>2026-W23</t>
        </is>
      </c>
      <c r="B33" s="25" t="n">
        <v>62006.96</v>
      </c>
      <c r="C33" s="25" t="n">
        <v>3275.98</v>
      </c>
      <c r="D33" s="39" t="n">
        <v>4664.27</v>
      </c>
      <c r="E33" s="40" t="n">
        <v>5485.03</v>
      </c>
      <c r="F33" s="25" t="n">
        <v>75432.24000000001</v>
      </c>
      <c r="G33" s="6" t="n">
        <v>0.13</v>
      </c>
      <c r="H33" s="6" t="n">
        <v>0.13</v>
      </c>
    </row>
    <row r="34">
      <c r="A34" s="22" t="inlineStr">
        <is>
          <t>2026-W24</t>
        </is>
      </c>
      <c r="B34" s="27" t="n">
        <v>62006.96</v>
      </c>
      <c r="C34" s="27" t="n">
        <v>3275.98</v>
      </c>
      <c r="D34" s="41" t="n">
        <v>4664.27</v>
      </c>
      <c r="E34" s="42" t="n">
        <v>5485.03</v>
      </c>
      <c r="F34" s="27" t="n">
        <v>75432.24000000001</v>
      </c>
      <c r="G34" s="9" t="n">
        <v>0.25</v>
      </c>
      <c r="H34" s="9" t="n">
        <v>0.13</v>
      </c>
    </row>
    <row r="35">
      <c r="A35" s="19" t="inlineStr">
        <is>
          <t>2026-W25</t>
        </is>
      </c>
      <c r="B35" s="25" t="n">
        <v>811901.15</v>
      </c>
      <c r="C35" s="25" t="n">
        <v>48938.04</v>
      </c>
      <c r="D35" s="39" t="n">
        <v>65101.49</v>
      </c>
      <c r="E35" s="40" t="n">
        <v>81938.12</v>
      </c>
      <c r="F35" s="25" t="n">
        <v>1007878.8</v>
      </c>
      <c r="G35" s="6" t="n">
        <v>1.93</v>
      </c>
      <c r="H35" s="6" t="n">
        <v>1.68</v>
      </c>
    </row>
    <row r="36">
      <c r="A36" s="22" t="inlineStr">
        <is>
          <t>2026-W26</t>
        </is>
      </c>
      <c r="B36" s="27" t="n">
        <v>811901.15</v>
      </c>
      <c r="C36" s="27" t="n">
        <v>48938.04</v>
      </c>
      <c r="D36" s="41" t="n">
        <v>65101.49</v>
      </c>
      <c r="E36" s="42" t="n">
        <v>81938.12</v>
      </c>
      <c r="F36" s="27" t="n">
        <v>1007878.8</v>
      </c>
      <c r="G36" s="9" t="n">
        <v>3.62</v>
      </c>
      <c r="H36" s="9" t="n">
        <v>1.68</v>
      </c>
    </row>
    <row r="37">
      <c r="A37" s="19" t="inlineStr">
        <is>
          <t>2026-W27</t>
        </is>
      </c>
      <c r="B37" s="25" t="n">
        <v>811901.15</v>
      </c>
      <c r="C37" s="25" t="n">
        <v>48938.04</v>
      </c>
      <c r="D37" s="39" t="n">
        <v>65101.49</v>
      </c>
      <c r="E37" s="40" t="n">
        <v>81938.12</v>
      </c>
      <c r="F37" s="25" t="n">
        <v>1007878.8</v>
      </c>
      <c r="G37" s="6" t="n">
        <v>5.3</v>
      </c>
      <c r="H37" s="6" t="n">
        <v>1.68</v>
      </c>
    </row>
    <row r="38">
      <c r="A38" s="22" t="inlineStr">
        <is>
          <t>2026-W28</t>
        </is>
      </c>
      <c r="B38" s="27" t="n">
        <v>811901.15</v>
      </c>
      <c r="C38" s="27" t="n">
        <v>48938.04</v>
      </c>
      <c r="D38" s="41" t="n">
        <v>65101.49</v>
      </c>
      <c r="E38" s="42" t="n">
        <v>81938.12</v>
      </c>
      <c r="F38" s="27" t="n">
        <v>1007878.8</v>
      </c>
      <c r="G38" s="9" t="n">
        <v>6.98</v>
      </c>
      <c r="H38" s="9" t="n">
        <v>1.68</v>
      </c>
    </row>
    <row r="39">
      <c r="A39" s="19" t="inlineStr">
        <is>
          <t>2026-W29</t>
        </is>
      </c>
      <c r="B39" s="25" t="n">
        <v>811901.15</v>
      </c>
      <c r="C39" s="25" t="n">
        <v>48938.04</v>
      </c>
      <c r="D39" s="39" t="n">
        <v>65101.49</v>
      </c>
      <c r="E39" s="40" t="n">
        <v>81938.12</v>
      </c>
      <c r="F39" s="25" t="n">
        <v>1007878.8</v>
      </c>
      <c r="G39" s="6" t="n">
        <v>8.66</v>
      </c>
      <c r="H39" s="6" t="n">
        <v>1.68</v>
      </c>
    </row>
    <row r="40">
      <c r="A40" s="22" t="inlineStr">
        <is>
          <t>2026-W30</t>
        </is>
      </c>
      <c r="B40" s="27" t="n">
        <v>811901.15</v>
      </c>
      <c r="C40" s="27" t="n">
        <v>48938.04</v>
      </c>
      <c r="D40" s="41" t="n">
        <v>65101.49</v>
      </c>
      <c r="E40" s="42" t="n">
        <v>81938.12</v>
      </c>
      <c r="F40" s="27" t="n">
        <v>1007878.8</v>
      </c>
      <c r="G40" s="9" t="n">
        <v>10.34</v>
      </c>
      <c r="H40" s="9" t="n">
        <v>1.68</v>
      </c>
    </row>
    <row r="41">
      <c r="A41" s="19" t="inlineStr">
        <is>
          <t>2026-W31</t>
        </is>
      </c>
      <c r="B41" s="25" t="n">
        <v>811901.15</v>
      </c>
      <c r="C41" s="25" t="n">
        <v>48938.04</v>
      </c>
      <c r="D41" s="39" t="n">
        <v>65101.49</v>
      </c>
      <c r="E41" s="40" t="n">
        <v>81938.12</v>
      </c>
      <c r="F41" s="25" t="n">
        <v>1007878.8</v>
      </c>
      <c r="G41" s="6" t="n">
        <v>12.02</v>
      </c>
      <c r="H41" s="6" t="n">
        <v>1.68</v>
      </c>
    </row>
    <row r="42">
      <c r="A42" s="22" t="inlineStr">
        <is>
          <t>2026-W32</t>
        </is>
      </c>
      <c r="B42" s="27" t="n">
        <v>811901.15</v>
      </c>
      <c r="C42" s="27" t="n">
        <v>48938.04</v>
      </c>
      <c r="D42" s="41" t="n">
        <v>65101.49</v>
      </c>
      <c r="E42" s="42" t="n">
        <v>81938.12</v>
      </c>
      <c r="F42" s="27" t="n">
        <v>1007878.8</v>
      </c>
      <c r="G42" s="9" t="n">
        <v>13.71</v>
      </c>
      <c r="H42" s="9" t="n">
        <v>1.68</v>
      </c>
    </row>
    <row r="43">
      <c r="A43" s="19" t="inlineStr">
        <is>
          <t>2026-W33</t>
        </is>
      </c>
      <c r="B43" s="25" t="n">
        <v>811901.15</v>
      </c>
      <c r="C43" s="25" t="n">
        <v>48938.04</v>
      </c>
      <c r="D43" s="39" t="n">
        <v>65101.49</v>
      </c>
      <c r="E43" s="40" t="n">
        <v>81938.12</v>
      </c>
      <c r="F43" s="25" t="n">
        <v>1007878.8</v>
      </c>
      <c r="G43" s="6" t="n">
        <v>15.39</v>
      </c>
      <c r="H43" s="6" t="n">
        <v>1.68</v>
      </c>
    </row>
    <row r="44">
      <c r="A44" s="22" t="inlineStr">
        <is>
          <t>2026-W34</t>
        </is>
      </c>
      <c r="B44" s="27" t="n">
        <v>811901.15</v>
      </c>
      <c r="C44" s="27" t="n">
        <v>48938.04</v>
      </c>
      <c r="D44" s="41" t="n">
        <v>65101.49</v>
      </c>
      <c r="E44" s="42" t="n">
        <v>81938.12</v>
      </c>
      <c r="F44" s="27" t="n">
        <v>1007878.8</v>
      </c>
      <c r="G44" s="9" t="n">
        <v>17.07</v>
      </c>
      <c r="H44" s="9" t="n">
        <v>1.68</v>
      </c>
    </row>
    <row r="45">
      <c r="A45" s="19" t="inlineStr">
        <is>
          <t>2026-W35</t>
        </is>
      </c>
      <c r="B45" s="25" t="n">
        <v>906364.41</v>
      </c>
      <c r="C45" s="25" t="n">
        <v>55025.51</v>
      </c>
      <c r="D45" s="39" t="n">
        <v>72938.35000000001</v>
      </c>
      <c r="E45" s="40" t="n">
        <v>92130.52</v>
      </c>
      <c r="F45" s="25" t="n">
        <v>1126458.79</v>
      </c>
      <c r="G45" s="6" t="n">
        <v>18.95</v>
      </c>
      <c r="H45" s="6" t="n">
        <v>1.88</v>
      </c>
    </row>
    <row r="46">
      <c r="A46" s="22" t="inlineStr">
        <is>
          <t>2026-W36</t>
        </is>
      </c>
      <c r="B46" s="27" t="n">
        <v>1301448.04</v>
      </c>
      <c r="C46" s="27" t="n">
        <v>76726.95</v>
      </c>
      <c r="D46" s="41" t="n">
        <v>103209.38</v>
      </c>
      <c r="E46" s="42" t="n">
        <v>128465.75</v>
      </c>
      <c r="F46" s="27" t="n">
        <v>1609850.12</v>
      </c>
      <c r="G46" s="9" t="n">
        <v>21.63</v>
      </c>
      <c r="H46" s="9" t="n">
        <v>2.69</v>
      </c>
    </row>
    <row r="47">
      <c r="A47" s="19" t="inlineStr">
        <is>
          <t>2026-W37</t>
        </is>
      </c>
      <c r="B47" s="25" t="n">
        <v>1301448.04</v>
      </c>
      <c r="C47" s="25" t="n">
        <v>76726.95</v>
      </c>
      <c r="D47" s="39" t="n">
        <v>103209.38</v>
      </c>
      <c r="E47" s="40" t="n">
        <v>128465.75</v>
      </c>
      <c r="F47" s="25" t="n">
        <v>1609850.12</v>
      </c>
      <c r="G47" s="6" t="n">
        <v>24.32</v>
      </c>
      <c r="H47" s="6" t="n">
        <v>2.69</v>
      </c>
    </row>
    <row r="48">
      <c r="A48" s="22" t="inlineStr">
        <is>
          <t>2026-W38</t>
        </is>
      </c>
      <c r="B48" s="27" t="n">
        <v>1301448.04</v>
      </c>
      <c r="C48" s="27" t="n">
        <v>76726.95</v>
      </c>
      <c r="D48" s="41" t="n">
        <v>103209.38</v>
      </c>
      <c r="E48" s="42" t="n">
        <v>128465.75</v>
      </c>
      <c r="F48" s="27" t="n">
        <v>1609850.12</v>
      </c>
      <c r="G48" s="9" t="n">
        <v>27.01</v>
      </c>
      <c r="H48" s="9" t="n">
        <v>2.69</v>
      </c>
    </row>
    <row r="49">
      <c r="A49" s="19" t="inlineStr">
        <is>
          <t>2026-W39</t>
        </is>
      </c>
      <c r="B49" s="25" t="n">
        <v>1301448.04</v>
      </c>
      <c r="C49" s="25" t="n">
        <v>76726.95</v>
      </c>
      <c r="D49" s="39" t="n">
        <v>103209.38</v>
      </c>
      <c r="E49" s="40" t="n">
        <v>128465.75</v>
      </c>
      <c r="F49" s="25" t="n">
        <v>1609850.12</v>
      </c>
      <c r="G49" s="6" t="n">
        <v>29.69</v>
      </c>
      <c r="H49" s="6" t="n">
        <v>2.69</v>
      </c>
    </row>
    <row r="50">
      <c r="A50" s="22" t="inlineStr">
        <is>
          <t>2026-W40</t>
        </is>
      </c>
      <c r="B50" s="27" t="n">
        <v>1010019.88</v>
      </c>
      <c r="C50" s="27" t="n">
        <v>59228.65</v>
      </c>
      <c r="D50" s="41" t="n">
        <v>79886.69</v>
      </c>
      <c r="E50" s="42" t="n">
        <v>99167.92</v>
      </c>
      <c r="F50" s="27" t="n">
        <v>1248303.14</v>
      </c>
      <c r="G50" s="9" t="n">
        <v>31.78</v>
      </c>
      <c r="H50" s="9" t="n">
        <v>2.08</v>
      </c>
    </row>
    <row r="51">
      <c r="A51" s="19" t="inlineStr">
        <is>
          <t>2026-W41</t>
        </is>
      </c>
      <c r="B51" s="25" t="n">
        <v>1010019.88</v>
      </c>
      <c r="C51" s="25" t="n">
        <v>59228.65</v>
      </c>
      <c r="D51" s="39" t="n">
        <v>79886.69</v>
      </c>
      <c r="E51" s="40" t="n">
        <v>99167.92</v>
      </c>
      <c r="F51" s="25" t="n">
        <v>1248303.14</v>
      </c>
      <c r="G51" s="6" t="n">
        <v>33.86</v>
      </c>
      <c r="H51" s="6" t="n">
        <v>2.08</v>
      </c>
    </row>
    <row r="52">
      <c r="A52" s="22" t="inlineStr">
        <is>
          <t>2026-W42</t>
        </is>
      </c>
      <c r="B52" s="27" t="n">
        <v>1010019.88</v>
      </c>
      <c r="C52" s="27" t="n">
        <v>59228.65</v>
      </c>
      <c r="D52" s="41" t="n">
        <v>79886.69</v>
      </c>
      <c r="E52" s="42" t="n">
        <v>99167.92</v>
      </c>
      <c r="F52" s="27" t="n">
        <v>1248303.14</v>
      </c>
      <c r="G52" s="9" t="n">
        <v>35.94</v>
      </c>
      <c r="H52" s="9" t="n">
        <v>2.08</v>
      </c>
    </row>
    <row r="53">
      <c r="A53" s="19" t="inlineStr">
        <is>
          <t>2026-W43</t>
        </is>
      </c>
      <c r="B53" s="25" t="n">
        <v>1010019.88</v>
      </c>
      <c r="C53" s="25" t="n">
        <v>59228.65</v>
      </c>
      <c r="D53" s="39" t="n">
        <v>79886.69</v>
      </c>
      <c r="E53" s="40" t="n">
        <v>99167.92</v>
      </c>
      <c r="F53" s="25" t="n">
        <v>1248303.14</v>
      </c>
      <c r="G53" s="6" t="n">
        <v>38.02</v>
      </c>
      <c r="H53" s="6" t="n">
        <v>2.08</v>
      </c>
    </row>
    <row r="54">
      <c r="A54" s="22" t="inlineStr">
        <is>
          <t>2026-W44</t>
        </is>
      </c>
      <c r="B54" s="27" t="n">
        <v>1301448.04</v>
      </c>
      <c r="C54" s="27" t="n">
        <v>76726.95</v>
      </c>
      <c r="D54" s="41" t="n">
        <v>103209.38</v>
      </c>
      <c r="E54" s="42" t="n">
        <v>128465.75</v>
      </c>
      <c r="F54" s="27" t="n">
        <v>1609850.12</v>
      </c>
      <c r="G54" s="9" t="n">
        <v>40.71</v>
      </c>
      <c r="H54" s="9" t="n">
        <v>2.69</v>
      </c>
    </row>
    <row r="55">
      <c r="A55" s="19" t="inlineStr">
        <is>
          <t>2026-W45</t>
        </is>
      </c>
      <c r="B55" s="25" t="n">
        <v>1206984.77</v>
      </c>
      <c r="C55" s="25" t="n">
        <v>70639.48</v>
      </c>
      <c r="D55" s="39" t="n">
        <v>95372.52</v>
      </c>
      <c r="E55" s="40" t="n">
        <v>118273.35</v>
      </c>
      <c r="F55" s="25" t="n">
        <v>1491270.12</v>
      </c>
      <c r="G55" s="6" t="n">
        <v>43.2</v>
      </c>
      <c r="H55" s="6" t="n">
        <v>2.49</v>
      </c>
    </row>
    <row r="56">
      <c r="A56" s="22" t="inlineStr">
        <is>
          <t>2026-W46</t>
        </is>
      </c>
      <c r="B56" s="27" t="n">
        <v>1206984.77</v>
      </c>
      <c r="C56" s="27" t="n">
        <v>70639.48</v>
      </c>
      <c r="D56" s="41" t="n">
        <v>95372.52</v>
      </c>
      <c r="E56" s="42" t="n">
        <v>118273.35</v>
      </c>
      <c r="F56" s="27" t="n">
        <v>1491270.12</v>
      </c>
      <c r="G56" s="9" t="n">
        <v>45.69</v>
      </c>
      <c r="H56" s="9" t="n">
        <v>2.49</v>
      </c>
    </row>
    <row r="57">
      <c r="A57" s="19" t="inlineStr">
        <is>
          <t>2026-W47</t>
        </is>
      </c>
      <c r="B57" s="25" t="n">
        <v>1206984.77</v>
      </c>
      <c r="C57" s="25" t="n">
        <v>70639.48</v>
      </c>
      <c r="D57" s="39" t="n">
        <v>95372.52</v>
      </c>
      <c r="E57" s="40" t="n">
        <v>118273.35</v>
      </c>
      <c r="F57" s="25" t="n">
        <v>1491270.12</v>
      </c>
      <c r="G57" s="6" t="n">
        <v>48.18</v>
      </c>
      <c r="H57" s="6" t="n">
        <v>2.49</v>
      </c>
    </row>
    <row r="58">
      <c r="A58" s="22" t="inlineStr">
        <is>
          <t>2026-W48</t>
        </is>
      </c>
      <c r="B58" s="27" t="n">
        <v>1206984.77</v>
      </c>
      <c r="C58" s="27" t="n">
        <v>70639.48</v>
      </c>
      <c r="D58" s="41" t="n">
        <v>95372.52</v>
      </c>
      <c r="E58" s="42" t="n">
        <v>118273.35</v>
      </c>
      <c r="F58" s="27" t="n">
        <v>1491270.12</v>
      </c>
      <c r="G58" s="9" t="n">
        <v>50.66</v>
      </c>
      <c r="H58" s="9" t="n">
        <v>2.49</v>
      </c>
    </row>
    <row r="59">
      <c r="A59" s="19" t="inlineStr">
        <is>
          <t>2026-W49</t>
        </is>
      </c>
      <c r="B59" s="25" t="n">
        <v>1206984.77</v>
      </c>
      <c r="C59" s="25" t="n">
        <v>70639.48</v>
      </c>
      <c r="D59" s="39" t="n">
        <v>95372.52</v>
      </c>
      <c r="E59" s="40" t="n">
        <v>118273.35</v>
      </c>
      <c r="F59" s="25" t="n">
        <v>1491270.12</v>
      </c>
      <c r="G59" s="6" t="n">
        <v>53.15</v>
      </c>
      <c r="H59" s="6" t="n">
        <v>2.49</v>
      </c>
    </row>
    <row r="60">
      <c r="A60" s="22" t="inlineStr">
        <is>
          <t>2026-W50</t>
        </is>
      </c>
      <c r="B60" s="27" t="n">
        <v>1206984.77</v>
      </c>
      <c r="C60" s="27" t="n">
        <v>70639.48</v>
      </c>
      <c r="D60" s="41" t="n">
        <v>95372.52</v>
      </c>
      <c r="E60" s="42" t="n">
        <v>118273.35</v>
      </c>
      <c r="F60" s="27" t="n">
        <v>1491270.12</v>
      </c>
      <c r="G60" s="9" t="n">
        <v>55.64</v>
      </c>
      <c r="H60" s="9" t="n">
        <v>2.49</v>
      </c>
    </row>
    <row r="61">
      <c r="A61" s="19" t="inlineStr">
        <is>
          <t>2026-W51</t>
        </is>
      </c>
      <c r="B61" s="25" t="n">
        <v>1206984.77</v>
      </c>
      <c r="C61" s="25" t="n">
        <v>70639.48</v>
      </c>
      <c r="D61" s="39" t="n">
        <v>95372.52</v>
      </c>
      <c r="E61" s="40" t="n">
        <v>118273.35</v>
      </c>
      <c r="F61" s="25" t="n">
        <v>1491270.12</v>
      </c>
      <c r="G61" s="6" t="n">
        <v>58.13</v>
      </c>
      <c r="H61" s="6" t="n">
        <v>2.49</v>
      </c>
    </row>
    <row r="62">
      <c r="A62" s="22" t="inlineStr">
        <is>
          <t>2026-W52</t>
        </is>
      </c>
      <c r="B62" s="27" t="n">
        <v>1206984.77</v>
      </c>
      <c r="C62" s="27" t="n">
        <v>70639.48</v>
      </c>
      <c r="D62" s="41" t="n">
        <v>95372.52</v>
      </c>
      <c r="E62" s="42" t="n">
        <v>118273.35</v>
      </c>
      <c r="F62" s="27" t="n">
        <v>1491270.12</v>
      </c>
      <c r="G62" s="9" t="n">
        <v>60.62</v>
      </c>
      <c r="H62" s="9" t="n">
        <v>2.49</v>
      </c>
    </row>
    <row r="63">
      <c r="A63" s="19" t="inlineStr">
        <is>
          <t>2026-W53</t>
        </is>
      </c>
      <c r="B63" s="25" t="n">
        <v>1206984.77</v>
      </c>
      <c r="C63" s="25" t="n">
        <v>70639.48</v>
      </c>
      <c r="D63" s="39" t="n">
        <v>95372.52</v>
      </c>
      <c r="E63" s="40" t="n">
        <v>118273.35</v>
      </c>
      <c r="F63" s="25" t="n">
        <v>1491270.12</v>
      </c>
      <c r="G63" s="6" t="n">
        <v>63.11</v>
      </c>
      <c r="H63" s="6" t="n">
        <v>2.49</v>
      </c>
    </row>
    <row r="64">
      <c r="A64" s="22" t="inlineStr">
        <is>
          <t>2027-W01</t>
        </is>
      </c>
      <c r="B64" s="27" t="n">
        <v>1206984.77</v>
      </c>
      <c r="C64" s="27" t="n">
        <v>70639.48</v>
      </c>
      <c r="D64" s="41" t="n">
        <v>95372.52</v>
      </c>
      <c r="E64" s="42" t="n">
        <v>118273.35</v>
      </c>
      <c r="F64" s="27" t="n">
        <v>1491270.12</v>
      </c>
      <c r="G64" s="9" t="n">
        <v>65.59</v>
      </c>
      <c r="H64" s="9" t="n">
        <v>2.49</v>
      </c>
    </row>
    <row r="65">
      <c r="A65" s="19" t="inlineStr">
        <is>
          <t>2027-W02</t>
        </is>
      </c>
      <c r="B65" s="25" t="n">
        <v>1206984.77</v>
      </c>
      <c r="C65" s="25" t="n">
        <v>70639.48</v>
      </c>
      <c r="D65" s="39" t="n">
        <v>95372.52</v>
      </c>
      <c r="E65" s="40" t="n">
        <v>118273.35</v>
      </c>
      <c r="F65" s="25" t="n">
        <v>1491270.12</v>
      </c>
      <c r="G65" s="6" t="n">
        <v>68.08</v>
      </c>
      <c r="H65" s="6" t="n">
        <v>2.49</v>
      </c>
    </row>
    <row r="66">
      <c r="A66" s="22" t="inlineStr">
        <is>
          <t>2027-W03</t>
        </is>
      </c>
      <c r="B66" s="27" t="n">
        <v>1206984.77</v>
      </c>
      <c r="C66" s="27" t="n">
        <v>70639.48</v>
      </c>
      <c r="D66" s="41" t="n">
        <v>95372.52</v>
      </c>
      <c r="E66" s="42" t="n">
        <v>118273.35</v>
      </c>
      <c r="F66" s="27" t="n">
        <v>1491270.12</v>
      </c>
      <c r="G66" s="9" t="n">
        <v>70.56999999999999</v>
      </c>
      <c r="H66" s="9" t="n">
        <v>2.49</v>
      </c>
    </row>
    <row r="67">
      <c r="A67" s="19" t="inlineStr">
        <is>
          <t>2027-W04</t>
        </is>
      </c>
      <c r="B67" s="25" t="n">
        <v>1144977.81</v>
      </c>
      <c r="C67" s="25" t="n">
        <v>67363.5</v>
      </c>
      <c r="D67" s="39" t="n">
        <v>90708.25</v>
      </c>
      <c r="E67" s="40" t="n">
        <v>112788.32</v>
      </c>
      <c r="F67" s="25" t="n">
        <v>1415837.88</v>
      </c>
      <c r="G67" s="6" t="n">
        <v>72.93000000000001</v>
      </c>
      <c r="H67" s="6" t="n">
        <v>2.36</v>
      </c>
    </row>
    <row r="68">
      <c r="A68" s="22" t="inlineStr">
        <is>
          <t>2027-W05</t>
        </is>
      </c>
      <c r="B68" s="27" t="n">
        <v>1144977.81</v>
      </c>
      <c r="C68" s="27" t="n">
        <v>67363.5</v>
      </c>
      <c r="D68" s="41" t="n">
        <v>90708.25</v>
      </c>
      <c r="E68" s="42" t="n">
        <v>112788.32</v>
      </c>
      <c r="F68" s="27" t="n">
        <v>1415837.88</v>
      </c>
      <c r="G68" s="9" t="n">
        <v>75.3</v>
      </c>
      <c r="H68" s="9" t="n">
        <v>2.36</v>
      </c>
    </row>
    <row r="69">
      <c r="A69" s="19" t="inlineStr">
        <is>
          <t>2027-W06</t>
        </is>
      </c>
      <c r="B69" s="25" t="n">
        <v>853549.65</v>
      </c>
      <c r="C69" s="25" t="n">
        <v>49865.2</v>
      </c>
      <c r="D69" s="39" t="n">
        <v>67385.56</v>
      </c>
      <c r="E69" s="40" t="n">
        <v>83490.49000000001</v>
      </c>
      <c r="F69" s="25" t="n">
        <v>1054290.9</v>
      </c>
      <c r="G69" s="6" t="n">
        <v>77.05</v>
      </c>
      <c r="H69" s="6" t="n">
        <v>1.76</v>
      </c>
    </row>
    <row r="70">
      <c r="A70" s="22" t="inlineStr">
        <is>
          <t>2027-W07</t>
        </is>
      </c>
      <c r="B70" s="27" t="n">
        <v>853549.65</v>
      </c>
      <c r="C70" s="27" t="n">
        <v>49865.2</v>
      </c>
      <c r="D70" s="41" t="n">
        <v>67385.56</v>
      </c>
      <c r="E70" s="42" t="n">
        <v>83490.49000000001</v>
      </c>
      <c r="F70" s="27" t="n">
        <v>1054290.9</v>
      </c>
      <c r="G70" s="9" t="n">
        <v>78.81</v>
      </c>
      <c r="H70" s="9" t="n">
        <v>1.76</v>
      </c>
    </row>
    <row r="71">
      <c r="A71" s="19" t="inlineStr">
        <is>
          <t>2027-W08</t>
        </is>
      </c>
      <c r="B71" s="25" t="n">
        <v>853549.65</v>
      </c>
      <c r="C71" s="25" t="n">
        <v>49865.2</v>
      </c>
      <c r="D71" s="39" t="n">
        <v>67385.56</v>
      </c>
      <c r="E71" s="40" t="n">
        <v>83490.49000000001</v>
      </c>
      <c r="F71" s="25" t="n">
        <v>1054290.9</v>
      </c>
      <c r="G71" s="6" t="n">
        <v>80.56999999999999</v>
      </c>
      <c r="H71" s="6" t="n">
        <v>1.76</v>
      </c>
    </row>
    <row r="72">
      <c r="A72" s="22" t="inlineStr">
        <is>
          <t>2027-W09</t>
        </is>
      </c>
      <c r="B72" s="27" t="n">
        <v>853549.65</v>
      </c>
      <c r="C72" s="27" t="n">
        <v>49865.2</v>
      </c>
      <c r="D72" s="41" t="n">
        <v>67385.56</v>
      </c>
      <c r="E72" s="42" t="n">
        <v>83490.49000000001</v>
      </c>
      <c r="F72" s="27" t="n">
        <v>1054290.9</v>
      </c>
      <c r="G72" s="9" t="n">
        <v>82.33</v>
      </c>
      <c r="H72" s="9" t="n">
        <v>1.76</v>
      </c>
    </row>
    <row r="73">
      <c r="A73" s="19" t="inlineStr">
        <is>
          <t>2027-W10</t>
        </is>
      </c>
      <c r="B73" s="25" t="n">
        <v>853549.65</v>
      </c>
      <c r="C73" s="25" t="n">
        <v>49865.2</v>
      </c>
      <c r="D73" s="39" t="n">
        <v>67385.56</v>
      </c>
      <c r="E73" s="40" t="n">
        <v>83490.49000000001</v>
      </c>
      <c r="F73" s="25" t="n">
        <v>1054290.9</v>
      </c>
      <c r="G73" s="6" t="n">
        <v>84.09</v>
      </c>
      <c r="H73" s="6" t="n">
        <v>1.76</v>
      </c>
    </row>
    <row r="74">
      <c r="A74" s="22" t="inlineStr">
        <is>
          <t>2027-W11</t>
        </is>
      </c>
      <c r="B74" s="27" t="n">
        <v>853549.65</v>
      </c>
      <c r="C74" s="27" t="n">
        <v>49865.2</v>
      </c>
      <c r="D74" s="41" t="n">
        <v>67385.56</v>
      </c>
      <c r="E74" s="42" t="n">
        <v>83490.49000000001</v>
      </c>
      <c r="F74" s="27" t="n">
        <v>1054290.9</v>
      </c>
      <c r="G74" s="9" t="n">
        <v>85.84999999999999</v>
      </c>
      <c r="H74" s="9" t="n">
        <v>1.76</v>
      </c>
    </row>
    <row r="75">
      <c r="A75" s="19" t="inlineStr">
        <is>
          <t>2027-W12</t>
        </is>
      </c>
      <c r="B75" s="25" t="n">
        <v>853549.65</v>
      </c>
      <c r="C75" s="25" t="n">
        <v>49865.2</v>
      </c>
      <c r="D75" s="39" t="n">
        <v>67385.56</v>
      </c>
      <c r="E75" s="40" t="n">
        <v>83490.49000000001</v>
      </c>
      <c r="F75" s="25" t="n">
        <v>1054290.9</v>
      </c>
      <c r="G75" s="6" t="n">
        <v>87.61</v>
      </c>
      <c r="H75" s="6" t="n">
        <v>1.76</v>
      </c>
    </row>
    <row r="76">
      <c r="A76" s="22" t="inlineStr">
        <is>
          <t>2027-W13</t>
        </is>
      </c>
      <c r="B76" s="27" t="n">
        <v>853549.65</v>
      </c>
      <c r="C76" s="27" t="n">
        <v>49865.2</v>
      </c>
      <c r="D76" s="41" t="n">
        <v>67385.56</v>
      </c>
      <c r="E76" s="42" t="n">
        <v>83490.49000000001</v>
      </c>
      <c r="F76" s="27" t="n">
        <v>1054290.9</v>
      </c>
      <c r="G76" s="9" t="n">
        <v>89.37</v>
      </c>
      <c r="H76" s="9" t="n">
        <v>1.76</v>
      </c>
    </row>
    <row r="77">
      <c r="A77" s="19" t="inlineStr">
        <is>
          <t>2027-W14</t>
        </is>
      </c>
      <c r="B77" s="25" t="n">
        <v>759086.39</v>
      </c>
      <c r="C77" s="25" t="n">
        <v>43777.73</v>
      </c>
      <c r="D77" s="39" t="n">
        <v>59548.7</v>
      </c>
      <c r="E77" s="40" t="n">
        <v>73298.09</v>
      </c>
      <c r="F77" s="25" t="n">
        <v>935710.91</v>
      </c>
      <c r="G77" s="6" t="n">
        <v>90.93000000000001</v>
      </c>
      <c r="H77" s="6" t="n">
        <v>1.56</v>
      </c>
    </row>
    <row r="78">
      <c r="A78" s="22" t="inlineStr">
        <is>
          <t>2027-W15</t>
        </is>
      </c>
      <c r="B78" s="27" t="n">
        <v>759086.39</v>
      </c>
      <c r="C78" s="27" t="n">
        <v>43777.73</v>
      </c>
      <c r="D78" s="41" t="n">
        <v>59548.7</v>
      </c>
      <c r="E78" s="42" t="n">
        <v>73298.09</v>
      </c>
      <c r="F78" s="27" t="n">
        <v>935710.91</v>
      </c>
      <c r="G78" s="9" t="n">
        <v>92.48999999999999</v>
      </c>
      <c r="H78" s="9" t="n">
        <v>1.56</v>
      </c>
    </row>
    <row r="79">
      <c r="A79" s="19" t="inlineStr">
        <is>
          <t>2027-W16</t>
        </is>
      </c>
      <c r="B79" s="25" t="n">
        <v>759086.39</v>
      </c>
      <c r="C79" s="25" t="n">
        <v>43777.73</v>
      </c>
      <c r="D79" s="39" t="n">
        <v>59548.7</v>
      </c>
      <c r="E79" s="40" t="n">
        <v>73298.09</v>
      </c>
      <c r="F79" s="25" t="n">
        <v>935710.91</v>
      </c>
      <c r="G79" s="6" t="n">
        <v>94.05</v>
      </c>
      <c r="H79" s="6" t="n">
        <v>1.56</v>
      </c>
    </row>
    <row r="80">
      <c r="A80" s="22" t="inlineStr">
        <is>
          <t>2027-W17</t>
        </is>
      </c>
      <c r="B80" s="27" t="n">
        <v>759086.39</v>
      </c>
      <c r="C80" s="27" t="n">
        <v>43777.73</v>
      </c>
      <c r="D80" s="41" t="n">
        <v>59548.7</v>
      </c>
      <c r="E80" s="42" t="n">
        <v>73298.09</v>
      </c>
      <c r="F80" s="27" t="n">
        <v>935710.91</v>
      </c>
      <c r="G80" s="9" t="n">
        <v>95.61</v>
      </c>
      <c r="H80" s="9" t="n">
        <v>1.56</v>
      </c>
    </row>
    <row r="81">
      <c r="A81" s="19" t="inlineStr">
        <is>
          <t>2027-W18</t>
        </is>
      </c>
      <c r="B81" s="25" t="n">
        <v>366583.25</v>
      </c>
      <c r="C81" s="25" t="n">
        <v>21401.78</v>
      </c>
      <c r="D81" s="39" t="n">
        <v>28931.24</v>
      </c>
      <c r="E81" s="40" t="n">
        <v>35833.55</v>
      </c>
      <c r="F81" s="25" t="n">
        <v>452749.82</v>
      </c>
      <c r="G81" s="6" t="n">
        <v>96.37</v>
      </c>
      <c r="H81" s="6" t="n">
        <v>0.76</v>
      </c>
    </row>
    <row r="82">
      <c r="A82" s="22" t="inlineStr">
        <is>
          <t>2027-W19</t>
        </is>
      </c>
      <c r="B82" s="27" t="n">
        <v>441738.34</v>
      </c>
      <c r="C82" s="27" t="n">
        <v>25305.26</v>
      </c>
      <c r="D82" s="41" t="n">
        <v>34539.79</v>
      </c>
      <c r="E82" s="42" t="n">
        <v>42369.27</v>
      </c>
      <c r="F82" s="27" t="n">
        <v>543952.66</v>
      </c>
      <c r="G82" s="9" t="n">
        <v>97.28</v>
      </c>
      <c r="H82" s="9" t="n">
        <v>0.91</v>
      </c>
    </row>
    <row r="83">
      <c r="A83" s="19" t="inlineStr">
        <is>
          <t>2027-W20</t>
        </is>
      </c>
      <c r="B83" s="25" t="n">
        <v>441738.34</v>
      </c>
      <c r="C83" s="25" t="n">
        <v>25305.26</v>
      </c>
      <c r="D83" s="39" t="n">
        <v>34539.79</v>
      </c>
      <c r="E83" s="40" t="n">
        <v>42369.27</v>
      </c>
      <c r="F83" s="25" t="n">
        <v>543952.66</v>
      </c>
      <c r="G83" s="6" t="n">
        <v>98.18000000000001</v>
      </c>
      <c r="H83" s="6" t="n">
        <v>0.91</v>
      </c>
    </row>
    <row r="84">
      <c r="A84" s="22" t="inlineStr">
        <is>
          <t>2027-W21</t>
        </is>
      </c>
      <c r="B84" s="27" t="n">
        <v>366583.25</v>
      </c>
      <c r="C84" s="27" t="n">
        <v>21401.78</v>
      </c>
      <c r="D84" s="41" t="n">
        <v>28931.24</v>
      </c>
      <c r="E84" s="42" t="n">
        <v>35833.55</v>
      </c>
      <c r="F84" s="27" t="n">
        <v>452749.82</v>
      </c>
      <c r="G84" s="9" t="n">
        <v>98.94</v>
      </c>
      <c r="H84" s="9" t="n">
        <v>0.76</v>
      </c>
    </row>
    <row r="85">
      <c r="A85" s="19" t="inlineStr">
        <is>
          <t>2027-W22</t>
        </is>
      </c>
      <c r="B85" s="25" t="n">
        <v>366583.25</v>
      </c>
      <c r="C85" s="25" t="n">
        <v>21401.78</v>
      </c>
      <c r="D85" s="39" t="n">
        <v>28931.24</v>
      </c>
      <c r="E85" s="40" t="n">
        <v>35833.55</v>
      </c>
      <c r="F85" s="25" t="n">
        <v>452749.82</v>
      </c>
      <c r="G85" s="6" t="n">
        <v>99.7</v>
      </c>
      <c r="H85" s="6" t="n">
        <v>0.76</v>
      </c>
    </row>
    <row r="86">
      <c r="A86" s="22" t="inlineStr">
        <is>
          <t>2027-W23</t>
        </is>
      </c>
      <c r="B86" s="27" t="n">
        <v>75155.09</v>
      </c>
      <c r="C86" s="27" t="n">
        <v>3903.48</v>
      </c>
      <c r="D86" s="41" t="n">
        <v>5608.55</v>
      </c>
      <c r="E86" s="42" t="n">
        <v>6535.72</v>
      </c>
      <c r="F86" s="27" t="n">
        <v>91202.84</v>
      </c>
      <c r="G86" s="9" t="n">
        <v>99.84999999999999</v>
      </c>
      <c r="H86" s="9" t="n">
        <v>0.15</v>
      </c>
    </row>
    <row r="87">
      <c r="A87" s="19" t="inlineStr">
        <is>
          <t>2027-W24</t>
        </is>
      </c>
      <c r="B87" s="25" t="n">
        <v>75155.09</v>
      </c>
      <c r="C87" s="25" t="n">
        <v>3903.48</v>
      </c>
      <c r="D87" s="39" t="n">
        <v>5608.55</v>
      </c>
      <c r="E87" s="40" t="n">
        <v>6535.72</v>
      </c>
      <c r="F87" s="25" t="n">
        <v>91202.84</v>
      </c>
      <c r="G87" s="6" t="n">
        <v>100</v>
      </c>
      <c r="H87" s="6" t="n">
        <v>0.15</v>
      </c>
    </row>
  </sheetData>
  <mergeCells count="5">
    <mergeCell ref="A11:L11"/>
    <mergeCell ref="A1:L1"/>
    <mergeCell ref="A31:L31"/>
    <mergeCell ref="A17:L17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42" customWidth="1" min="3" max="3"/>
    <col width="8" customWidth="1" min="4" max="4"/>
    <col width="8" customWidth="1" min="5" max="5"/>
    <col width="21" customWidth="1" min="6" max="6"/>
    <col width="22" customWidth="1" min="7" max="7"/>
    <col width="15" customWidth="1" min="8" max="8"/>
    <col width="42" customWidth="1" min="9" max="9"/>
  </cols>
  <sheetData>
    <row r="1">
      <c r="A1" s="1" t="inlineStr">
        <is>
          <t>DIRETOS — EQUIPES E RECURSOS</t>
        </is>
      </c>
    </row>
    <row r="2">
      <c r="A2" s="4" t="inlineStr">
        <is>
          <t>Tipo</t>
        </is>
      </c>
      <c r="B2" s="4" t="inlineStr">
        <is>
          <t>Código</t>
        </is>
      </c>
      <c r="C2" s="4" t="inlineStr">
        <is>
          <t>Descrição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Unit/Mês (R$)</t>
        </is>
      </c>
      <c r="G2" s="4" t="inlineStr">
        <is>
          <t>Custo Total/Mês (R$)</t>
        </is>
      </c>
      <c r="H2" s="4" t="inlineStr">
        <is>
          <t>Perm. (meses)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MÃO DE OBRA</t>
        </is>
      </c>
      <c r="B4" s="43" t="inlineStr">
        <is>
          <t>AGIS-FN-OPER-TRAT-EST</t>
        </is>
      </c>
      <c r="C4" s="43" t="inlineStr">
        <is>
          <t>Operador de Trator de Esteiras</t>
        </is>
      </c>
      <c r="D4" s="31" t="inlineStr">
        <is>
          <t>DIRETO</t>
        </is>
      </c>
      <c r="E4" s="44" t="n">
        <v>1</v>
      </c>
      <c r="F4" s="45" t="n">
        <v>9394</v>
      </c>
      <c r="G4" s="45">
        <f>E4*F4</f>
        <v/>
      </c>
      <c r="H4" s="44" t="n">
        <v>7.82</v>
      </c>
      <c r="I4" s="45">
        <f>G4*H4</f>
        <v/>
      </c>
    </row>
    <row r="5">
      <c r="A5" s="43" t="inlineStr">
        <is>
          <t>MÃO DE OBRA</t>
        </is>
      </c>
      <c r="B5" s="43" t="inlineStr">
        <is>
          <t>AGIS-FN-OPER-ESCAV</t>
        </is>
      </c>
      <c r="C5" s="43" t="inlineStr">
        <is>
          <t>Operador de Escavadeira</t>
        </is>
      </c>
      <c r="D5" s="31" t="inlineStr">
        <is>
          <t>DIRETO</t>
        </is>
      </c>
      <c r="E5" s="44" t="n">
        <v>1</v>
      </c>
      <c r="F5" s="45" t="n">
        <v>9394</v>
      </c>
      <c r="G5" s="45">
        <f>E5*F5</f>
        <v/>
      </c>
      <c r="H5" s="44" t="n">
        <v>7.82</v>
      </c>
      <c r="I5" s="45">
        <f>G5*H5</f>
        <v/>
      </c>
    </row>
    <row r="6">
      <c r="A6" s="43" t="inlineStr">
        <is>
          <t>MÃO DE OBRA</t>
        </is>
      </c>
      <c r="B6" s="43" t="inlineStr">
        <is>
          <t>AGIS-FN-OPER-MOTOSSERRA</t>
        </is>
      </c>
      <c r="C6" s="43" t="inlineStr">
        <is>
          <t>Operador de Motosserra</t>
        </is>
      </c>
      <c r="D6" s="31" t="inlineStr">
        <is>
          <t>DIRETO</t>
        </is>
      </c>
      <c r="E6" s="44" t="n">
        <v>1</v>
      </c>
      <c r="F6" s="45" t="n">
        <v>9394</v>
      </c>
      <c r="G6" s="45">
        <f>E6*F6</f>
        <v/>
      </c>
      <c r="H6" s="44" t="n">
        <v>7.82</v>
      </c>
      <c r="I6" s="45">
        <f>G6*H6</f>
        <v/>
      </c>
    </row>
    <row r="7">
      <c r="A7" s="43" t="inlineStr">
        <is>
          <t>MÃO DE OBRA</t>
        </is>
      </c>
      <c r="B7" s="43" t="inlineStr">
        <is>
          <t>AGIS-FN-AJUD</t>
        </is>
      </c>
      <c r="C7" s="43" t="inlineStr">
        <is>
          <t>Ajudante</t>
        </is>
      </c>
      <c r="D7" s="31" t="inlineStr">
        <is>
          <t>DIRETO</t>
        </is>
      </c>
      <c r="E7" s="44" t="n">
        <v>1</v>
      </c>
      <c r="F7" s="45" t="n">
        <v>4279</v>
      </c>
      <c r="G7" s="45">
        <f>E7*F7</f>
        <v/>
      </c>
      <c r="H7" s="44" t="n">
        <v>7.82</v>
      </c>
      <c r="I7" s="45">
        <f>G7*H7</f>
        <v/>
      </c>
    </row>
    <row r="8">
      <c r="A8" s="43" t="inlineStr">
        <is>
          <t>MÃO DE OBRA</t>
        </is>
      </c>
      <c r="B8" s="43" t="inlineStr">
        <is>
          <t>AGIS-FN-ENCAR</t>
        </is>
      </c>
      <c r="C8" s="43" t="inlineStr">
        <is>
          <t>Encarregado de Frente</t>
        </is>
      </c>
      <c r="D8" s="31" t="inlineStr">
        <is>
          <t>DIRETO</t>
        </is>
      </c>
      <c r="E8" s="44" t="n">
        <v>1</v>
      </c>
      <c r="F8" s="45" t="n">
        <v>7499.8</v>
      </c>
      <c r="G8" s="45">
        <f>E8*F8</f>
        <v/>
      </c>
      <c r="H8" s="44" t="n">
        <v>7.82</v>
      </c>
      <c r="I8" s="45">
        <f>G8*H8</f>
        <v/>
      </c>
    </row>
    <row r="9">
      <c r="A9" s="43" t="inlineStr">
        <is>
          <t>MÃO DE OBRA</t>
        </is>
      </c>
      <c r="B9" s="43" t="inlineStr">
        <is>
          <t>AGIS-FN-APONTADOR</t>
        </is>
      </c>
      <c r="C9" s="43" t="inlineStr">
        <is>
          <t>Apontador</t>
        </is>
      </c>
      <c r="D9" s="31" t="inlineStr">
        <is>
          <t>DIRETO</t>
        </is>
      </c>
      <c r="E9" s="44" t="n">
        <v>1</v>
      </c>
      <c r="F9" s="45" t="n">
        <v>6448.2</v>
      </c>
      <c r="G9" s="45">
        <f>E9*F9</f>
        <v/>
      </c>
      <c r="H9" s="44" t="n">
        <v>7.82</v>
      </c>
      <c r="I9" s="45">
        <f>G9*H9</f>
        <v/>
      </c>
    </row>
    <row r="10">
      <c r="A10" s="43" t="inlineStr">
        <is>
          <t>MÃO DE OBRA</t>
        </is>
      </c>
      <c r="B10" s="43" t="inlineStr">
        <is>
          <t>AGIS-FN-SINALEIRO</t>
        </is>
      </c>
      <c r="C10" s="43" t="inlineStr">
        <is>
          <t>Sinaleiro</t>
        </is>
      </c>
      <c r="D10" s="31" t="inlineStr">
        <is>
          <t>DIRETO</t>
        </is>
      </c>
      <c r="E10" s="44" t="n">
        <v>1</v>
      </c>
      <c r="F10" s="45" t="n">
        <v>4279</v>
      </c>
      <c r="G10" s="45">
        <f>E10*F10</f>
        <v/>
      </c>
      <c r="H10" s="44" t="n">
        <v>7.82</v>
      </c>
      <c r="I10" s="45">
        <f>G10*H10</f>
        <v/>
      </c>
    </row>
    <row r="11">
      <c r="A11" s="43" t="inlineStr">
        <is>
          <t>EQUIPAMENTO</t>
        </is>
      </c>
      <c r="B11" s="43" t="inlineStr">
        <is>
          <t>AGIS-TRAT-EST-20T</t>
        </is>
      </c>
      <c r="C11" s="43" t="inlineStr">
        <is>
          <t>Trator de Esteiras 20T</t>
        </is>
      </c>
      <c r="D11" s="46" t="inlineStr">
        <is>
          <t>—</t>
        </is>
      </c>
      <c r="E11" s="44" t="n">
        <v>1</v>
      </c>
      <c r="F11" s="45" t="n">
        <v>52470</v>
      </c>
      <c r="G11" s="45">
        <f>E11*F11</f>
        <v/>
      </c>
      <c r="H11" s="44" t="n">
        <v>7.82</v>
      </c>
      <c r="I11" s="45">
        <f>G11*H11</f>
        <v/>
      </c>
    </row>
    <row r="12">
      <c r="A12" s="47" t="inlineStr">
        <is>
          <t>COMBUSTÍVEL</t>
        </is>
      </c>
      <c r="B12" s="43" t="inlineStr">
        <is>
          <t>AGIS-TRAT-EST-20T</t>
        </is>
      </c>
      <c r="C12" s="43" t="inlineStr">
        <is>
          <t>Diesel S-10 (26.0 L/h)</t>
        </is>
      </c>
      <c r="D12" s="46" t="inlineStr">
        <is>
          <t>—</t>
        </is>
      </c>
      <c r="E12" s="44" t="n">
        <v>1</v>
      </c>
      <c r="F12" s="45" t="n">
        <v>33161.14</v>
      </c>
      <c r="G12" s="45">
        <f>E12*F12</f>
        <v/>
      </c>
      <c r="H12" s="44" t="n">
        <v>7.82</v>
      </c>
      <c r="I12" s="45">
        <f>G12*H12</f>
        <v/>
      </c>
    </row>
    <row r="13">
      <c r="A13" s="43" t="inlineStr">
        <is>
          <t>EQUIPAMENTO</t>
        </is>
      </c>
      <c r="B13" s="43" t="inlineStr">
        <is>
          <t>AGIS-ESCAV-22T</t>
        </is>
      </c>
      <c r="C13" s="43" t="inlineStr">
        <is>
          <t>Escavadeira Hidráulica sobre esteira 22T</t>
        </is>
      </c>
      <c r="D13" s="46" t="inlineStr">
        <is>
          <t>—</t>
        </is>
      </c>
      <c r="E13" s="44" t="n">
        <v>1</v>
      </c>
      <c r="F13" s="45" t="n">
        <v>42416</v>
      </c>
      <c r="G13" s="45">
        <f>E13*F13</f>
        <v/>
      </c>
      <c r="H13" s="44" t="n">
        <v>7.82</v>
      </c>
      <c r="I13" s="45">
        <f>G13*H13</f>
        <v/>
      </c>
    </row>
    <row r="14">
      <c r="A14" s="47" t="inlineStr">
        <is>
          <t>COMBUSTÍVEL</t>
        </is>
      </c>
      <c r="B14" s="43" t="inlineStr">
        <is>
          <t>AGIS-ESCAV-22T</t>
        </is>
      </c>
      <c r="C14" s="43" t="inlineStr">
        <is>
          <t>Diesel S-10 (22.0 L/h)</t>
        </is>
      </c>
      <c r="D14" s="46" t="inlineStr">
        <is>
          <t>—</t>
        </is>
      </c>
      <c r="E14" s="44" t="n">
        <v>1</v>
      </c>
      <c r="F14" s="45" t="n">
        <v>28059.43</v>
      </c>
      <c r="G14" s="45">
        <f>E14*F14</f>
        <v/>
      </c>
      <c r="H14" s="44" t="n">
        <v>7.82</v>
      </c>
      <c r="I14" s="45">
        <f>G14*H14</f>
        <v/>
      </c>
    </row>
    <row r="15">
      <c r="A15" s="43" t="inlineStr">
        <is>
          <t>EQUIPAMENTO</t>
        </is>
      </c>
      <c r="B15" s="43" t="inlineStr">
        <is>
          <t>AGIS-MOTOSSERRA</t>
        </is>
      </c>
      <c r="C15" s="43" t="inlineStr">
        <is>
          <t>Motosserra a Gasolina</t>
        </is>
      </c>
      <c r="D15" s="46" t="inlineStr">
        <is>
          <t>—</t>
        </is>
      </c>
      <c r="E15" s="44" t="n">
        <v>1</v>
      </c>
      <c r="F15" s="45" t="n">
        <v>3300</v>
      </c>
      <c r="G15" s="45">
        <f>E15*F15</f>
        <v/>
      </c>
      <c r="H15" s="44" t="n">
        <v>7.82</v>
      </c>
      <c r="I15" s="45">
        <f>G15*H15</f>
        <v/>
      </c>
    </row>
    <row r="16">
      <c r="A16" s="47" t="inlineStr">
        <is>
          <t>COMBUSTÍVEL</t>
        </is>
      </c>
      <c r="B16" s="43" t="inlineStr">
        <is>
          <t>AGIS-MOTOSSERRA</t>
        </is>
      </c>
      <c r="C16" s="43" t="inlineStr">
        <is>
          <t>Diesel S-10 (1.5 L/h)</t>
        </is>
      </c>
      <c r="D16" s="46" t="inlineStr">
        <is>
          <t>—</t>
        </is>
      </c>
      <c r="E16" s="44" t="n">
        <v>1</v>
      </c>
      <c r="F16" s="45" t="n">
        <v>1913.14</v>
      </c>
      <c r="G16" s="45">
        <f>E16*F16</f>
        <v/>
      </c>
      <c r="H16" s="44" t="n">
        <v>7.82</v>
      </c>
      <c r="I16" s="45">
        <f>G16*H16</f>
        <v/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50">
        <f>SUM(G4:G16)</f>
        <v/>
      </c>
      <c r="H17" s="51" t="n">
        <v>7.82</v>
      </c>
      <c r="I17" s="50">
        <f>SUM(I4:I16)</f>
        <v/>
      </c>
    </row>
    <row r="18">
      <c r="A18" s="3" t="inlineStr">
        <is>
          <t>eap-1_1 — Esc/carg/transp 1aCat DMT&lt;=2000m</t>
        </is>
      </c>
    </row>
    <row r="19">
      <c r="A19" s="52" t="inlineStr">
        <is>
          <t>MÃO DE OBRA</t>
        </is>
      </c>
      <c r="B19" s="52" t="inlineStr">
        <is>
          <t>AGIS-FN-OPER-ESCAV</t>
        </is>
      </c>
      <c r="C19" s="52" t="inlineStr">
        <is>
          <t>Operador de Escavadeira</t>
        </is>
      </c>
      <c r="D19" s="32" t="inlineStr">
        <is>
          <t>DIRETO</t>
        </is>
      </c>
      <c r="E19" s="53" t="n">
        <v>1</v>
      </c>
      <c r="F19" s="54" t="n">
        <v>9394</v>
      </c>
      <c r="G19" s="54">
        <f>E19*F19</f>
        <v/>
      </c>
      <c r="H19" s="53" t="n">
        <v>2.3</v>
      </c>
      <c r="I19" s="54">
        <f>G19*H19</f>
        <v/>
      </c>
    </row>
    <row r="20">
      <c r="A20" s="52" t="inlineStr">
        <is>
          <t>MÃO DE OBRA</t>
        </is>
      </c>
      <c r="B20" s="52" t="inlineStr">
        <is>
          <t>AGIS-FN-AJUD</t>
        </is>
      </c>
      <c r="C20" s="52" t="inlineStr">
        <is>
          <t>Ajudante</t>
        </is>
      </c>
      <c r="D20" s="32" t="inlineStr">
        <is>
          <t>DIRETO</t>
        </is>
      </c>
      <c r="E20" s="53" t="n">
        <v>1</v>
      </c>
      <c r="F20" s="54" t="n">
        <v>4279</v>
      </c>
      <c r="G20" s="54">
        <f>E20*F20</f>
        <v/>
      </c>
      <c r="H20" s="53" t="n">
        <v>2.3</v>
      </c>
      <c r="I20" s="54">
        <f>G20*H20</f>
        <v/>
      </c>
    </row>
    <row r="21">
      <c r="A21" s="52" t="inlineStr">
        <is>
          <t>MÃO DE OBRA</t>
        </is>
      </c>
      <c r="B21" s="52" t="inlineStr">
        <is>
          <t>AGIS-FN-ENCAR</t>
        </is>
      </c>
      <c r="C21" s="52" t="inlineStr">
        <is>
          <t>Encarregado de Frente</t>
        </is>
      </c>
      <c r="D21" s="32" t="inlineStr">
        <is>
          <t>DIRETO</t>
        </is>
      </c>
      <c r="E21" s="53" t="n">
        <v>1</v>
      </c>
      <c r="F21" s="54" t="n">
        <v>7499.8</v>
      </c>
      <c r="G21" s="54">
        <f>E21*F21</f>
        <v/>
      </c>
      <c r="H21" s="53" t="n">
        <v>2.3</v>
      </c>
      <c r="I21" s="54">
        <f>G21*H21</f>
        <v/>
      </c>
    </row>
    <row r="22">
      <c r="A22" s="52" t="inlineStr">
        <is>
          <t>MÃO DE OBRA</t>
        </is>
      </c>
      <c r="B22" s="52" t="inlineStr">
        <is>
          <t>AGIS-FN-MOTOR-BASC</t>
        </is>
      </c>
      <c r="C22" s="52" t="inlineStr">
        <is>
          <t>Motorista de Caminhão Basculante</t>
        </is>
      </c>
      <c r="D22" s="32" t="inlineStr">
        <is>
          <t>DIRETO</t>
        </is>
      </c>
      <c r="E22" s="53" t="n">
        <v>7</v>
      </c>
      <c r="F22" s="54" t="n">
        <v>8382</v>
      </c>
      <c r="G22" s="54">
        <f>E22*F22</f>
        <v/>
      </c>
      <c r="H22" s="53" t="n">
        <v>2.3</v>
      </c>
      <c r="I22" s="54">
        <f>G22*H22</f>
        <v/>
      </c>
    </row>
    <row r="23">
      <c r="A23" s="52" t="inlineStr">
        <is>
          <t>EQUIPAMENTO</t>
        </is>
      </c>
      <c r="B23" s="52" t="inlineStr">
        <is>
          <t>AGIS-E0015</t>
        </is>
      </c>
      <c r="C23" s="52" t="inlineStr">
        <is>
          <t>Escavadeira Hidráulica sobre esteira 38T</t>
        </is>
      </c>
      <c r="D23" s="55" t="inlineStr">
        <is>
          <t>—</t>
        </is>
      </c>
      <c r="E23" s="53" t="n">
        <v>1</v>
      </c>
      <c r="F23" s="54" t="n">
        <v>59048</v>
      </c>
      <c r="G23" s="54">
        <f>E23*F23</f>
        <v/>
      </c>
      <c r="H23" s="53" t="n">
        <v>2.3</v>
      </c>
      <c r="I23" s="54">
        <f>G23*H23</f>
        <v/>
      </c>
    </row>
    <row r="24">
      <c r="A24" s="56" t="inlineStr">
        <is>
          <t>COMBUSTÍVEL</t>
        </is>
      </c>
      <c r="B24" s="52" t="inlineStr">
        <is>
          <t>AGIS-E0015</t>
        </is>
      </c>
      <c r="C24" s="52" t="inlineStr">
        <is>
          <t>Diesel S-10 (26.0 L/h)</t>
        </is>
      </c>
      <c r="D24" s="55" t="inlineStr">
        <is>
          <t>—</t>
        </is>
      </c>
      <c r="E24" s="53" t="n">
        <v>1</v>
      </c>
      <c r="F24" s="54" t="n">
        <v>33161.14</v>
      </c>
      <c r="G24" s="54">
        <f>E24*F24</f>
        <v/>
      </c>
      <c r="H24" s="53" t="n">
        <v>2.3</v>
      </c>
      <c r="I24" s="54">
        <f>G24*H24</f>
        <v/>
      </c>
    </row>
    <row r="25">
      <c r="A25" s="52" t="inlineStr">
        <is>
          <t>EQUIPAMENTO</t>
        </is>
      </c>
      <c r="B25" s="52" t="inlineStr">
        <is>
          <t>AGIS-E0002</t>
        </is>
      </c>
      <c r="C25" s="52" t="inlineStr">
        <is>
          <t>Caminhão Basculante 14 m³</t>
        </is>
      </c>
      <c r="D25" s="55" t="inlineStr">
        <is>
          <t>—</t>
        </is>
      </c>
      <c r="E25" s="53" t="n">
        <v>7</v>
      </c>
      <c r="F25" s="54" t="n">
        <v>26945.6</v>
      </c>
      <c r="G25" s="54">
        <f>E25*F25</f>
        <v/>
      </c>
      <c r="H25" s="53" t="n">
        <v>2.3</v>
      </c>
      <c r="I25" s="54">
        <f>G25*H25</f>
        <v/>
      </c>
    </row>
    <row r="26">
      <c r="A26" s="56" t="inlineStr">
        <is>
          <t>COMBUSTÍVEL</t>
        </is>
      </c>
      <c r="B26" s="52" t="inlineStr">
        <is>
          <t>AGIS-E0002</t>
        </is>
      </c>
      <c r="C26" s="52" t="inlineStr">
        <is>
          <t>Diesel S-10 (2.5 L/h)</t>
        </is>
      </c>
      <c r="D26" s="55" t="inlineStr">
        <is>
          <t>—</t>
        </is>
      </c>
      <c r="E26" s="53" t="n">
        <v>7</v>
      </c>
      <c r="F26" s="54" t="n">
        <v>3188.57</v>
      </c>
      <c r="G26" s="54">
        <f>E26*F26</f>
        <v/>
      </c>
      <c r="H26" s="53" t="n">
        <v>2.3</v>
      </c>
      <c r="I26" s="54">
        <f>G26*H26</f>
        <v/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50">
        <f>SUM(G19:G26)</f>
        <v/>
      </c>
      <c r="H27" s="51" t="n">
        <v>2.3</v>
      </c>
      <c r="I27" s="50">
        <f>SUM(I19:I26)</f>
        <v/>
      </c>
    </row>
    <row r="28">
      <c r="A28" s="3" t="inlineStr">
        <is>
          <t>eap-1_2 — Esc/carg/transp 1aCat DMT&lt;=3000m</t>
        </is>
      </c>
    </row>
    <row r="29">
      <c r="A29" s="43" t="inlineStr">
        <is>
          <t>MÃO DE OBRA</t>
        </is>
      </c>
      <c r="B29" s="43" t="inlineStr">
        <is>
          <t>AGIS-FN-OPER-ESCAV</t>
        </is>
      </c>
      <c r="C29" s="43" t="inlineStr">
        <is>
          <t>Operador de Escavadeira</t>
        </is>
      </c>
      <c r="D29" s="31" t="inlineStr">
        <is>
          <t>DIRETO</t>
        </is>
      </c>
      <c r="E29" s="44" t="n">
        <v>1</v>
      </c>
      <c r="F29" s="45" t="n">
        <v>9394</v>
      </c>
      <c r="G29" s="45">
        <f>E29*F29</f>
        <v/>
      </c>
      <c r="H29" s="44" t="n">
        <v>7.13</v>
      </c>
      <c r="I29" s="45">
        <f>G29*H29</f>
        <v/>
      </c>
    </row>
    <row r="30">
      <c r="A30" s="43" t="inlineStr">
        <is>
          <t>MÃO DE OBRA</t>
        </is>
      </c>
      <c r="B30" s="43" t="inlineStr">
        <is>
          <t>AGIS-FN-AJUD</t>
        </is>
      </c>
      <c r="C30" s="43" t="inlineStr">
        <is>
          <t>Ajudante</t>
        </is>
      </c>
      <c r="D30" s="31" t="inlineStr">
        <is>
          <t>DIRETO</t>
        </is>
      </c>
      <c r="E30" s="44" t="n">
        <v>1</v>
      </c>
      <c r="F30" s="45" t="n">
        <v>4279</v>
      </c>
      <c r="G30" s="45">
        <f>E30*F30</f>
        <v/>
      </c>
      <c r="H30" s="44" t="n">
        <v>7.13</v>
      </c>
      <c r="I30" s="45">
        <f>G30*H30</f>
        <v/>
      </c>
    </row>
    <row r="31">
      <c r="A31" s="43" t="inlineStr">
        <is>
          <t>MÃO DE OBRA</t>
        </is>
      </c>
      <c r="B31" s="43" t="inlineStr">
        <is>
          <t>AGIS-FN-ENCAR</t>
        </is>
      </c>
      <c r="C31" s="43" t="inlineStr">
        <is>
          <t>Encarregado de Frente</t>
        </is>
      </c>
      <c r="D31" s="31" t="inlineStr">
        <is>
          <t>DIRETO</t>
        </is>
      </c>
      <c r="E31" s="44" t="n">
        <v>1</v>
      </c>
      <c r="F31" s="45" t="n">
        <v>7499.8</v>
      </c>
      <c r="G31" s="45">
        <f>E31*F31</f>
        <v/>
      </c>
      <c r="H31" s="44" t="n">
        <v>7.13</v>
      </c>
      <c r="I31" s="45">
        <f>G31*H31</f>
        <v/>
      </c>
    </row>
    <row r="32">
      <c r="A32" s="43" t="inlineStr">
        <is>
          <t>MÃO DE OBRA</t>
        </is>
      </c>
      <c r="B32" s="43" t="inlineStr">
        <is>
          <t>AGIS-FN-MOTOR-BASC</t>
        </is>
      </c>
      <c r="C32" s="43" t="inlineStr">
        <is>
          <t>Motorista de Caminhão Basculante</t>
        </is>
      </c>
      <c r="D32" s="31" t="inlineStr">
        <is>
          <t>DIRETO</t>
        </is>
      </c>
      <c r="E32" s="44" t="n">
        <v>8</v>
      </c>
      <c r="F32" s="45" t="n">
        <v>8382</v>
      </c>
      <c r="G32" s="45">
        <f>E32*F32</f>
        <v/>
      </c>
      <c r="H32" s="44" t="n">
        <v>7.13</v>
      </c>
      <c r="I32" s="45">
        <f>G32*H32</f>
        <v/>
      </c>
    </row>
    <row r="33">
      <c r="A33" s="43" t="inlineStr">
        <is>
          <t>EQUIPAMENTO</t>
        </is>
      </c>
      <c r="B33" s="43" t="inlineStr">
        <is>
          <t>AGIS-E0015</t>
        </is>
      </c>
      <c r="C33" s="43" t="inlineStr">
        <is>
          <t>Escavadeira Hidráulica sobre esteira 38T</t>
        </is>
      </c>
      <c r="D33" s="46" t="inlineStr">
        <is>
          <t>—</t>
        </is>
      </c>
      <c r="E33" s="44" t="n">
        <v>1</v>
      </c>
      <c r="F33" s="45" t="n">
        <v>59048</v>
      </c>
      <c r="G33" s="45">
        <f>E33*F33</f>
        <v/>
      </c>
      <c r="H33" s="44" t="n">
        <v>7.13</v>
      </c>
      <c r="I33" s="45">
        <f>G33*H33</f>
        <v/>
      </c>
    </row>
    <row r="34">
      <c r="A34" s="47" t="inlineStr">
        <is>
          <t>COMBUSTÍVEL</t>
        </is>
      </c>
      <c r="B34" s="43" t="inlineStr">
        <is>
          <t>AGIS-E0015</t>
        </is>
      </c>
      <c r="C34" s="43" t="inlineStr">
        <is>
          <t>Diesel S-10 (26.0 L/h)</t>
        </is>
      </c>
      <c r="D34" s="46" t="inlineStr">
        <is>
          <t>—</t>
        </is>
      </c>
      <c r="E34" s="44" t="n">
        <v>1</v>
      </c>
      <c r="F34" s="45" t="n">
        <v>33161.14</v>
      </c>
      <c r="G34" s="45">
        <f>E34*F34</f>
        <v/>
      </c>
      <c r="H34" s="44" t="n">
        <v>7.13</v>
      </c>
      <c r="I34" s="45">
        <f>G34*H34</f>
        <v/>
      </c>
    </row>
    <row r="35">
      <c r="A35" s="43" t="inlineStr">
        <is>
          <t>EQUIPAMENTO</t>
        </is>
      </c>
      <c r="B35" s="43" t="inlineStr">
        <is>
          <t>AGIS-E0002</t>
        </is>
      </c>
      <c r="C35" s="43" t="inlineStr">
        <is>
          <t>Caminhão Basculante 14 m³</t>
        </is>
      </c>
      <c r="D35" s="46" t="inlineStr">
        <is>
          <t>—</t>
        </is>
      </c>
      <c r="E35" s="44" t="n">
        <v>8</v>
      </c>
      <c r="F35" s="45" t="n">
        <v>26945.6</v>
      </c>
      <c r="G35" s="45">
        <f>E35*F35</f>
        <v/>
      </c>
      <c r="H35" s="44" t="n">
        <v>7.13</v>
      </c>
      <c r="I35" s="45">
        <f>G35*H35</f>
        <v/>
      </c>
    </row>
    <row r="36">
      <c r="A36" s="47" t="inlineStr">
        <is>
          <t>COMBUSTÍVEL</t>
        </is>
      </c>
      <c r="B36" s="43" t="inlineStr">
        <is>
          <t>AGIS-E0002</t>
        </is>
      </c>
      <c r="C36" s="43" t="inlineStr">
        <is>
          <t>Diesel S-10 (2.5 L/h)</t>
        </is>
      </c>
      <c r="D36" s="46" t="inlineStr">
        <is>
          <t>—</t>
        </is>
      </c>
      <c r="E36" s="44" t="n">
        <v>8</v>
      </c>
      <c r="F36" s="45" t="n">
        <v>3188.57</v>
      </c>
      <c r="G36" s="45">
        <f>E36*F36</f>
        <v/>
      </c>
      <c r="H36" s="44" t="n">
        <v>7.13</v>
      </c>
      <c r="I36" s="45">
        <f>G36*H36</f>
        <v/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50">
        <f>SUM(G29:G36)</f>
        <v/>
      </c>
      <c r="H37" s="51" t="n">
        <v>7.13</v>
      </c>
      <c r="I37" s="50">
        <f>SUM(I29:I36)</f>
        <v/>
      </c>
    </row>
    <row r="38">
      <c r="A38" s="3" t="inlineStr">
        <is>
          <t>eap-1_3 — Esc/carg/transp 2aCat DMT&lt;=2000m</t>
        </is>
      </c>
    </row>
    <row r="39">
      <c r="A39" s="52" t="inlineStr">
        <is>
          <t>MÃO DE OBRA</t>
        </is>
      </c>
      <c r="B39" s="52" t="inlineStr">
        <is>
          <t>AGIS-FN-OPER-ESCAV</t>
        </is>
      </c>
      <c r="C39" s="52" t="inlineStr">
        <is>
          <t>Operador de Escavadeira</t>
        </is>
      </c>
      <c r="D39" s="32" t="inlineStr">
        <is>
          <t>DIRETO</t>
        </is>
      </c>
      <c r="E39" s="53" t="n">
        <v>1</v>
      </c>
      <c r="F39" s="54" t="n">
        <v>9394</v>
      </c>
      <c r="G39" s="54">
        <f>E39*F39</f>
        <v/>
      </c>
      <c r="H39" s="53" t="n">
        <v>1.61</v>
      </c>
      <c r="I39" s="54">
        <f>G39*H39</f>
        <v/>
      </c>
    </row>
    <row r="40">
      <c r="A40" s="52" t="inlineStr">
        <is>
          <t>MÃO DE OBRA</t>
        </is>
      </c>
      <c r="B40" s="52" t="inlineStr">
        <is>
          <t>AGIS-FN-AJUD</t>
        </is>
      </c>
      <c r="C40" s="52" t="inlineStr">
        <is>
          <t>Ajudante</t>
        </is>
      </c>
      <c r="D40" s="32" t="inlineStr">
        <is>
          <t>DIRETO</t>
        </is>
      </c>
      <c r="E40" s="53" t="n">
        <v>1</v>
      </c>
      <c r="F40" s="54" t="n">
        <v>4279</v>
      </c>
      <c r="G40" s="54">
        <f>E40*F40</f>
        <v/>
      </c>
      <c r="H40" s="53" t="n">
        <v>1.61</v>
      </c>
      <c r="I40" s="54">
        <f>G40*H40</f>
        <v/>
      </c>
    </row>
    <row r="41">
      <c r="A41" s="52" t="inlineStr">
        <is>
          <t>MÃO DE OBRA</t>
        </is>
      </c>
      <c r="B41" s="52" t="inlineStr">
        <is>
          <t>AGIS-FN-ENCAR</t>
        </is>
      </c>
      <c r="C41" s="52" t="inlineStr">
        <is>
          <t>Encarregado de Frente</t>
        </is>
      </c>
      <c r="D41" s="32" t="inlineStr">
        <is>
          <t>DIRETO</t>
        </is>
      </c>
      <c r="E41" s="53" t="n">
        <v>1</v>
      </c>
      <c r="F41" s="54" t="n">
        <v>7499.8</v>
      </c>
      <c r="G41" s="54">
        <f>E41*F41</f>
        <v/>
      </c>
      <c r="H41" s="53" t="n">
        <v>1.61</v>
      </c>
      <c r="I41" s="54">
        <f>G41*H41</f>
        <v/>
      </c>
    </row>
    <row r="42">
      <c r="A42" s="52" t="inlineStr">
        <is>
          <t>MÃO DE OBRA</t>
        </is>
      </c>
      <c r="B42" s="52" t="inlineStr">
        <is>
          <t>AGIS-FN-MOTOR-BASC</t>
        </is>
      </c>
      <c r="C42" s="52" t="inlineStr">
        <is>
          <t>Motorista de Caminhão Basculante</t>
        </is>
      </c>
      <c r="D42" s="32" t="inlineStr">
        <is>
          <t>DIRETO</t>
        </is>
      </c>
      <c r="E42" s="53" t="n">
        <v>6</v>
      </c>
      <c r="F42" s="54" t="n">
        <v>8382</v>
      </c>
      <c r="G42" s="54">
        <f>E42*F42</f>
        <v/>
      </c>
      <c r="H42" s="53" t="n">
        <v>1.61</v>
      </c>
      <c r="I42" s="54">
        <f>G42*H42</f>
        <v/>
      </c>
    </row>
    <row r="43">
      <c r="A43" s="52" t="inlineStr">
        <is>
          <t>EQUIPAMENTO</t>
        </is>
      </c>
      <c r="B43" s="52" t="inlineStr">
        <is>
          <t>AGIS-E0015</t>
        </is>
      </c>
      <c r="C43" s="52" t="inlineStr">
        <is>
          <t>Escavadeira Hidráulica sobre esteira 38T</t>
        </is>
      </c>
      <c r="D43" s="55" t="inlineStr">
        <is>
          <t>—</t>
        </is>
      </c>
      <c r="E43" s="53" t="n">
        <v>1</v>
      </c>
      <c r="F43" s="54" t="n">
        <v>59048</v>
      </c>
      <c r="G43" s="54">
        <f>E43*F43</f>
        <v/>
      </c>
      <c r="H43" s="53" t="n">
        <v>1.61</v>
      </c>
      <c r="I43" s="54">
        <f>G43*H43</f>
        <v/>
      </c>
    </row>
    <row r="44">
      <c r="A44" s="56" t="inlineStr">
        <is>
          <t>COMBUSTÍVEL</t>
        </is>
      </c>
      <c r="B44" s="52" t="inlineStr">
        <is>
          <t>AGIS-E0015</t>
        </is>
      </c>
      <c r="C44" s="52" t="inlineStr">
        <is>
          <t>Diesel S-10 (26.0 L/h)</t>
        </is>
      </c>
      <c r="D44" s="55" t="inlineStr">
        <is>
          <t>—</t>
        </is>
      </c>
      <c r="E44" s="53" t="n">
        <v>1</v>
      </c>
      <c r="F44" s="54" t="n">
        <v>33161.14</v>
      </c>
      <c r="G44" s="54">
        <f>E44*F44</f>
        <v/>
      </c>
      <c r="H44" s="53" t="n">
        <v>1.61</v>
      </c>
      <c r="I44" s="54">
        <f>G44*H44</f>
        <v/>
      </c>
    </row>
    <row r="45">
      <c r="A45" s="52" t="inlineStr">
        <is>
          <t>EQUIPAMENTO</t>
        </is>
      </c>
      <c r="B45" s="52" t="inlineStr">
        <is>
          <t>AGIS-E0002</t>
        </is>
      </c>
      <c r="C45" s="52" t="inlineStr">
        <is>
          <t>Caminhão Basculante 14 m³</t>
        </is>
      </c>
      <c r="D45" s="55" t="inlineStr">
        <is>
          <t>—</t>
        </is>
      </c>
      <c r="E45" s="53" t="n">
        <v>6</v>
      </c>
      <c r="F45" s="54" t="n">
        <v>26945.6</v>
      </c>
      <c r="G45" s="54">
        <f>E45*F45</f>
        <v/>
      </c>
      <c r="H45" s="53" t="n">
        <v>1.61</v>
      </c>
      <c r="I45" s="54">
        <f>G45*H45</f>
        <v/>
      </c>
    </row>
    <row r="46">
      <c r="A46" s="56" t="inlineStr">
        <is>
          <t>COMBUSTÍVEL</t>
        </is>
      </c>
      <c r="B46" s="52" t="inlineStr">
        <is>
          <t>AGIS-E0002</t>
        </is>
      </c>
      <c r="C46" s="52" t="inlineStr">
        <is>
          <t>Diesel S-10 (2.5 L/h)</t>
        </is>
      </c>
      <c r="D46" s="55" t="inlineStr">
        <is>
          <t>—</t>
        </is>
      </c>
      <c r="E46" s="53" t="n">
        <v>6</v>
      </c>
      <c r="F46" s="54" t="n">
        <v>3188.57</v>
      </c>
      <c r="G46" s="54">
        <f>E46*F46</f>
        <v/>
      </c>
      <c r="H46" s="53" t="n">
        <v>1.61</v>
      </c>
      <c r="I46" s="54">
        <f>G46*H46</f>
        <v/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50">
        <f>SUM(G39:G46)</f>
        <v/>
      </c>
      <c r="H47" s="51" t="n">
        <v>1.61</v>
      </c>
      <c r="I47" s="50">
        <f>SUM(I39:I46)</f>
        <v/>
      </c>
    </row>
    <row r="48">
      <c r="A48" s="3" t="inlineStr">
        <is>
          <t>eap-1_4 — Esc/carg/transp 2aCat DMT&lt;=3000m</t>
        </is>
      </c>
    </row>
    <row r="49">
      <c r="A49" s="43" t="inlineStr">
        <is>
          <t>MÃO DE OBRA</t>
        </is>
      </c>
      <c r="B49" s="43" t="inlineStr">
        <is>
          <t>AGIS-FN-OPER-ESCAV</t>
        </is>
      </c>
      <c r="C49" s="43" t="inlineStr">
        <is>
          <t>Operador de Escavadeira</t>
        </is>
      </c>
      <c r="D49" s="31" t="inlineStr">
        <is>
          <t>DIRETO</t>
        </is>
      </c>
      <c r="E49" s="44" t="n">
        <v>1</v>
      </c>
      <c r="F49" s="45" t="n">
        <v>9394</v>
      </c>
      <c r="G49" s="45">
        <f>E49*F49</f>
        <v/>
      </c>
      <c r="H49" s="44" t="n">
        <v>8.970000000000001</v>
      </c>
      <c r="I49" s="45">
        <f>G49*H49</f>
        <v/>
      </c>
    </row>
    <row r="50">
      <c r="A50" s="43" t="inlineStr">
        <is>
          <t>MÃO DE OBRA</t>
        </is>
      </c>
      <c r="B50" s="43" t="inlineStr">
        <is>
          <t>AGIS-FN-AJUD</t>
        </is>
      </c>
      <c r="C50" s="43" t="inlineStr">
        <is>
          <t>Ajudante</t>
        </is>
      </c>
      <c r="D50" s="31" t="inlineStr">
        <is>
          <t>DIRETO</t>
        </is>
      </c>
      <c r="E50" s="44" t="n">
        <v>1</v>
      </c>
      <c r="F50" s="45" t="n">
        <v>4279</v>
      </c>
      <c r="G50" s="45">
        <f>E50*F50</f>
        <v/>
      </c>
      <c r="H50" s="44" t="n">
        <v>8.970000000000001</v>
      </c>
      <c r="I50" s="45">
        <f>G50*H50</f>
        <v/>
      </c>
    </row>
    <row r="51">
      <c r="A51" s="43" t="inlineStr">
        <is>
          <t>MÃO DE OBRA</t>
        </is>
      </c>
      <c r="B51" s="43" t="inlineStr">
        <is>
          <t>AGIS-FN-ENCAR</t>
        </is>
      </c>
      <c r="C51" s="43" t="inlineStr">
        <is>
          <t>Encarregado de Frente</t>
        </is>
      </c>
      <c r="D51" s="31" t="inlineStr">
        <is>
          <t>DIRETO</t>
        </is>
      </c>
      <c r="E51" s="44" t="n">
        <v>1</v>
      </c>
      <c r="F51" s="45" t="n">
        <v>7499.8</v>
      </c>
      <c r="G51" s="45">
        <f>E51*F51</f>
        <v/>
      </c>
      <c r="H51" s="44" t="n">
        <v>8.970000000000001</v>
      </c>
      <c r="I51" s="45">
        <f>G51*H51</f>
        <v/>
      </c>
    </row>
    <row r="52">
      <c r="A52" s="43" t="inlineStr">
        <is>
          <t>MÃO DE OBRA</t>
        </is>
      </c>
      <c r="B52" s="43" t="inlineStr">
        <is>
          <t>AGIS-FN-MOTOR-BASC</t>
        </is>
      </c>
      <c r="C52" s="43" t="inlineStr">
        <is>
          <t>Motorista de Caminhão Basculante</t>
        </is>
      </c>
      <c r="D52" s="31" t="inlineStr">
        <is>
          <t>DIRETO</t>
        </is>
      </c>
      <c r="E52" s="44" t="n">
        <v>7</v>
      </c>
      <c r="F52" s="45" t="n">
        <v>8382</v>
      </c>
      <c r="G52" s="45">
        <f>E52*F52</f>
        <v/>
      </c>
      <c r="H52" s="44" t="n">
        <v>8.970000000000001</v>
      </c>
      <c r="I52" s="45">
        <f>G52*H52</f>
        <v/>
      </c>
    </row>
    <row r="53">
      <c r="A53" s="43" t="inlineStr">
        <is>
          <t>EQUIPAMENTO</t>
        </is>
      </c>
      <c r="B53" s="43" t="inlineStr">
        <is>
          <t>AGIS-E0015</t>
        </is>
      </c>
      <c r="C53" s="43" t="inlineStr">
        <is>
          <t>Escavadeira Hidráulica sobre esteira 38T</t>
        </is>
      </c>
      <c r="D53" s="46" t="inlineStr">
        <is>
          <t>—</t>
        </is>
      </c>
      <c r="E53" s="44" t="n">
        <v>1</v>
      </c>
      <c r="F53" s="45" t="n">
        <v>59048</v>
      </c>
      <c r="G53" s="45">
        <f>E53*F53</f>
        <v/>
      </c>
      <c r="H53" s="44" t="n">
        <v>8.970000000000001</v>
      </c>
      <c r="I53" s="45">
        <f>G53*H53</f>
        <v/>
      </c>
    </row>
    <row r="54">
      <c r="A54" s="47" t="inlineStr">
        <is>
          <t>COMBUSTÍVEL</t>
        </is>
      </c>
      <c r="B54" s="43" t="inlineStr">
        <is>
          <t>AGIS-E0015</t>
        </is>
      </c>
      <c r="C54" s="43" t="inlineStr">
        <is>
          <t>Diesel S-10 (26.0 L/h)</t>
        </is>
      </c>
      <c r="D54" s="46" t="inlineStr">
        <is>
          <t>—</t>
        </is>
      </c>
      <c r="E54" s="44" t="n">
        <v>1</v>
      </c>
      <c r="F54" s="45" t="n">
        <v>33161.14</v>
      </c>
      <c r="G54" s="45">
        <f>E54*F54</f>
        <v/>
      </c>
      <c r="H54" s="44" t="n">
        <v>8.970000000000001</v>
      </c>
      <c r="I54" s="45">
        <f>G54*H54</f>
        <v/>
      </c>
    </row>
    <row r="55">
      <c r="A55" s="43" t="inlineStr">
        <is>
          <t>EQUIPAMENTO</t>
        </is>
      </c>
      <c r="B55" s="43" t="inlineStr">
        <is>
          <t>AGIS-E0002</t>
        </is>
      </c>
      <c r="C55" s="43" t="inlineStr">
        <is>
          <t>Caminhão Basculante 14 m³</t>
        </is>
      </c>
      <c r="D55" s="46" t="inlineStr">
        <is>
          <t>—</t>
        </is>
      </c>
      <c r="E55" s="44" t="n">
        <v>7</v>
      </c>
      <c r="F55" s="45" t="n">
        <v>26945.6</v>
      </c>
      <c r="G55" s="45">
        <f>E55*F55</f>
        <v/>
      </c>
      <c r="H55" s="44" t="n">
        <v>8.970000000000001</v>
      </c>
      <c r="I55" s="45">
        <f>G55*H55</f>
        <v/>
      </c>
    </row>
    <row r="56">
      <c r="A56" s="47" t="inlineStr">
        <is>
          <t>COMBUSTÍVEL</t>
        </is>
      </c>
      <c r="B56" s="43" t="inlineStr">
        <is>
          <t>AGIS-E0002</t>
        </is>
      </c>
      <c r="C56" s="43" t="inlineStr">
        <is>
          <t>Diesel S-10 (2.5 L/h)</t>
        </is>
      </c>
      <c r="D56" s="46" t="inlineStr">
        <is>
          <t>—</t>
        </is>
      </c>
      <c r="E56" s="44" t="n">
        <v>7</v>
      </c>
      <c r="F56" s="45" t="n">
        <v>3188.57</v>
      </c>
      <c r="G56" s="45">
        <f>E56*F56</f>
        <v/>
      </c>
      <c r="H56" s="44" t="n">
        <v>8.970000000000001</v>
      </c>
      <c r="I56" s="45">
        <f>G56*H56</f>
        <v/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50">
        <f>SUM(G49:G56)</f>
        <v/>
      </c>
      <c r="H57" s="51" t="n">
        <v>8.970000000000001</v>
      </c>
      <c r="I57" s="50">
        <f>SUM(I49:I56)</f>
        <v/>
      </c>
    </row>
    <row r="58">
      <c r="A58" s="3" t="inlineStr">
        <is>
          <t>eap-1_5 — Esc/carg/transp 3aCat DMT&lt;=2000m</t>
        </is>
      </c>
    </row>
    <row r="59">
      <c r="A59" s="52" t="inlineStr">
        <is>
          <t>MÃO DE OBRA</t>
        </is>
      </c>
      <c r="B59" s="52" t="inlineStr">
        <is>
          <t>AGIS-FN-OPER-ESCAV</t>
        </is>
      </c>
      <c r="C59" s="52" t="inlineStr">
        <is>
          <t>Operador de Escavadeira</t>
        </is>
      </c>
      <c r="D59" s="32" t="inlineStr">
        <is>
          <t>DIRETO</t>
        </is>
      </c>
      <c r="E59" s="53" t="n">
        <v>1</v>
      </c>
      <c r="F59" s="54" t="n">
        <v>9394</v>
      </c>
      <c r="G59" s="54">
        <f>E59*F59</f>
        <v/>
      </c>
      <c r="H59" s="53" t="n">
        <v>3.45</v>
      </c>
      <c r="I59" s="54">
        <f>G59*H59</f>
        <v/>
      </c>
    </row>
    <row r="60">
      <c r="A60" s="52" t="inlineStr">
        <is>
          <t>MÃO DE OBRA</t>
        </is>
      </c>
      <c r="B60" s="52" t="inlineStr">
        <is>
          <t>AGIS-FN-AJUD</t>
        </is>
      </c>
      <c r="C60" s="52" t="inlineStr">
        <is>
          <t>Ajudante</t>
        </is>
      </c>
      <c r="D60" s="32" t="inlineStr">
        <is>
          <t>DIRETO</t>
        </is>
      </c>
      <c r="E60" s="53" t="n">
        <v>1</v>
      </c>
      <c r="F60" s="54" t="n">
        <v>4279</v>
      </c>
      <c r="G60" s="54">
        <f>E60*F60</f>
        <v/>
      </c>
      <c r="H60" s="53" t="n">
        <v>3.45</v>
      </c>
      <c r="I60" s="54">
        <f>G60*H60</f>
        <v/>
      </c>
    </row>
    <row r="61">
      <c r="A61" s="52" t="inlineStr">
        <is>
          <t>MÃO DE OBRA</t>
        </is>
      </c>
      <c r="B61" s="52" t="inlineStr">
        <is>
          <t>AGIS-FN-MOTOR-BASC</t>
        </is>
      </c>
      <c r="C61" s="52" t="inlineStr">
        <is>
          <t>Motorista de Caminhão Basculante</t>
        </is>
      </c>
      <c r="D61" s="32" t="inlineStr">
        <is>
          <t>DIRETO</t>
        </is>
      </c>
      <c r="E61" s="53" t="n">
        <v>6</v>
      </c>
      <c r="F61" s="54" t="n">
        <v>8382</v>
      </c>
      <c r="G61" s="54">
        <f>E61*F61</f>
        <v/>
      </c>
      <c r="H61" s="53" t="n">
        <v>3.45</v>
      </c>
      <c r="I61" s="54">
        <f>G61*H61</f>
        <v/>
      </c>
    </row>
    <row r="62">
      <c r="A62" s="52" t="inlineStr">
        <is>
          <t>EQUIPAMENTO</t>
        </is>
      </c>
      <c r="B62" s="52" t="inlineStr">
        <is>
          <t>AGIS-E0016</t>
        </is>
      </c>
      <c r="C62" s="52" t="inlineStr">
        <is>
          <t>Escavadeira Hidráulica sobre esteira 48T</t>
        </is>
      </c>
      <c r="D62" s="55" t="inlineStr">
        <is>
          <t>—</t>
        </is>
      </c>
      <c r="E62" s="53" t="n">
        <v>1</v>
      </c>
      <c r="F62" s="54" t="n">
        <v>82401</v>
      </c>
      <c r="G62" s="54">
        <f>E62*F62</f>
        <v/>
      </c>
      <c r="H62" s="53" t="n">
        <v>3.45</v>
      </c>
      <c r="I62" s="54">
        <f>G62*H62</f>
        <v/>
      </c>
    </row>
    <row r="63">
      <c r="A63" s="56" t="inlineStr">
        <is>
          <t>COMBUSTÍVEL</t>
        </is>
      </c>
      <c r="B63" s="52" t="inlineStr">
        <is>
          <t>AGIS-E0016</t>
        </is>
      </c>
      <c r="C63" s="52" t="inlineStr">
        <is>
          <t>Diesel S-10 (30.0 L/h)</t>
        </is>
      </c>
      <c r="D63" s="55" t="inlineStr">
        <is>
          <t>—</t>
        </is>
      </c>
      <c r="E63" s="53" t="n">
        <v>1</v>
      </c>
      <c r="F63" s="54" t="n">
        <v>38262.86</v>
      </c>
      <c r="G63" s="54">
        <f>E63*F63</f>
        <v/>
      </c>
      <c r="H63" s="53" t="n">
        <v>3.45</v>
      </c>
      <c r="I63" s="54">
        <f>G63*H63</f>
        <v/>
      </c>
    </row>
    <row r="64">
      <c r="A64" s="52" t="inlineStr">
        <is>
          <t>EQUIPAMENTO</t>
        </is>
      </c>
      <c r="B64" s="52" t="inlineStr">
        <is>
          <t>AGIS-E0004</t>
        </is>
      </c>
      <c r="C64" s="52" t="inlineStr">
        <is>
          <t>Caminhão Basculante 14 m³ - Rochas</t>
        </is>
      </c>
      <c r="D64" s="55" t="inlineStr">
        <is>
          <t>—</t>
        </is>
      </c>
      <c r="E64" s="53" t="n">
        <v>6</v>
      </c>
      <c r="F64" s="54" t="n">
        <v>40744</v>
      </c>
      <c r="G64" s="54">
        <f>E64*F64</f>
        <v/>
      </c>
      <c r="H64" s="53" t="n">
        <v>3.45</v>
      </c>
      <c r="I64" s="54">
        <f>G64*H64</f>
        <v/>
      </c>
    </row>
    <row r="65">
      <c r="A65" s="56" t="inlineStr">
        <is>
          <t>COMBUSTÍVEL</t>
        </is>
      </c>
      <c r="B65" s="52" t="inlineStr">
        <is>
          <t>AGIS-E0004</t>
        </is>
      </c>
      <c r="C65" s="52" t="inlineStr">
        <is>
          <t>Diesel S-10 (3.0 L/h)</t>
        </is>
      </c>
      <c r="D65" s="55" t="inlineStr">
        <is>
          <t>—</t>
        </is>
      </c>
      <c r="E65" s="53" t="n">
        <v>6</v>
      </c>
      <c r="F65" s="54" t="n">
        <v>3826.29</v>
      </c>
      <c r="G65" s="54">
        <f>E65*F65</f>
        <v/>
      </c>
      <c r="H65" s="53" t="n">
        <v>3.45</v>
      </c>
      <c r="I65" s="54">
        <f>G65*H65</f>
        <v/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50">
        <f>SUM(G59:G65)</f>
        <v/>
      </c>
      <c r="H66" s="51" t="n">
        <v>3.45</v>
      </c>
      <c r="I66" s="50">
        <f>SUM(I59:I65)</f>
        <v/>
      </c>
    </row>
    <row r="67">
      <c r="A67" s="3" t="inlineStr">
        <is>
          <t>eap-1_6 — Esc/carg/transp 3aCat DMT&lt;=3000m</t>
        </is>
      </c>
    </row>
    <row r="68">
      <c r="A68" s="43" t="inlineStr">
        <is>
          <t>MÃO DE OBRA</t>
        </is>
      </c>
      <c r="B68" s="43" t="inlineStr">
        <is>
          <t>AGIS-FN-OPER-ESCAV</t>
        </is>
      </c>
      <c r="C68" s="43" t="inlineStr">
        <is>
          <t>Operador de Escavadeira</t>
        </is>
      </c>
      <c r="D68" s="31" t="inlineStr">
        <is>
          <t>DIRETO</t>
        </is>
      </c>
      <c r="E68" s="44" t="n">
        <v>1</v>
      </c>
      <c r="F68" s="45" t="n">
        <v>9394</v>
      </c>
      <c r="G68" s="45">
        <f>E68*F68</f>
        <v/>
      </c>
      <c r="H68" s="44" t="n">
        <v>7.82</v>
      </c>
      <c r="I68" s="45">
        <f>G68*H68</f>
        <v/>
      </c>
    </row>
    <row r="69">
      <c r="A69" s="43" t="inlineStr">
        <is>
          <t>MÃO DE OBRA</t>
        </is>
      </c>
      <c r="B69" s="43" t="inlineStr">
        <is>
          <t>AGIS-FN-AJUD</t>
        </is>
      </c>
      <c r="C69" s="43" t="inlineStr">
        <is>
          <t>Ajudante</t>
        </is>
      </c>
      <c r="D69" s="31" t="inlineStr">
        <is>
          <t>DIRETO</t>
        </is>
      </c>
      <c r="E69" s="44" t="n">
        <v>1</v>
      </c>
      <c r="F69" s="45" t="n">
        <v>4279</v>
      </c>
      <c r="G69" s="45">
        <f>E69*F69</f>
        <v/>
      </c>
      <c r="H69" s="44" t="n">
        <v>7.82</v>
      </c>
      <c r="I69" s="45">
        <f>G69*H69</f>
        <v/>
      </c>
    </row>
    <row r="70">
      <c r="A70" s="43" t="inlineStr">
        <is>
          <t>MÃO DE OBRA</t>
        </is>
      </c>
      <c r="B70" s="43" t="inlineStr">
        <is>
          <t>AGIS-FN-MOTOR-BASC</t>
        </is>
      </c>
      <c r="C70" s="43" t="inlineStr">
        <is>
          <t>Motorista de Caminhão Basculante</t>
        </is>
      </c>
      <c r="D70" s="31" t="inlineStr">
        <is>
          <t>DIRETO</t>
        </is>
      </c>
      <c r="E70" s="44" t="n">
        <v>8</v>
      </c>
      <c r="F70" s="45" t="n">
        <v>8382</v>
      </c>
      <c r="G70" s="45">
        <f>E70*F70</f>
        <v/>
      </c>
      <c r="H70" s="44" t="n">
        <v>7.82</v>
      </c>
      <c r="I70" s="45">
        <f>G70*H70</f>
        <v/>
      </c>
    </row>
    <row r="71">
      <c r="A71" s="43" t="inlineStr">
        <is>
          <t>EQUIPAMENTO</t>
        </is>
      </c>
      <c r="B71" s="43" t="inlineStr">
        <is>
          <t>AGIS-E0016</t>
        </is>
      </c>
      <c r="C71" s="43" t="inlineStr">
        <is>
          <t>Escavadeira Hidráulica sobre esteira 48T</t>
        </is>
      </c>
      <c r="D71" s="46" t="inlineStr">
        <is>
          <t>—</t>
        </is>
      </c>
      <c r="E71" s="44" t="n">
        <v>1</v>
      </c>
      <c r="F71" s="45" t="n">
        <v>82401</v>
      </c>
      <c r="G71" s="45">
        <f>E71*F71</f>
        <v/>
      </c>
      <c r="H71" s="44" t="n">
        <v>7.82</v>
      </c>
      <c r="I71" s="45">
        <f>G71*H71</f>
        <v/>
      </c>
    </row>
    <row r="72">
      <c r="A72" s="47" t="inlineStr">
        <is>
          <t>COMBUSTÍVEL</t>
        </is>
      </c>
      <c r="B72" s="43" t="inlineStr">
        <is>
          <t>AGIS-E0016</t>
        </is>
      </c>
      <c r="C72" s="43" t="inlineStr">
        <is>
          <t>Diesel S-10 (30.0 L/h)</t>
        </is>
      </c>
      <c r="D72" s="46" t="inlineStr">
        <is>
          <t>—</t>
        </is>
      </c>
      <c r="E72" s="44" t="n">
        <v>1</v>
      </c>
      <c r="F72" s="45" t="n">
        <v>38262.86</v>
      </c>
      <c r="G72" s="45">
        <f>E72*F72</f>
        <v/>
      </c>
      <c r="H72" s="44" t="n">
        <v>7.82</v>
      </c>
      <c r="I72" s="45">
        <f>G72*H72</f>
        <v/>
      </c>
    </row>
    <row r="73">
      <c r="A73" s="43" t="inlineStr">
        <is>
          <t>EQUIPAMENTO</t>
        </is>
      </c>
      <c r="B73" s="43" t="inlineStr">
        <is>
          <t>AGIS-E0004</t>
        </is>
      </c>
      <c r="C73" s="43" t="inlineStr">
        <is>
          <t>Caminhão Basculante 14 m³ - Rochas</t>
        </is>
      </c>
      <c r="D73" s="46" t="inlineStr">
        <is>
          <t>—</t>
        </is>
      </c>
      <c r="E73" s="44" t="n">
        <v>8</v>
      </c>
      <c r="F73" s="45" t="n">
        <v>40744</v>
      </c>
      <c r="G73" s="45">
        <f>E73*F73</f>
        <v/>
      </c>
      <c r="H73" s="44" t="n">
        <v>7.82</v>
      </c>
      <c r="I73" s="45">
        <f>G73*H73</f>
        <v/>
      </c>
    </row>
    <row r="74">
      <c r="A74" s="47" t="inlineStr">
        <is>
          <t>COMBUSTÍVEL</t>
        </is>
      </c>
      <c r="B74" s="43" t="inlineStr">
        <is>
          <t>AGIS-E0004</t>
        </is>
      </c>
      <c r="C74" s="43" t="inlineStr">
        <is>
          <t>Diesel S-10 (3.0 L/h)</t>
        </is>
      </c>
      <c r="D74" s="46" t="inlineStr">
        <is>
          <t>—</t>
        </is>
      </c>
      <c r="E74" s="44" t="n">
        <v>8</v>
      </c>
      <c r="F74" s="45" t="n">
        <v>3826.29</v>
      </c>
      <c r="G74" s="45">
        <f>E74*F74</f>
        <v/>
      </c>
      <c r="H74" s="44" t="n">
        <v>7.82</v>
      </c>
      <c r="I74" s="45">
        <f>G74*H74</f>
        <v/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50">
        <f>SUM(G68:G74)</f>
        <v/>
      </c>
      <c r="H75" s="51" t="n">
        <v>7.82</v>
      </c>
      <c r="I75" s="50">
        <f>SUM(I68:I74)</f>
        <v/>
      </c>
    </row>
    <row r="76">
      <c r="A76" s="3" t="inlineStr">
        <is>
          <t>eap-1_7 — Compactacao aterros 100% Proctor Normal</t>
        </is>
      </c>
    </row>
    <row r="77">
      <c r="A77" s="52" t="inlineStr">
        <is>
          <t>MÃO DE OBRA</t>
        </is>
      </c>
      <c r="B77" s="52" t="inlineStr">
        <is>
          <t>AGIS-FN-OPER-ROLO</t>
        </is>
      </c>
      <c r="C77" s="52" t="inlineStr">
        <is>
          <t>Operador de Rolo Compactador</t>
        </is>
      </c>
      <c r="D77" s="32" t="inlineStr">
        <is>
          <t>DIRETO</t>
        </is>
      </c>
      <c r="E77" s="53" t="n">
        <v>2</v>
      </c>
      <c r="F77" s="54" t="n">
        <v>8382</v>
      </c>
      <c r="G77" s="54">
        <f>E77*F77</f>
        <v/>
      </c>
      <c r="H77" s="53" t="n">
        <v>8.050000000000001</v>
      </c>
      <c r="I77" s="54">
        <f>G77*H77</f>
        <v/>
      </c>
    </row>
    <row r="78">
      <c r="A78" s="52" t="inlineStr">
        <is>
          <t>MÃO DE OBRA</t>
        </is>
      </c>
      <c r="B78" s="52" t="inlineStr">
        <is>
          <t>AGIS-FN-OPER-TRAT-PNEU</t>
        </is>
      </c>
      <c r="C78" s="52" t="inlineStr">
        <is>
          <t>Operador de Trator de Pneus</t>
        </is>
      </c>
      <c r="D78" s="32" t="inlineStr">
        <is>
          <t>DIRETO</t>
        </is>
      </c>
      <c r="E78" s="53" t="n">
        <v>1</v>
      </c>
      <c r="F78" s="54" t="n">
        <v>9394</v>
      </c>
      <c r="G78" s="54">
        <f>E78*F78</f>
        <v/>
      </c>
      <c r="H78" s="53" t="n">
        <v>8.050000000000001</v>
      </c>
      <c r="I78" s="54">
        <f>G78*H78</f>
        <v/>
      </c>
    </row>
    <row r="79">
      <c r="A79" s="52" t="inlineStr">
        <is>
          <t>MÃO DE OBRA</t>
        </is>
      </c>
      <c r="B79" s="52" t="inlineStr">
        <is>
          <t>AGIS-FN-OPER-MOTON</t>
        </is>
      </c>
      <c r="C79" s="52" t="inlineStr">
        <is>
          <t>Operador de Motoniveladora</t>
        </is>
      </c>
      <c r="D79" s="32" t="inlineStr">
        <is>
          <t>DIRETO</t>
        </is>
      </c>
      <c r="E79" s="53" t="n">
        <v>1</v>
      </c>
      <c r="F79" s="54" t="n">
        <v>9394</v>
      </c>
      <c r="G79" s="54">
        <f>E79*F79</f>
        <v/>
      </c>
      <c r="H79" s="53" t="n">
        <v>8.050000000000001</v>
      </c>
      <c r="I79" s="54">
        <f>G79*H79</f>
        <v/>
      </c>
    </row>
    <row r="80">
      <c r="A80" s="52" t="inlineStr">
        <is>
          <t>MÃO DE OBRA</t>
        </is>
      </c>
      <c r="B80" s="52" t="inlineStr">
        <is>
          <t>AGIS-FN-MOTOR-PIPA</t>
        </is>
      </c>
      <c r="C80" s="52" t="inlineStr">
        <is>
          <t>Motorista de Caminhão Pipa</t>
        </is>
      </c>
      <c r="D80" s="32" t="inlineStr">
        <is>
          <t>DIRETO</t>
        </is>
      </c>
      <c r="E80" s="53" t="n">
        <v>1</v>
      </c>
      <c r="F80" s="54" t="n">
        <v>8382</v>
      </c>
      <c r="G80" s="54">
        <f>E80*F80</f>
        <v/>
      </c>
      <c r="H80" s="53" t="n">
        <v>8.050000000000001</v>
      </c>
      <c r="I80" s="54">
        <f>G80*H80</f>
        <v/>
      </c>
    </row>
    <row r="81">
      <c r="A81" s="52" t="inlineStr">
        <is>
          <t>MÃO DE OBRA</t>
        </is>
      </c>
      <c r="B81" s="52" t="inlineStr">
        <is>
          <t>AGIS-FN-AJUD</t>
        </is>
      </c>
      <c r="C81" s="52" t="inlineStr">
        <is>
          <t>Ajudante</t>
        </is>
      </c>
      <c r="D81" s="32" t="inlineStr">
        <is>
          <t>DIRETO</t>
        </is>
      </c>
      <c r="E81" s="53" t="n">
        <v>2</v>
      </c>
      <c r="F81" s="54" t="n">
        <v>4279</v>
      </c>
      <c r="G81" s="54">
        <f>E81*F81</f>
        <v/>
      </c>
      <c r="H81" s="53" t="n">
        <v>8.050000000000001</v>
      </c>
      <c r="I81" s="54">
        <f>G81*H81</f>
        <v/>
      </c>
    </row>
    <row r="82">
      <c r="A82" s="52" t="inlineStr">
        <is>
          <t>MÃO DE OBRA</t>
        </is>
      </c>
      <c r="B82" s="52" t="inlineStr">
        <is>
          <t>AGIS-FN-GREDISTA</t>
        </is>
      </c>
      <c r="C82" s="52" t="inlineStr">
        <is>
          <t>Gredista</t>
        </is>
      </c>
      <c r="D82" s="32" t="inlineStr">
        <is>
          <t>DIRETO</t>
        </is>
      </c>
      <c r="E82" s="53" t="n">
        <v>1</v>
      </c>
      <c r="F82" s="54" t="n">
        <v>6448.2</v>
      </c>
      <c r="G82" s="54">
        <f>E82*F82</f>
        <v/>
      </c>
      <c r="H82" s="53" t="n">
        <v>8.050000000000001</v>
      </c>
      <c r="I82" s="54">
        <f>G82*H82</f>
        <v/>
      </c>
    </row>
    <row r="83">
      <c r="A83" s="52" t="inlineStr">
        <is>
          <t>MÃO DE OBRA</t>
        </is>
      </c>
      <c r="B83" s="52" t="inlineStr">
        <is>
          <t>AGIS-FN-ENCAR</t>
        </is>
      </c>
      <c r="C83" s="52" t="inlineStr">
        <is>
          <t>Encarregado de Frente</t>
        </is>
      </c>
      <c r="D83" s="32" t="inlineStr">
        <is>
          <t>DIRETO</t>
        </is>
      </c>
      <c r="E83" s="53" t="n">
        <v>1</v>
      </c>
      <c r="F83" s="54" t="n">
        <v>7499.8</v>
      </c>
      <c r="G83" s="54">
        <f>E83*F83</f>
        <v/>
      </c>
      <c r="H83" s="53" t="n">
        <v>8.050000000000001</v>
      </c>
      <c r="I83" s="54">
        <f>G83*H83</f>
        <v/>
      </c>
    </row>
    <row r="84">
      <c r="A84" s="52" t="inlineStr">
        <is>
          <t>EQUIPAMENTO</t>
        </is>
      </c>
      <c r="B84" s="52" t="inlineStr">
        <is>
          <t>AGIS-ROLO-PC-10T</t>
        </is>
      </c>
      <c r="C84" s="52" t="inlineStr">
        <is>
          <t>Rolo Compactador Pé de Carneiro 10T</t>
        </is>
      </c>
      <c r="D84" s="55" t="inlineStr">
        <is>
          <t>—</t>
        </is>
      </c>
      <c r="E84" s="53" t="n">
        <v>2</v>
      </c>
      <c r="F84" s="54" t="n">
        <v>24200</v>
      </c>
      <c r="G84" s="54">
        <f>E84*F84</f>
        <v/>
      </c>
      <c r="H84" s="53" t="n">
        <v>8.050000000000001</v>
      </c>
      <c r="I84" s="54">
        <f>G84*H84</f>
        <v/>
      </c>
    </row>
    <row r="85">
      <c r="A85" s="56" t="inlineStr">
        <is>
          <t>COMBUSTÍVEL</t>
        </is>
      </c>
      <c r="B85" s="52" t="inlineStr">
        <is>
          <t>AGIS-ROLO-PC-10T</t>
        </is>
      </c>
      <c r="C85" s="52" t="inlineStr">
        <is>
          <t>Diesel S-10 (16.0 L/h)</t>
        </is>
      </c>
      <c r="D85" s="55" t="inlineStr">
        <is>
          <t>—</t>
        </is>
      </c>
      <c r="E85" s="53" t="n">
        <v>2</v>
      </c>
      <c r="F85" s="54" t="n">
        <v>20406.86</v>
      </c>
      <c r="G85" s="54">
        <f>E85*F85</f>
        <v/>
      </c>
      <c r="H85" s="53" t="n">
        <v>8.050000000000001</v>
      </c>
      <c r="I85" s="54">
        <f>G85*H85</f>
        <v/>
      </c>
    </row>
    <row r="86">
      <c r="A86" s="52" t="inlineStr">
        <is>
          <t>EQUIPAMENTO</t>
        </is>
      </c>
      <c r="B86" s="52" t="inlineStr">
        <is>
          <t>AGIS-TRATOR-PNEU-GRADE</t>
        </is>
      </c>
      <c r="C86" s="52" t="inlineStr">
        <is>
          <t>Trator de Pneus com Grade</t>
        </is>
      </c>
      <c r="D86" s="55" t="inlineStr">
        <is>
          <t>—</t>
        </is>
      </c>
      <c r="E86" s="53" t="n">
        <v>1</v>
      </c>
      <c r="F86" s="54" t="n">
        <v>33660</v>
      </c>
      <c r="G86" s="54">
        <f>E86*F86</f>
        <v/>
      </c>
      <c r="H86" s="53" t="n">
        <v>8.050000000000001</v>
      </c>
      <c r="I86" s="54">
        <f>G86*H86</f>
        <v/>
      </c>
    </row>
    <row r="87">
      <c r="A87" s="56" t="inlineStr">
        <is>
          <t>COMBUSTÍVEL</t>
        </is>
      </c>
      <c r="B87" s="52" t="inlineStr">
        <is>
          <t>AGIS-TRATOR-PNEU-GRADE</t>
        </is>
      </c>
      <c r="C87" s="52" t="inlineStr">
        <is>
          <t>Diesel S-10 (18.0 L/h)</t>
        </is>
      </c>
      <c r="D87" s="55" t="inlineStr">
        <is>
          <t>—</t>
        </is>
      </c>
      <c r="E87" s="53" t="n">
        <v>1</v>
      </c>
      <c r="F87" s="54" t="n">
        <v>22957.71</v>
      </c>
      <c r="G87" s="54">
        <f>E87*F87</f>
        <v/>
      </c>
      <c r="H87" s="53" t="n">
        <v>8.050000000000001</v>
      </c>
      <c r="I87" s="54">
        <f>G87*H87</f>
        <v/>
      </c>
    </row>
    <row r="88">
      <c r="A88" s="52" t="inlineStr">
        <is>
          <t>EQUIPAMENTO</t>
        </is>
      </c>
      <c r="B88" s="52" t="inlineStr">
        <is>
          <t>AGIS-MOTON-140K</t>
        </is>
      </c>
      <c r="C88" s="52" t="inlineStr">
        <is>
          <t>Motoniveladora 140K</t>
        </is>
      </c>
      <c r="D88" s="55" t="inlineStr">
        <is>
          <t>—</t>
        </is>
      </c>
      <c r="E88" s="53" t="n">
        <v>1</v>
      </c>
      <c r="F88" s="54" t="n">
        <v>56020.8</v>
      </c>
      <c r="G88" s="54">
        <f>E88*F88</f>
        <v/>
      </c>
      <c r="H88" s="53" t="n">
        <v>8.050000000000001</v>
      </c>
      <c r="I88" s="54">
        <f>G88*H88</f>
        <v/>
      </c>
    </row>
    <row r="89">
      <c r="A89" s="56" t="inlineStr">
        <is>
          <t>COMBUSTÍVEL</t>
        </is>
      </c>
      <c r="B89" s="52" t="inlineStr">
        <is>
          <t>AGIS-MOTON-140K</t>
        </is>
      </c>
      <c r="C89" s="52" t="inlineStr">
        <is>
          <t>Diesel S-10 (22.0 L/h)</t>
        </is>
      </c>
      <c r="D89" s="55" t="inlineStr">
        <is>
          <t>—</t>
        </is>
      </c>
      <c r="E89" s="53" t="n">
        <v>1</v>
      </c>
      <c r="F89" s="54" t="n">
        <v>28059.43</v>
      </c>
      <c r="G89" s="54">
        <f>E89*F89</f>
        <v/>
      </c>
      <c r="H89" s="53" t="n">
        <v>8.050000000000001</v>
      </c>
      <c r="I89" s="54">
        <f>G89*H89</f>
        <v/>
      </c>
    </row>
    <row r="90">
      <c r="A90" s="52" t="inlineStr">
        <is>
          <t>EQUIPAMENTO</t>
        </is>
      </c>
      <c r="B90" s="52" t="inlineStr">
        <is>
          <t>AGIS-CAM-PIPA-18K</t>
        </is>
      </c>
      <c r="C90" s="52" t="inlineStr">
        <is>
          <t>Caminhão Pipa 18.000 L</t>
        </is>
      </c>
      <c r="D90" s="55" t="inlineStr">
        <is>
          <t>—</t>
        </is>
      </c>
      <c r="E90" s="53" t="n">
        <v>1</v>
      </c>
      <c r="F90" s="54" t="n">
        <v>25300</v>
      </c>
      <c r="G90" s="54">
        <f>E90*F90</f>
        <v/>
      </c>
      <c r="H90" s="53" t="n">
        <v>8.050000000000001</v>
      </c>
      <c r="I90" s="54">
        <f>G90*H90</f>
        <v/>
      </c>
    </row>
    <row r="91">
      <c r="A91" s="56" t="inlineStr">
        <is>
          <t>COMBUSTÍVEL</t>
        </is>
      </c>
      <c r="B91" s="52" t="inlineStr">
        <is>
          <t>AGIS-CAM-PIPA-18K</t>
        </is>
      </c>
      <c r="C91" s="52" t="inlineStr">
        <is>
          <t>Diesel S-10 (7.0 L/h)</t>
        </is>
      </c>
      <c r="D91" s="55" t="inlineStr">
        <is>
          <t>—</t>
        </is>
      </c>
      <c r="E91" s="53" t="n">
        <v>1</v>
      </c>
      <c r="F91" s="54" t="n">
        <v>8928</v>
      </c>
      <c r="G91" s="54">
        <f>E91*F91</f>
        <v/>
      </c>
      <c r="H91" s="53" t="n">
        <v>8.050000000000001</v>
      </c>
      <c r="I91" s="54">
        <f>G91*H91</f>
        <v/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50">
        <f>SUM(G77:G91)</f>
        <v/>
      </c>
      <c r="H92" s="51" t="n">
        <v>8.050000000000001</v>
      </c>
      <c r="I92" s="50">
        <f>SUM(I77:I91)</f>
        <v/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MÃO DE OBRA</t>
        </is>
      </c>
      <c r="B94" s="43" t="inlineStr">
        <is>
          <t>AGIS-FN-OPER-ROLO</t>
        </is>
      </c>
      <c r="C94" s="43" t="inlineStr">
        <is>
          <t>Operador de Rolo Compactador</t>
        </is>
      </c>
      <c r="D94" s="31" t="inlineStr">
        <is>
          <t>DIRETO</t>
        </is>
      </c>
      <c r="E94" s="44" t="n">
        <v>2</v>
      </c>
      <c r="F94" s="45" t="n">
        <v>8382</v>
      </c>
      <c r="G94" s="45">
        <f>E94*F94</f>
        <v/>
      </c>
      <c r="H94" s="44" t="n">
        <v>0.6899999999999999</v>
      </c>
      <c r="I94" s="45">
        <f>G94*H94</f>
        <v/>
      </c>
    </row>
    <row r="95">
      <c r="A95" s="43" t="inlineStr">
        <is>
          <t>MÃO DE OBRA</t>
        </is>
      </c>
      <c r="B95" s="43" t="inlineStr">
        <is>
          <t>AGIS-FN-OPER-TRAT-PNEU</t>
        </is>
      </c>
      <c r="C95" s="43" t="inlineStr">
        <is>
          <t>Operador de Trator de Pneus</t>
        </is>
      </c>
      <c r="D95" s="31" t="inlineStr">
        <is>
          <t>DIRETO</t>
        </is>
      </c>
      <c r="E95" s="44" t="n">
        <v>1</v>
      </c>
      <c r="F95" s="45" t="n">
        <v>9394</v>
      </c>
      <c r="G95" s="45">
        <f>E95*F95</f>
        <v/>
      </c>
      <c r="H95" s="44" t="n">
        <v>0.6899999999999999</v>
      </c>
      <c r="I95" s="45">
        <f>G95*H95</f>
        <v/>
      </c>
    </row>
    <row r="96">
      <c r="A96" s="43" t="inlineStr">
        <is>
          <t>MÃO DE OBRA</t>
        </is>
      </c>
      <c r="B96" s="43" t="inlineStr">
        <is>
          <t>AGIS-FN-OPER-MOTON</t>
        </is>
      </c>
      <c r="C96" s="43" t="inlineStr">
        <is>
          <t>Operador de Motoniveladora</t>
        </is>
      </c>
      <c r="D96" s="31" t="inlineStr">
        <is>
          <t>DIRETO</t>
        </is>
      </c>
      <c r="E96" s="44" t="n">
        <v>1</v>
      </c>
      <c r="F96" s="45" t="n">
        <v>9394</v>
      </c>
      <c r="G96" s="45">
        <f>E96*F96</f>
        <v/>
      </c>
      <c r="H96" s="44" t="n">
        <v>0.6899999999999999</v>
      </c>
      <c r="I96" s="45">
        <f>G96*H96</f>
        <v/>
      </c>
    </row>
    <row r="97">
      <c r="A97" s="43" t="inlineStr">
        <is>
          <t>MÃO DE OBRA</t>
        </is>
      </c>
      <c r="B97" s="43" t="inlineStr">
        <is>
          <t>AGIS-FN-MOTOR-PIPA</t>
        </is>
      </c>
      <c r="C97" s="43" t="inlineStr">
        <is>
          <t>Motorista de Caminhão Pipa</t>
        </is>
      </c>
      <c r="D97" s="31" t="inlineStr">
        <is>
          <t>DIRETO</t>
        </is>
      </c>
      <c r="E97" s="44" t="n">
        <v>1</v>
      </c>
      <c r="F97" s="45" t="n">
        <v>8382</v>
      </c>
      <c r="G97" s="45">
        <f>E97*F97</f>
        <v/>
      </c>
      <c r="H97" s="44" t="n">
        <v>0.6899999999999999</v>
      </c>
      <c r="I97" s="45">
        <f>G97*H97</f>
        <v/>
      </c>
    </row>
    <row r="98">
      <c r="A98" s="43" t="inlineStr">
        <is>
          <t>MÃO DE OBRA</t>
        </is>
      </c>
      <c r="B98" s="43" t="inlineStr">
        <is>
          <t>AGIS-FN-AJUD</t>
        </is>
      </c>
      <c r="C98" s="43" t="inlineStr">
        <is>
          <t>Ajudante</t>
        </is>
      </c>
      <c r="D98" s="31" t="inlineStr">
        <is>
          <t>DIRETO</t>
        </is>
      </c>
      <c r="E98" s="44" t="n">
        <v>2</v>
      </c>
      <c r="F98" s="45" t="n">
        <v>4279</v>
      </c>
      <c r="G98" s="45">
        <f>E98*F98</f>
        <v/>
      </c>
      <c r="H98" s="44" t="n">
        <v>0.6899999999999999</v>
      </c>
      <c r="I98" s="45">
        <f>G98*H98</f>
        <v/>
      </c>
    </row>
    <row r="99">
      <c r="A99" s="43" t="inlineStr">
        <is>
          <t>MÃO DE OBRA</t>
        </is>
      </c>
      <c r="B99" s="43" t="inlineStr">
        <is>
          <t>AGIS-FN-GREDISTA</t>
        </is>
      </c>
      <c r="C99" s="43" t="inlineStr">
        <is>
          <t>Gredista</t>
        </is>
      </c>
      <c r="D99" s="31" t="inlineStr">
        <is>
          <t>DIRETO</t>
        </is>
      </c>
      <c r="E99" s="44" t="n">
        <v>1</v>
      </c>
      <c r="F99" s="45" t="n">
        <v>6448.2</v>
      </c>
      <c r="G99" s="45">
        <f>E99*F99</f>
        <v/>
      </c>
      <c r="H99" s="44" t="n">
        <v>0.6899999999999999</v>
      </c>
      <c r="I99" s="45">
        <f>G99*H99</f>
        <v/>
      </c>
    </row>
    <row r="100">
      <c r="A100" s="43" t="inlineStr">
        <is>
          <t>MÃO DE OBRA</t>
        </is>
      </c>
      <c r="B100" s="43" t="inlineStr">
        <is>
          <t>AGIS-FN-ENCAR</t>
        </is>
      </c>
      <c r="C100" s="43" t="inlineStr">
        <is>
          <t>Encarregado de Frente</t>
        </is>
      </c>
      <c r="D100" s="31" t="inlineStr">
        <is>
          <t>DIRETO</t>
        </is>
      </c>
      <c r="E100" s="44" t="n">
        <v>1</v>
      </c>
      <c r="F100" s="45" t="n">
        <v>7499.8</v>
      </c>
      <c r="G100" s="45">
        <f>E100*F100</f>
        <v/>
      </c>
      <c r="H100" s="44" t="n">
        <v>0.6899999999999999</v>
      </c>
      <c r="I100" s="45">
        <f>G100*H100</f>
        <v/>
      </c>
    </row>
    <row r="101">
      <c r="A101" s="43" t="inlineStr">
        <is>
          <t>EQUIPAMENTO</t>
        </is>
      </c>
      <c r="B101" s="43" t="inlineStr">
        <is>
          <t>AGIS-ROLO-PC-10T</t>
        </is>
      </c>
      <c r="C101" s="43" t="inlineStr">
        <is>
          <t>Rolo Compactador Pé de Carneiro 10T</t>
        </is>
      </c>
      <c r="D101" s="46" t="inlineStr">
        <is>
          <t>—</t>
        </is>
      </c>
      <c r="E101" s="44" t="n">
        <v>2</v>
      </c>
      <c r="F101" s="45" t="n">
        <v>24200</v>
      </c>
      <c r="G101" s="45">
        <f>E101*F101</f>
        <v/>
      </c>
      <c r="H101" s="44" t="n">
        <v>0.6899999999999999</v>
      </c>
      <c r="I101" s="45">
        <f>G101*H101</f>
        <v/>
      </c>
    </row>
    <row r="102">
      <c r="A102" s="47" t="inlineStr">
        <is>
          <t>COMBUSTÍVEL</t>
        </is>
      </c>
      <c r="B102" s="43" t="inlineStr">
        <is>
          <t>AGIS-ROLO-PC-10T</t>
        </is>
      </c>
      <c r="C102" s="43" t="inlineStr">
        <is>
          <t>Diesel S-10 (16.0 L/h)</t>
        </is>
      </c>
      <c r="D102" s="46" t="inlineStr">
        <is>
          <t>—</t>
        </is>
      </c>
      <c r="E102" s="44" t="n">
        <v>2</v>
      </c>
      <c r="F102" s="45" t="n">
        <v>20406.86</v>
      </c>
      <c r="G102" s="45">
        <f>E102*F102</f>
        <v/>
      </c>
      <c r="H102" s="44" t="n">
        <v>0.6899999999999999</v>
      </c>
      <c r="I102" s="45">
        <f>G102*H102</f>
        <v/>
      </c>
    </row>
    <row r="103">
      <c r="A103" s="43" t="inlineStr">
        <is>
          <t>EQUIPAMENTO</t>
        </is>
      </c>
      <c r="B103" s="43" t="inlineStr">
        <is>
          <t>AGIS-TRATOR-PNEU-GRADE</t>
        </is>
      </c>
      <c r="C103" s="43" t="inlineStr">
        <is>
          <t>Trator de Pneus com Grade</t>
        </is>
      </c>
      <c r="D103" s="46" t="inlineStr">
        <is>
          <t>—</t>
        </is>
      </c>
      <c r="E103" s="44" t="n">
        <v>1</v>
      </c>
      <c r="F103" s="45" t="n">
        <v>33660</v>
      </c>
      <c r="G103" s="45">
        <f>E103*F103</f>
        <v/>
      </c>
      <c r="H103" s="44" t="n">
        <v>0.6899999999999999</v>
      </c>
      <c r="I103" s="45">
        <f>G103*H103</f>
        <v/>
      </c>
    </row>
    <row r="104">
      <c r="A104" s="47" t="inlineStr">
        <is>
          <t>COMBUSTÍVEL</t>
        </is>
      </c>
      <c r="B104" s="43" t="inlineStr">
        <is>
          <t>AGIS-TRATOR-PNEU-GRADE</t>
        </is>
      </c>
      <c r="C104" s="43" t="inlineStr">
        <is>
          <t>Diesel S-10 (18.0 L/h)</t>
        </is>
      </c>
      <c r="D104" s="46" t="inlineStr">
        <is>
          <t>—</t>
        </is>
      </c>
      <c r="E104" s="44" t="n">
        <v>1</v>
      </c>
      <c r="F104" s="45" t="n">
        <v>22957.71</v>
      </c>
      <c r="G104" s="45">
        <f>E104*F104</f>
        <v/>
      </c>
      <c r="H104" s="44" t="n">
        <v>0.6899999999999999</v>
      </c>
      <c r="I104" s="45">
        <f>G104*H104</f>
        <v/>
      </c>
    </row>
    <row r="105">
      <c r="A105" s="43" t="inlineStr">
        <is>
          <t>EQUIPAMENTO</t>
        </is>
      </c>
      <c r="B105" s="43" t="inlineStr">
        <is>
          <t>AGIS-MOTON-140K</t>
        </is>
      </c>
      <c r="C105" s="43" t="inlineStr">
        <is>
          <t>Motoniveladora 140K</t>
        </is>
      </c>
      <c r="D105" s="46" t="inlineStr">
        <is>
          <t>—</t>
        </is>
      </c>
      <c r="E105" s="44" t="n">
        <v>1</v>
      </c>
      <c r="F105" s="45" t="n">
        <v>56020.8</v>
      </c>
      <c r="G105" s="45">
        <f>E105*F105</f>
        <v/>
      </c>
      <c r="H105" s="44" t="n">
        <v>0.6899999999999999</v>
      </c>
      <c r="I105" s="45">
        <f>G105*H105</f>
        <v/>
      </c>
    </row>
    <row r="106">
      <c r="A106" s="47" t="inlineStr">
        <is>
          <t>COMBUSTÍVEL</t>
        </is>
      </c>
      <c r="B106" s="43" t="inlineStr">
        <is>
          <t>AGIS-MOTON-140K</t>
        </is>
      </c>
      <c r="C106" s="43" t="inlineStr">
        <is>
          <t>Diesel S-10 (22.0 L/h)</t>
        </is>
      </c>
      <c r="D106" s="46" t="inlineStr">
        <is>
          <t>—</t>
        </is>
      </c>
      <c r="E106" s="44" t="n">
        <v>1</v>
      </c>
      <c r="F106" s="45" t="n">
        <v>28059.43</v>
      </c>
      <c r="G106" s="45">
        <f>E106*F106</f>
        <v/>
      </c>
      <c r="H106" s="44" t="n">
        <v>0.6899999999999999</v>
      </c>
      <c r="I106" s="45">
        <f>G106*H106</f>
        <v/>
      </c>
    </row>
    <row r="107">
      <c r="A107" s="43" t="inlineStr">
        <is>
          <t>EQUIPAMENTO</t>
        </is>
      </c>
      <c r="B107" s="43" t="inlineStr">
        <is>
          <t>AGIS-CAM-PIPA-18K</t>
        </is>
      </c>
      <c r="C107" s="43" t="inlineStr">
        <is>
          <t>Caminhão Pipa 18.000 L</t>
        </is>
      </c>
      <c r="D107" s="46" t="inlineStr">
        <is>
          <t>—</t>
        </is>
      </c>
      <c r="E107" s="44" t="n">
        <v>1</v>
      </c>
      <c r="F107" s="45" t="n">
        <v>25300</v>
      </c>
      <c r="G107" s="45">
        <f>E107*F107</f>
        <v/>
      </c>
      <c r="H107" s="44" t="n">
        <v>0.6899999999999999</v>
      </c>
      <c r="I107" s="45">
        <f>G107*H107</f>
        <v/>
      </c>
    </row>
    <row r="108">
      <c r="A108" s="47" t="inlineStr">
        <is>
          <t>COMBUSTÍVEL</t>
        </is>
      </c>
      <c r="B108" s="43" t="inlineStr">
        <is>
          <t>AGIS-CAM-PIPA-18K</t>
        </is>
      </c>
      <c r="C108" s="43" t="inlineStr">
        <is>
          <t>Diesel S-10 (7.0 L/h)</t>
        </is>
      </c>
      <c r="D108" s="46" t="inlineStr">
        <is>
          <t>—</t>
        </is>
      </c>
      <c r="E108" s="44" t="n">
        <v>1</v>
      </c>
      <c r="F108" s="45" t="n">
        <v>8928</v>
      </c>
      <c r="G108" s="45">
        <f>E108*F108</f>
        <v/>
      </c>
      <c r="H108" s="44" t="n">
        <v>0.6899999999999999</v>
      </c>
      <c r="I108" s="45">
        <f>G108*H108</f>
        <v/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50">
        <f>SUM(G94:G108)</f>
        <v/>
      </c>
      <c r="H109" s="51" t="n">
        <v>0.6899999999999999</v>
      </c>
      <c r="I109" s="50">
        <f>SUM(I94:I108)</f>
        <v/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MÃO DE OBRA</t>
        </is>
      </c>
      <c r="B111" s="52" t="inlineStr">
        <is>
          <t>AGIS-FN-OPER-ROLO</t>
        </is>
      </c>
      <c r="C111" s="52" t="inlineStr">
        <is>
          <t>Operador de Rolo Compactador</t>
        </is>
      </c>
      <c r="D111" s="32" t="inlineStr">
        <is>
          <t>DIRETO</t>
        </is>
      </c>
      <c r="E111" s="53" t="n">
        <v>2</v>
      </c>
      <c r="F111" s="54" t="n">
        <v>8382</v>
      </c>
      <c r="G111" s="54">
        <f>E111*F111</f>
        <v/>
      </c>
      <c r="H111" s="53" t="n">
        <v>7.36</v>
      </c>
      <c r="I111" s="54">
        <f>G111*H111</f>
        <v/>
      </c>
    </row>
    <row r="112">
      <c r="A112" s="52" t="inlineStr">
        <is>
          <t>MÃO DE OBRA</t>
        </is>
      </c>
      <c r="B112" s="52" t="inlineStr">
        <is>
          <t>AGIS-FN-OPER-TRAT-EST</t>
        </is>
      </c>
      <c r="C112" s="52" t="inlineStr">
        <is>
          <t>Operador de Trator de Esteiras</t>
        </is>
      </c>
      <c r="D112" s="32" t="inlineStr">
        <is>
          <t>DIRETO</t>
        </is>
      </c>
      <c r="E112" s="53" t="n">
        <v>1</v>
      </c>
      <c r="F112" s="54" t="n">
        <v>9394</v>
      </c>
      <c r="G112" s="54">
        <f>E112*F112</f>
        <v/>
      </c>
      <c r="H112" s="53" t="n">
        <v>7.36</v>
      </c>
      <c r="I112" s="54">
        <f>G112*H112</f>
        <v/>
      </c>
    </row>
    <row r="113">
      <c r="A113" s="52" t="inlineStr">
        <is>
          <t>MÃO DE OBRA</t>
        </is>
      </c>
      <c r="B113" s="52" t="inlineStr">
        <is>
          <t>AGIS-FN-AJUD</t>
        </is>
      </c>
      <c r="C113" s="52" t="inlineStr">
        <is>
          <t>Ajudante</t>
        </is>
      </c>
      <c r="D113" s="32" t="inlineStr">
        <is>
          <t>DIRETO</t>
        </is>
      </c>
      <c r="E113" s="53" t="n">
        <v>2</v>
      </c>
      <c r="F113" s="54" t="n">
        <v>4279</v>
      </c>
      <c r="G113" s="54">
        <f>E113*F113</f>
        <v/>
      </c>
      <c r="H113" s="53" t="n">
        <v>7.36</v>
      </c>
      <c r="I113" s="54">
        <f>G113*H113</f>
        <v/>
      </c>
    </row>
    <row r="114">
      <c r="A114" s="52" t="inlineStr">
        <is>
          <t>MÃO DE OBRA</t>
        </is>
      </c>
      <c r="B114" s="52" t="inlineStr">
        <is>
          <t>AGIS-FN-GREDISTA</t>
        </is>
      </c>
      <c r="C114" s="52" t="inlineStr">
        <is>
          <t>Gredista</t>
        </is>
      </c>
      <c r="D114" s="32" t="inlineStr">
        <is>
          <t>DIRETO</t>
        </is>
      </c>
      <c r="E114" s="53" t="n">
        <v>1</v>
      </c>
      <c r="F114" s="54" t="n">
        <v>6448.2</v>
      </c>
      <c r="G114" s="54">
        <f>E114*F114</f>
        <v/>
      </c>
      <c r="H114" s="53" t="n">
        <v>7.36</v>
      </c>
      <c r="I114" s="54">
        <f>G114*H114</f>
        <v/>
      </c>
    </row>
    <row r="115">
      <c r="A115" s="52" t="inlineStr">
        <is>
          <t>MÃO DE OBRA</t>
        </is>
      </c>
      <c r="B115" s="52" t="inlineStr">
        <is>
          <t>AGIS-FN-ENCAR</t>
        </is>
      </c>
      <c r="C115" s="52" t="inlineStr">
        <is>
          <t>Encarregado de Frente</t>
        </is>
      </c>
      <c r="D115" s="32" t="inlineStr">
        <is>
          <t>DIRETO</t>
        </is>
      </c>
      <c r="E115" s="53" t="n">
        <v>1</v>
      </c>
      <c r="F115" s="54" t="n">
        <v>7499.8</v>
      </c>
      <c r="G115" s="54">
        <f>E115*F115</f>
        <v/>
      </c>
      <c r="H115" s="53" t="n">
        <v>7.36</v>
      </c>
      <c r="I115" s="54">
        <f>G115*H115</f>
        <v/>
      </c>
    </row>
    <row r="116">
      <c r="A116" s="52" t="inlineStr">
        <is>
          <t>EQUIPAMENTO</t>
        </is>
      </c>
      <c r="B116" s="52" t="inlineStr">
        <is>
          <t>AGIS-ROLO-PC-10T</t>
        </is>
      </c>
      <c r="C116" s="52" t="inlineStr">
        <is>
          <t>Rolo Compactador Pé de Carneiro 10T</t>
        </is>
      </c>
      <c r="D116" s="55" t="inlineStr">
        <is>
          <t>—</t>
        </is>
      </c>
      <c r="E116" s="53" t="n">
        <v>2</v>
      </c>
      <c r="F116" s="54" t="n">
        <v>24200</v>
      </c>
      <c r="G116" s="54">
        <f>E116*F116</f>
        <v/>
      </c>
      <c r="H116" s="53" t="n">
        <v>7.36</v>
      </c>
      <c r="I116" s="54">
        <f>G116*H116</f>
        <v/>
      </c>
    </row>
    <row r="117">
      <c r="A117" s="56" t="inlineStr">
        <is>
          <t>COMBUSTÍVEL</t>
        </is>
      </c>
      <c r="B117" s="52" t="inlineStr">
        <is>
          <t>AGIS-ROLO-PC-10T</t>
        </is>
      </c>
      <c r="C117" s="52" t="inlineStr">
        <is>
          <t>Diesel S-10 (16.0 L/h)</t>
        </is>
      </c>
      <c r="D117" s="55" t="inlineStr">
        <is>
          <t>—</t>
        </is>
      </c>
      <c r="E117" s="53" t="n">
        <v>2</v>
      </c>
      <c r="F117" s="54" t="n">
        <v>20406.86</v>
      </c>
      <c r="G117" s="54">
        <f>E117*F117</f>
        <v/>
      </c>
      <c r="H117" s="53" t="n">
        <v>7.36</v>
      </c>
      <c r="I117" s="54">
        <f>G117*H117</f>
        <v/>
      </c>
    </row>
    <row r="118">
      <c r="A118" s="52" t="inlineStr">
        <is>
          <t>EQUIPAMENTO</t>
        </is>
      </c>
      <c r="B118" s="52" t="inlineStr">
        <is>
          <t>AGIS-TRAT-EST-40T</t>
        </is>
      </c>
      <c r="C118" s="52" t="inlineStr">
        <is>
          <t>Trator de Esteiras 40T</t>
        </is>
      </c>
      <c r="D118" s="55" t="inlineStr">
        <is>
          <t>—</t>
        </is>
      </c>
      <c r="E118" s="53" t="n">
        <v>1</v>
      </c>
      <c r="F118" s="54" t="n">
        <v>85954</v>
      </c>
      <c r="G118" s="54">
        <f>E118*F118</f>
        <v/>
      </c>
      <c r="H118" s="53" t="n">
        <v>7.36</v>
      </c>
      <c r="I118" s="54">
        <f>G118*H118</f>
        <v/>
      </c>
    </row>
    <row r="119">
      <c r="A119" s="56" t="inlineStr">
        <is>
          <t>COMBUSTÍVEL</t>
        </is>
      </c>
      <c r="B119" s="52" t="inlineStr">
        <is>
          <t>AGIS-TRAT-EST-40T</t>
        </is>
      </c>
      <c r="C119" s="52" t="inlineStr">
        <is>
          <t>Diesel S-10 (32.0 L/h)</t>
        </is>
      </c>
      <c r="D119" s="55" t="inlineStr">
        <is>
          <t>—</t>
        </is>
      </c>
      <c r="E119" s="53" t="n">
        <v>1</v>
      </c>
      <c r="F119" s="54" t="n">
        <v>40813.71</v>
      </c>
      <c r="G119" s="54">
        <f>E119*F119</f>
        <v/>
      </c>
      <c r="H119" s="53" t="n">
        <v>7.36</v>
      </c>
      <c r="I119" s="54">
        <f>G119*H119</f>
        <v/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50">
        <f>SUM(G111:G119)</f>
        <v/>
      </c>
      <c r="H120" s="51" t="n">
        <v>7.36</v>
      </c>
      <c r="I120" s="50">
        <f>SUM(I111:I119)</f>
        <v/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MÃO DE OBRA</t>
        </is>
      </c>
      <c r="B122" s="43" t="inlineStr">
        <is>
          <t>AGIS-FN-OPER-TRAT-EST</t>
        </is>
      </c>
      <c r="C122" s="43" t="inlineStr">
        <is>
          <t>Operador de Trator de Esteiras</t>
        </is>
      </c>
      <c r="D122" s="31" t="inlineStr">
        <is>
          <t>DIRETO</t>
        </is>
      </c>
      <c r="E122" s="44" t="n">
        <v>1</v>
      </c>
      <c r="F122" s="45" t="n">
        <v>9394</v>
      </c>
      <c r="G122" s="45">
        <f>E122*F122</f>
        <v/>
      </c>
      <c r="H122" s="44" t="n">
        <v>1.38</v>
      </c>
      <c r="I122" s="45">
        <f>G122*H122</f>
        <v/>
      </c>
    </row>
    <row r="123">
      <c r="A123" s="43" t="inlineStr">
        <is>
          <t>MÃO DE OBRA</t>
        </is>
      </c>
      <c r="B123" s="43" t="inlineStr">
        <is>
          <t>AGIS-FN-OPER-ROLO</t>
        </is>
      </c>
      <c r="C123" s="43" t="inlineStr">
        <is>
          <t>Operador de Rolo Compactador</t>
        </is>
      </c>
      <c r="D123" s="31" t="inlineStr">
        <is>
          <t>DIRETO</t>
        </is>
      </c>
      <c r="E123" s="44" t="n">
        <v>3</v>
      </c>
      <c r="F123" s="45" t="n">
        <v>8382</v>
      </c>
      <c r="G123" s="45">
        <f>E123*F123</f>
        <v/>
      </c>
      <c r="H123" s="44" t="n">
        <v>1.38</v>
      </c>
      <c r="I123" s="45">
        <f>G123*H123</f>
        <v/>
      </c>
    </row>
    <row r="124">
      <c r="A124" s="43" t="inlineStr">
        <is>
          <t>MÃO DE OBRA</t>
        </is>
      </c>
      <c r="B124" s="43" t="inlineStr">
        <is>
          <t>AGIS-FN-MOTOR-PIPA</t>
        </is>
      </c>
      <c r="C124" s="43" t="inlineStr">
        <is>
          <t>Motorista de Caminhão Pipa</t>
        </is>
      </c>
      <c r="D124" s="31" t="inlineStr">
        <is>
          <t>DIRETO</t>
        </is>
      </c>
      <c r="E124" s="44" t="n">
        <v>1</v>
      </c>
      <c r="F124" s="45" t="n">
        <v>8382</v>
      </c>
      <c r="G124" s="45">
        <f>E124*F124</f>
        <v/>
      </c>
      <c r="H124" s="44" t="n">
        <v>1.38</v>
      </c>
      <c r="I124" s="45">
        <f>G124*H124</f>
        <v/>
      </c>
    </row>
    <row r="125">
      <c r="A125" s="43" t="inlineStr">
        <is>
          <t>MÃO DE OBRA</t>
        </is>
      </c>
      <c r="B125" s="43" t="inlineStr">
        <is>
          <t>AGIS-FN-AJUD</t>
        </is>
      </c>
      <c r="C125" s="43" t="inlineStr">
        <is>
          <t>Ajudante</t>
        </is>
      </c>
      <c r="D125" s="31" t="inlineStr">
        <is>
          <t>DIRETO</t>
        </is>
      </c>
      <c r="E125" s="44" t="n">
        <v>2</v>
      </c>
      <c r="F125" s="45" t="n">
        <v>4279</v>
      </c>
      <c r="G125" s="45">
        <f>E125*F125</f>
        <v/>
      </c>
      <c r="H125" s="44" t="n">
        <v>1.38</v>
      </c>
      <c r="I125" s="45">
        <f>G125*H125</f>
        <v/>
      </c>
    </row>
    <row r="126">
      <c r="A126" s="43" t="inlineStr">
        <is>
          <t>EQUIPAMENTO</t>
        </is>
      </c>
      <c r="B126" s="43" t="inlineStr">
        <is>
          <t>AGIS-TRAT-EST-20T</t>
        </is>
      </c>
      <c r="C126" s="43" t="inlineStr">
        <is>
          <t>Trator de Esteiras 20T</t>
        </is>
      </c>
      <c r="D126" s="46" t="inlineStr">
        <is>
          <t>—</t>
        </is>
      </c>
      <c r="E126" s="44" t="n">
        <v>1</v>
      </c>
      <c r="F126" s="45" t="n">
        <v>52470</v>
      </c>
      <c r="G126" s="45">
        <f>E126*F126</f>
        <v/>
      </c>
      <c r="H126" s="44" t="n">
        <v>1.38</v>
      </c>
      <c r="I126" s="45">
        <f>G126*H126</f>
        <v/>
      </c>
    </row>
    <row r="127">
      <c r="A127" s="47" t="inlineStr">
        <is>
          <t>COMBUSTÍVEL</t>
        </is>
      </c>
      <c r="B127" s="43" t="inlineStr">
        <is>
          <t>AGIS-TRAT-EST-20T</t>
        </is>
      </c>
      <c r="C127" s="43" t="inlineStr">
        <is>
          <t>Diesel S-10 (26.0 L/h)</t>
        </is>
      </c>
      <c r="D127" s="46" t="inlineStr">
        <is>
          <t>—</t>
        </is>
      </c>
      <c r="E127" s="44" t="n">
        <v>1</v>
      </c>
      <c r="F127" s="45" t="n">
        <v>33161.14</v>
      </c>
      <c r="G127" s="45">
        <f>E127*F127</f>
        <v/>
      </c>
      <c r="H127" s="44" t="n">
        <v>1.38</v>
      </c>
      <c r="I127" s="45">
        <f>G127*H127</f>
        <v/>
      </c>
    </row>
    <row r="128">
      <c r="A128" s="43" t="inlineStr">
        <is>
          <t>EQUIPAMENTO</t>
        </is>
      </c>
      <c r="B128" s="43" t="inlineStr">
        <is>
          <t>AGIS-ROLO-LISO</t>
        </is>
      </c>
      <c r="C128" s="43" t="inlineStr">
        <is>
          <t>Rolo Compactador Liso</t>
        </is>
      </c>
      <c r="D128" s="46" t="inlineStr">
        <is>
          <t>—</t>
        </is>
      </c>
      <c r="E128" s="44" t="n">
        <v>2</v>
      </c>
      <c r="F128" s="45" t="n">
        <v>19800</v>
      </c>
      <c r="G128" s="45">
        <f>E128*F128</f>
        <v/>
      </c>
      <c r="H128" s="44" t="n">
        <v>1.38</v>
      </c>
      <c r="I128" s="45">
        <f>G128*H128</f>
        <v/>
      </c>
    </row>
    <row r="129">
      <c r="A129" s="47" t="inlineStr">
        <is>
          <t>COMBUSTÍVEL</t>
        </is>
      </c>
      <c r="B129" s="43" t="inlineStr">
        <is>
          <t>AGIS-ROLO-LISO</t>
        </is>
      </c>
      <c r="C129" s="43" t="inlineStr">
        <is>
          <t>Diesel S-10 (16.0 L/h)</t>
        </is>
      </c>
      <c r="D129" s="46" t="inlineStr">
        <is>
          <t>—</t>
        </is>
      </c>
      <c r="E129" s="44" t="n">
        <v>2</v>
      </c>
      <c r="F129" s="45" t="n">
        <v>20406.86</v>
      </c>
      <c r="G129" s="45">
        <f>E129*F129</f>
        <v/>
      </c>
      <c r="H129" s="44" t="n">
        <v>1.38</v>
      </c>
      <c r="I129" s="45">
        <f>G129*H129</f>
        <v/>
      </c>
    </row>
    <row r="130">
      <c r="A130" s="43" t="inlineStr">
        <is>
          <t>EQUIPAMENTO</t>
        </is>
      </c>
      <c r="B130" s="43" t="inlineStr">
        <is>
          <t>AGIS-CAM-PIPA-18K</t>
        </is>
      </c>
      <c r="C130" s="43" t="inlineStr">
        <is>
          <t>Caminhão Pipa 18.000 L</t>
        </is>
      </c>
      <c r="D130" s="46" t="inlineStr">
        <is>
          <t>—</t>
        </is>
      </c>
      <c r="E130" s="44" t="n">
        <v>1</v>
      </c>
      <c r="F130" s="45" t="n">
        <v>25300</v>
      </c>
      <c r="G130" s="45">
        <f>E130*F130</f>
        <v/>
      </c>
      <c r="H130" s="44" t="n">
        <v>1.38</v>
      </c>
      <c r="I130" s="45">
        <f>G130*H130</f>
        <v/>
      </c>
    </row>
    <row r="131">
      <c r="A131" s="47" t="inlineStr">
        <is>
          <t>COMBUSTÍVEL</t>
        </is>
      </c>
      <c r="B131" s="43" t="inlineStr">
        <is>
          <t>AGIS-CAM-PIPA-18K</t>
        </is>
      </c>
      <c r="C131" s="43" t="inlineStr">
        <is>
          <t>Diesel S-10 (7.0 L/h)</t>
        </is>
      </c>
      <c r="D131" s="46" t="inlineStr">
        <is>
          <t>—</t>
        </is>
      </c>
      <c r="E131" s="44" t="n">
        <v>1</v>
      </c>
      <c r="F131" s="45" t="n">
        <v>8928</v>
      </c>
      <c r="G131" s="45">
        <f>E131*F131</f>
        <v/>
      </c>
      <c r="H131" s="44" t="n">
        <v>1.38</v>
      </c>
      <c r="I131" s="45">
        <f>G131*H131</f>
        <v/>
      </c>
    </row>
    <row r="132">
      <c r="A132" s="43" t="inlineStr">
        <is>
          <t>EQUIPAMENTO</t>
        </is>
      </c>
      <c r="B132" s="43" t="inlineStr">
        <is>
          <t>AGIS-ROLO-PC-10T</t>
        </is>
      </c>
      <c r="C132" s="43" t="inlineStr">
        <is>
          <t>Rolo Compactador Pé de Carneiro 10T</t>
        </is>
      </c>
      <c r="D132" s="46" t="inlineStr">
        <is>
          <t>—</t>
        </is>
      </c>
      <c r="E132" s="44" t="n">
        <v>1</v>
      </c>
      <c r="F132" s="45" t="n">
        <v>24200</v>
      </c>
      <c r="G132" s="45">
        <f>E132*F132</f>
        <v/>
      </c>
      <c r="H132" s="44" t="n">
        <v>1.38</v>
      </c>
      <c r="I132" s="45">
        <f>G132*H132</f>
        <v/>
      </c>
    </row>
    <row r="133">
      <c r="A133" s="47" t="inlineStr">
        <is>
          <t>COMBUSTÍVEL</t>
        </is>
      </c>
      <c r="B133" s="43" t="inlineStr">
        <is>
          <t>AGIS-ROLO-PC-10T</t>
        </is>
      </c>
      <c r="C133" s="43" t="inlineStr">
        <is>
          <t>Diesel S-10 (16.0 L/h)</t>
        </is>
      </c>
      <c r="D133" s="46" t="inlineStr">
        <is>
          <t>—</t>
        </is>
      </c>
      <c r="E133" s="44" t="n">
        <v>1</v>
      </c>
      <c r="F133" s="45" t="n">
        <v>20406.86</v>
      </c>
      <c r="G133" s="45">
        <f>E133*F133</f>
        <v/>
      </c>
      <c r="H133" s="44" t="n">
        <v>1.38</v>
      </c>
      <c r="I133" s="45">
        <f>G133*H133</f>
        <v/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50">
        <f>SUM(G122:G133)</f>
        <v/>
      </c>
      <c r="H134" s="51" t="n">
        <v>1.38</v>
      </c>
      <c r="I134" s="50">
        <f>SUM(I122:I133)</f>
        <v/>
      </c>
    </row>
    <row r="135"/>
    <row r="136">
      <c r="A136" s="57" t="inlineStr">
        <is>
          <t>TOTAL DIRETO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</t>
        </is>
      </c>
      <c r="F2" s="4" t="inlineStr">
        <is>
          <t>EQ s/BDI</t>
        </is>
      </c>
      <c r="G2" s="4" t="inlineStr">
        <is>
          <t>Comb. s/BDI</t>
        </is>
      </c>
      <c r="H2" s="4" t="inlineStr">
        <is>
          <t>MAT s/BDI</t>
        </is>
      </c>
      <c r="I2" s="4" t="inlineStr">
        <is>
          <t>Total s/BDI</t>
        </is>
      </c>
      <c r="J2" s="4" t="inlineStr">
        <is>
          <t>MO c/BDI</t>
        </is>
      </c>
      <c r="K2" s="4" t="inlineStr">
        <is>
          <t>EQ c/BDI</t>
        </is>
      </c>
      <c r="L2" s="4" t="inlineStr">
        <is>
          <t>Comb. c/BDI</t>
        </is>
      </c>
      <c r="M2" s="4" t="inlineStr">
        <is>
          <t>MAT c/BDI</t>
        </is>
      </c>
      <c r="N2" s="4" t="inlineStr">
        <is>
          <t>Total c/BDI</t>
        </is>
      </c>
    </row>
    <row r="3">
      <c r="A3" s="59" t="inlineStr">
        <is>
          <t>eap-1_0</t>
        </is>
      </c>
      <c r="B3" s="59" t="inlineStr">
        <is>
          <t>Desmatamento e limpeza de area vegetada</t>
        </is>
      </c>
      <c r="C3" s="59" t="inlineStr">
        <is>
          <t>m2</t>
        </is>
      </c>
      <c r="D3" s="60" t="n">
        <v>2400000</v>
      </c>
      <c r="E3" s="61" t="n">
        <v>462885.6</v>
      </c>
      <c r="F3" s="61" t="n">
        <v>930979.2</v>
      </c>
      <c r="G3" s="61" t="n">
        <v>710138.4</v>
      </c>
      <c r="H3" s="61" t="n">
        <v>0</v>
      </c>
      <c r="I3" s="61" t="n">
        <v>2104003.2</v>
      </c>
      <c r="J3" s="61" t="n">
        <v>601635.5600000001</v>
      </c>
      <c r="K3" s="61" t="n">
        <v>1137493.66</v>
      </c>
      <c r="L3" s="61" t="n">
        <v>738543.9399999999</v>
      </c>
      <c r="M3" s="61" t="n">
        <v>0</v>
      </c>
      <c r="N3" s="61" t="n">
        <v>2477673.16</v>
      </c>
    </row>
    <row r="4">
      <c r="A4" s="62" t="inlineStr">
        <is>
          <t>eap-1_1</t>
        </is>
      </c>
      <c r="B4" s="62" t="inlineStr">
        <is>
          <t>Esc/carg/transp 1aCat DMT&lt;=2000m</t>
        </is>
      </c>
      <c r="C4" s="62" t="inlineStr">
        <is>
          <t>m3</t>
        </is>
      </c>
      <c r="D4" s="63" t="n">
        <v>107463.1053</v>
      </c>
      <c r="E4" s="64" t="n">
        <v>160309.48</v>
      </c>
      <c r="F4" s="64" t="n">
        <v>521747.78</v>
      </c>
      <c r="G4" s="64" t="n">
        <v>140922.82</v>
      </c>
      <c r="H4" s="64" t="n">
        <v>0</v>
      </c>
      <c r="I4" s="64" t="n">
        <v>822980.08</v>
      </c>
      <c r="J4" s="64" t="n">
        <v>208362.25</v>
      </c>
      <c r="K4" s="64" t="n">
        <v>637484.48</v>
      </c>
      <c r="L4" s="64" t="n">
        <v>146559.73</v>
      </c>
      <c r="M4" s="64" t="n">
        <v>0</v>
      </c>
      <c r="N4" s="64" t="n">
        <v>992406.46</v>
      </c>
    </row>
    <row r="5">
      <c r="A5" s="59" t="inlineStr">
        <is>
          <t>eap-1_2</t>
        </is>
      </c>
      <c r="B5" s="59" t="inlineStr">
        <is>
          <t>Esc/carg/transp 1aCat DMT&lt;=3000m</t>
        </is>
      </c>
      <c r="C5" s="59" t="inlineStr">
        <is>
          <t>m3</t>
        </is>
      </c>
      <c r="D5" s="60" t="n">
        <v>336915.0947</v>
      </c>
      <c r="E5" s="61" t="n">
        <v>560277.67</v>
      </c>
      <c r="F5" s="61" t="n">
        <v>1821276.08</v>
      </c>
      <c r="G5" s="61" t="n">
        <v>469151.24</v>
      </c>
      <c r="H5" s="61" t="n">
        <v>0</v>
      </c>
      <c r="I5" s="61" t="n">
        <v>2850704.99</v>
      </c>
      <c r="J5" s="61" t="n">
        <v>728220.91</v>
      </c>
      <c r="K5" s="61" t="n">
        <v>2225280.64</v>
      </c>
      <c r="L5" s="61" t="n">
        <v>487917.29</v>
      </c>
      <c r="M5" s="61" t="n">
        <v>0</v>
      </c>
      <c r="N5" s="61" t="n">
        <v>3441418.84</v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 t="n">
        <v>667530.62</v>
      </c>
      <c r="G6" s="64" t="n">
        <v>190682.17</v>
      </c>
      <c r="H6" s="64" t="n">
        <v>0</v>
      </c>
      <c r="I6" s="64" t="n">
        <v>1063003.64</v>
      </c>
      <c r="J6" s="64" t="n">
        <v>266176.89</v>
      </c>
      <c r="K6" s="64" t="n">
        <v>815605.6</v>
      </c>
      <c r="L6" s="64" t="n">
        <v>198309.46</v>
      </c>
      <c r="M6" s="64" t="n">
        <v>0</v>
      </c>
      <c r="N6" s="64" t="n">
        <v>1280091.96</v>
      </c>
    </row>
    <row r="7">
      <c r="A7" s="59" t="inlineStr">
        <is>
          <t>eap-1_4</t>
        </is>
      </c>
      <c r="B7" s="59" t="inlineStr">
        <is>
          <t>Esc/carg/transp 2aCat DMT&lt;=3000m</t>
        </is>
      </c>
      <c r="C7" s="59" t="inlineStr">
        <is>
          <t>m3</t>
        </is>
      </c>
      <c r="D7" s="60" t="n">
        <v>585945.7677</v>
      </c>
      <c r="E7" s="61" t="n">
        <v>1223028.19</v>
      </c>
      <c r="F7" s="61" t="n">
        <v>3982636.47</v>
      </c>
      <c r="G7" s="61" t="n">
        <v>1097585.41</v>
      </c>
      <c r="H7" s="61" t="n">
        <v>0</v>
      </c>
      <c r="I7" s="61" t="n">
        <v>6303250.07</v>
      </c>
      <c r="J7" s="61" t="n">
        <v>1589630.9</v>
      </c>
      <c r="K7" s="61" t="n">
        <v>4866084.8</v>
      </c>
      <c r="L7" s="61" t="n">
        <v>1141488.83</v>
      </c>
      <c r="M7" s="61" t="n">
        <v>0</v>
      </c>
      <c r="N7" s="61" t="n">
        <v>7597204.52</v>
      </c>
    </row>
    <row r="8">
      <c r="A8" s="62" t="inlineStr">
        <is>
          <t>eap-1_5</t>
        </is>
      </c>
      <c r="B8" s="62" t="inlineStr">
        <is>
          <t>Esc/carg/transp 3aCat DMT&lt;=2000m</t>
        </is>
      </c>
      <c r="C8" s="62" t="inlineStr">
        <is>
          <t>m3</t>
        </is>
      </c>
      <c r="D8" s="63" t="n">
        <v>304634.4556</v>
      </c>
      <c r="E8" s="64" t="n">
        <v>623661.98</v>
      </c>
      <c r="F8" s="64" t="n">
        <v>3186950.11</v>
      </c>
      <c r="G8" s="64" t="n">
        <v>719694.03</v>
      </c>
      <c r="H8" s="64" t="n">
        <v>0</v>
      </c>
      <c r="I8" s="64" t="n">
        <v>4530306.11</v>
      </c>
      <c r="J8" s="64" t="n">
        <v>810604.65</v>
      </c>
      <c r="K8" s="64" t="n">
        <v>3893895.32</v>
      </c>
      <c r="L8" s="64" t="n">
        <v>748481.79</v>
      </c>
      <c r="M8" s="64" t="n">
        <v>0</v>
      </c>
      <c r="N8" s="64" t="n">
        <v>5452981.76</v>
      </c>
    </row>
    <row r="9">
      <c r="A9" s="59" t="inlineStr">
        <is>
          <t>eap-1_6</t>
        </is>
      </c>
      <c r="B9" s="59" t="inlineStr">
        <is>
          <t>Esc/carg/transp 3aCat DMT&lt;=3000m</t>
        </is>
      </c>
      <c r="C9" s="59" t="inlineStr">
        <is>
          <t>m3</t>
        </is>
      </c>
      <c r="D9" s="60" t="n">
        <v>676519.0444</v>
      </c>
      <c r="E9" s="61" t="n">
        <v>1699982.76</v>
      </c>
      <c r="F9" s="61" t="n">
        <v>8833151.529999999</v>
      </c>
      <c r="G9" s="61" t="n">
        <v>1796277.81</v>
      </c>
      <c r="H9" s="61" t="n">
        <v>0</v>
      </c>
      <c r="I9" s="61" t="n">
        <v>12329412.1</v>
      </c>
      <c r="J9" s="61" t="n">
        <v>2209552.6</v>
      </c>
      <c r="K9" s="61" t="n">
        <v>10792565.37</v>
      </c>
      <c r="L9" s="61" t="n">
        <v>1868128.92</v>
      </c>
      <c r="M9" s="61" t="n">
        <v>0</v>
      </c>
      <c r="N9" s="61" t="n">
        <v>14870246.89</v>
      </c>
    </row>
    <row r="10">
      <c r="A10" s="62" t="inlineStr">
        <is>
          <t>eap-1_7</t>
        </is>
      </c>
      <c r="B10" s="62" t="inlineStr">
        <is>
          <t>Compactacao aterros 100% Proctor Normal</t>
        </is>
      </c>
      <c r="C10" s="62" t="inlineStr">
        <is>
          <t>m3</t>
        </is>
      </c>
      <c r="D10" s="63" t="n">
        <v>1135635.3</v>
      </c>
      <c r="E10" s="64" t="n">
        <v>1870441.31</v>
      </c>
      <c r="F10" s="64" t="n">
        <v>4874679.32</v>
      </c>
      <c r="G10" s="64" t="n">
        <v>3624699.17</v>
      </c>
      <c r="H10" s="64" t="n">
        <v>0</v>
      </c>
      <c r="I10" s="64" t="n">
        <v>10369819.8</v>
      </c>
      <c r="J10" s="64" t="n">
        <v>2431106.09</v>
      </c>
      <c r="K10" s="64" t="n">
        <v>5956005.06</v>
      </c>
      <c r="L10" s="64" t="n">
        <v>3769687.14</v>
      </c>
      <c r="M10" s="64" t="n">
        <v>0</v>
      </c>
      <c r="N10" s="64" t="n">
        <v>12156798.29</v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 t="n">
        <v>165067.91</v>
      </c>
      <c r="G11" s="61" t="n">
        <v>122740.69</v>
      </c>
      <c r="H11" s="61" t="n">
        <v>0</v>
      </c>
      <c r="I11" s="61" t="n">
        <v>351146.05</v>
      </c>
      <c r="J11" s="61" t="n">
        <v>82322.84</v>
      </c>
      <c r="K11" s="61" t="n">
        <v>201684.1</v>
      </c>
      <c r="L11" s="61" t="n">
        <v>127650.32</v>
      </c>
      <c r="M11" s="61" t="n">
        <v>0</v>
      </c>
      <c r="N11" s="61" t="n">
        <v>411657.26</v>
      </c>
    </row>
    <row r="12">
      <c r="A12" s="62" t="inlineStr">
        <is>
          <t>eap-1_9</t>
        </is>
      </c>
      <c r="B12" s="62" t="inlineStr">
        <is>
          <t>Construcao corpo aterro material 3a categoria</t>
        </is>
      </c>
      <c r="C12" s="62" t="inlineStr">
        <is>
          <t>m3</t>
        </is>
      </c>
      <c r="D12" s="63" t="n">
        <v>981153.5</v>
      </c>
      <c r="E12" s="64" t="n">
        <v>932009.48</v>
      </c>
      <c r="F12" s="64" t="n">
        <v>2787969.26</v>
      </c>
      <c r="G12" s="64" t="n">
        <v>2042289.65</v>
      </c>
      <c r="H12" s="64" t="n">
        <v>0</v>
      </c>
      <c r="I12" s="64" t="n">
        <v>5762268.39</v>
      </c>
      <c r="J12" s="64" t="n">
        <v>1211379.33</v>
      </c>
      <c r="K12" s="64" t="n">
        <v>3406410.54</v>
      </c>
      <c r="L12" s="64" t="n">
        <v>2123981.24</v>
      </c>
      <c r="M12" s="64" t="n">
        <v>0</v>
      </c>
      <c r="N12" s="64" t="n">
        <v>6741771.1</v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 t="n">
        <v>159080.73</v>
      </c>
      <c r="G13" s="61" t="n">
        <v>139968.79</v>
      </c>
      <c r="H13" s="61" t="n">
        <v>0</v>
      </c>
      <c r="I13" s="61" t="n">
        <v>356897.06</v>
      </c>
      <c r="J13" s="61" t="n">
        <v>75187.34</v>
      </c>
      <c r="K13" s="61" t="n">
        <v>194368.81</v>
      </c>
      <c r="L13" s="61" t="n">
        <v>145567.54</v>
      </c>
      <c r="M13" s="61" t="n">
        <v>0</v>
      </c>
      <c r="N13" s="61" t="n">
        <v>415123.69</v>
      </c>
    </row>
    <row r="15">
      <c r="A15" s="57" t="inlineStr">
        <is>
          <t>TOTAL DIRETO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5:D1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4" t="inlineStr">
        <is>
          <t>Categoria</t>
        </is>
      </c>
      <c r="B2" s="4" t="inlineStr">
        <is>
          <t>Tipo</t>
        </is>
      </c>
      <c r="C2" s="4" t="inlineStr">
        <is>
          <t>Código/Função</t>
        </is>
      </c>
      <c r="D2" s="4" t="inlineStr">
        <is>
          <t>Descrição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Custo Total (R$)</t>
        </is>
      </c>
    </row>
    <row r="3">
      <c r="A3" s="3" t="inlineStr">
        <is>
          <t>ADM — Administracao de obra</t>
        </is>
      </c>
    </row>
    <row r="4">
      <c r="A4" s="11" t="inlineStr">
        <is>
          <t>ADM</t>
        </is>
      </c>
      <c r="B4" s="43" t="inlineStr">
        <is>
          <t>MÃO DE OBRA</t>
        </is>
      </c>
      <c r="C4" s="43" t="inlineStr">
        <is>
          <t>ADMINISTRATIVO</t>
        </is>
      </c>
      <c r="D4" s="43" t="inlineStr">
        <is>
          <t>ADMINISTRATIVO</t>
        </is>
      </c>
      <c r="E4" s="44" t="n">
        <v>1</v>
      </c>
      <c r="F4" s="45" t="n">
        <v>10000</v>
      </c>
      <c r="G4" s="44" t="n">
        <v>13</v>
      </c>
      <c r="H4" s="45">
        <f>E4*F4*G4</f>
        <v/>
      </c>
    </row>
    <row r="5">
      <c r="A5" s="11" t="inlineStr">
        <is>
          <t>ADM</t>
        </is>
      </c>
      <c r="B5" s="43" t="inlineStr">
        <is>
          <t>MÃO DE OBRA</t>
        </is>
      </c>
      <c r="C5" s="43" t="inlineStr">
        <is>
          <t>AUXILIAR ADMINISTRATIVO</t>
        </is>
      </c>
      <c r="D5" s="43" t="inlineStr">
        <is>
          <t>AUXILIAR ADMINISTRATIVO</t>
        </is>
      </c>
      <c r="E5" s="44" t="n">
        <v>3</v>
      </c>
      <c r="F5" s="45" t="n">
        <v>20277.36</v>
      </c>
      <c r="G5" s="44" t="n">
        <v>13</v>
      </c>
      <c r="H5" s="45">
        <f>E5*F5*G5</f>
        <v/>
      </c>
    </row>
    <row r="6">
      <c r="A6" s="11" t="inlineStr">
        <is>
          <t>ADM</t>
        </is>
      </c>
      <c r="B6" s="43" t="inlineStr">
        <is>
          <t>MÃO DE OBRA</t>
        </is>
      </c>
      <c r="C6" s="43" t="inlineStr">
        <is>
          <t>ALMOXARIFE</t>
        </is>
      </c>
      <c r="D6" s="43" t="inlineStr">
        <is>
          <t>ALMOXARIFE</t>
        </is>
      </c>
      <c r="E6" s="44" t="n">
        <v>1</v>
      </c>
      <c r="F6" s="45" t="n">
        <v>6194.96</v>
      </c>
      <c r="G6" s="44" t="n">
        <v>13</v>
      </c>
      <c r="H6" s="45">
        <f>E6*F6*G6</f>
        <v/>
      </c>
    </row>
    <row r="7">
      <c r="A7" s="11" t="inlineStr">
        <is>
          <t>ADM</t>
        </is>
      </c>
      <c r="B7" s="43" t="inlineStr">
        <is>
          <t>MÃO DE OBRA</t>
        </is>
      </c>
      <c r="C7" s="43" t="inlineStr">
        <is>
          <t>AUXILIAR DE ALMOXARIFE</t>
        </is>
      </c>
      <c r="D7" s="43" t="inlineStr">
        <is>
          <t>AUXILIAR DE ALMOXARIFE</t>
        </is>
      </c>
      <c r="E7" s="44" t="n">
        <v>1</v>
      </c>
      <c r="F7" s="45" t="n">
        <v>4463.06</v>
      </c>
      <c r="G7" s="44" t="n">
        <v>13</v>
      </c>
      <c r="H7" s="45">
        <f>E7*F7*G7</f>
        <v/>
      </c>
    </row>
    <row r="8">
      <c r="A8" s="11" t="inlineStr">
        <is>
          <t>ADM</t>
        </is>
      </c>
      <c r="B8" s="43" t="inlineStr">
        <is>
          <t>MÃO DE OBRA</t>
        </is>
      </c>
      <c r="C8" s="43" t="inlineStr">
        <is>
          <t>GERENTE DE CONTRATO</t>
        </is>
      </c>
      <c r="D8" s="43" t="inlineStr">
        <is>
          <t>GERENTE DE CONTRATO</t>
        </is>
      </c>
      <c r="E8" s="44" t="n">
        <v>1</v>
      </c>
      <c r="F8" s="45" t="n">
        <v>30000</v>
      </c>
      <c r="G8" s="44" t="n">
        <v>13</v>
      </c>
      <c r="H8" s="45">
        <f>E8*F8*G8</f>
        <v/>
      </c>
    </row>
    <row r="9">
      <c r="A9" s="11" t="inlineStr">
        <is>
          <t>ADM</t>
        </is>
      </c>
      <c r="B9" s="43" t="inlineStr">
        <is>
          <t>MÃO DE OBRA</t>
        </is>
      </c>
      <c r="C9" s="43" t="inlineStr">
        <is>
          <t>TÉCNICO DE PLANEJAMENTO</t>
        </is>
      </c>
      <c r="D9" s="43" t="inlineStr">
        <is>
          <t>TÉCNICO DE PLANEJAMENTO</t>
        </is>
      </c>
      <c r="E9" s="44" t="n">
        <v>1</v>
      </c>
      <c r="F9" s="45" t="n">
        <v>14000</v>
      </c>
      <c r="G9" s="44" t="n">
        <v>13</v>
      </c>
      <c r="H9" s="45">
        <f>E9*F9*G9</f>
        <v/>
      </c>
    </row>
    <row r="10">
      <c r="A10" s="11" t="inlineStr">
        <is>
          <t>ADM</t>
        </is>
      </c>
      <c r="B10" s="43" t="inlineStr">
        <is>
          <t>MÃO DE OBRA</t>
        </is>
      </c>
      <c r="C10" s="43" t="inlineStr">
        <is>
          <t>ENCARREGADO GERAL</t>
        </is>
      </c>
      <c r="D10" s="43" t="inlineStr">
        <is>
          <t>ENCARREGADO GERAL</t>
        </is>
      </c>
      <c r="E10" s="44" t="n">
        <v>2</v>
      </c>
      <c r="F10" s="45" t="n">
        <v>36000</v>
      </c>
      <c r="G10" s="44" t="n">
        <v>13</v>
      </c>
      <c r="H10" s="45">
        <f>E10*F10*G10</f>
        <v/>
      </c>
    </row>
    <row r="11">
      <c r="A11" s="11" t="inlineStr">
        <is>
          <t>ADM</t>
        </is>
      </c>
      <c r="B11" s="43" t="inlineStr">
        <is>
          <t>MÃO DE OBRA</t>
        </is>
      </c>
      <c r="C11" s="43" t="inlineStr">
        <is>
          <t>ENGENHEIRO CIVIL</t>
        </is>
      </c>
      <c r="D11" s="43" t="inlineStr">
        <is>
          <t>ENGENHEIRO CIVIL</t>
        </is>
      </c>
      <c r="E11" s="44" t="n">
        <v>1</v>
      </c>
      <c r="F11" s="45" t="n">
        <v>22000</v>
      </c>
      <c r="G11" s="44" t="n">
        <v>13</v>
      </c>
      <c r="H11" s="45">
        <f>E11*F11*G11</f>
        <v/>
      </c>
    </row>
    <row r="12">
      <c r="A12" s="11" t="inlineStr">
        <is>
          <t>ADM</t>
        </is>
      </c>
      <c r="B12" s="43" t="inlineStr">
        <is>
          <t>MÃO DE OBRA</t>
        </is>
      </c>
      <c r="C12" s="43" t="inlineStr">
        <is>
          <t>MECÂNICO</t>
        </is>
      </c>
      <c r="D12" s="43" t="inlineStr">
        <is>
          <t>MECÂNICO</t>
        </is>
      </c>
      <c r="E12" s="44" t="n">
        <v>2</v>
      </c>
      <c r="F12" s="45" t="n">
        <v>28987.2</v>
      </c>
      <c r="G12" s="44" t="n">
        <v>13</v>
      </c>
      <c r="H12" s="45">
        <f>E12*F12*G12</f>
        <v/>
      </c>
    </row>
    <row r="13">
      <c r="A13" s="11" t="inlineStr">
        <is>
          <t>ADM</t>
        </is>
      </c>
      <c r="B13" s="43" t="inlineStr">
        <is>
          <t>MÃO DE OBRA</t>
        </is>
      </c>
      <c r="C13" s="43" t="inlineStr">
        <is>
          <t>AUXILIAR MECÂNICO</t>
        </is>
      </c>
      <c r="D13" s="43" t="inlineStr">
        <is>
          <t>AUXILIAR MECÂNICO</t>
        </is>
      </c>
      <c r="E13" s="44" t="n">
        <v>2</v>
      </c>
      <c r="F13" s="45" t="n">
        <v>8926.120000000001</v>
      </c>
      <c r="G13" s="44" t="n">
        <v>13</v>
      </c>
      <c r="H13" s="45">
        <f>E13*F13*G13</f>
        <v/>
      </c>
    </row>
    <row r="14">
      <c r="A14" s="11" t="inlineStr">
        <is>
          <t>ADM</t>
        </is>
      </c>
      <c r="B14" s="43" t="inlineStr">
        <is>
          <t>MÃO DE OBRA</t>
        </is>
      </c>
      <c r="C14" s="43" t="inlineStr">
        <is>
          <t>ENCARREGADO DE MECÂNICA</t>
        </is>
      </c>
      <c r="D14" s="43" t="inlineStr">
        <is>
          <t>ENCARREGADO DE MECÂNICA</t>
        </is>
      </c>
      <c r="E14" s="44" t="n">
        <v>1</v>
      </c>
      <c r="F14" s="45" t="n">
        <v>9027.16</v>
      </c>
      <c r="G14" s="44" t="n">
        <v>13</v>
      </c>
      <c r="H14" s="45">
        <f>E14*F14*G14</f>
        <v/>
      </c>
    </row>
    <row r="15">
      <c r="A15" s="11" t="inlineStr">
        <is>
          <t>ADM</t>
        </is>
      </c>
      <c r="B15" s="43" t="inlineStr">
        <is>
          <t>MÃO DE OBRA</t>
        </is>
      </c>
      <c r="C15" s="43" t="inlineStr">
        <is>
          <t>BORRACHEIRO</t>
        </is>
      </c>
      <c r="D15" s="43" t="inlineStr">
        <is>
          <t>BORRACHEIRO</t>
        </is>
      </c>
      <c r="E15" s="44" t="n">
        <v>2</v>
      </c>
      <c r="F15" s="45" t="n">
        <v>12389.92</v>
      </c>
      <c r="G15" s="44" t="n">
        <v>13</v>
      </c>
      <c r="H15" s="45">
        <f>E15*F15*G15</f>
        <v/>
      </c>
    </row>
    <row r="16">
      <c r="A16" s="11" t="inlineStr">
        <is>
          <t>ADM</t>
        </is>
      </c>
      <c r="B16" s="43" t="inlineStr">
        <is>
          <t>MÃO DE OBRA</t>
        </is>
      </c>
      <c r="C16" s="43" t="inlineStr">
        <is>
          <t>AUXILIAR DE BORRACHEIRO</t>
        </is>
      </c>
      <c r="D16" s="43" t="inlineStr">
        <is>
          <t>AUXILIAR DE BORRACHEIRO</t>
        </is>
      </c>
      <c r="E16" s="44" t="n">
        <v>2</v>
      </c>
      <c r="F16" s="45" t="n">
        <v>8926.120000000001</v>
      </c>
      <c r="G16" s="44" t="n">
        <v>13</v>
      </c>
      <c r="H16" s="45">
        <f>E16*F16*G16</f>
        <v/>
      </c>
    </row>
    <row r="17">
      <c r="A17" s="11" t="inlineStr">
        <is>
          <t>ADM</t>
        </is>
      </c>
      <c r="B17" s="43" t="inlineStr">
        <is>
          <t>MÃO DE OBRA</t>
        </is>
      </c>
      <c r="C17" s="43" t="inlineStr">
        <is>
          <t>CONTROLADOR</t>
        </is>
      </c>
      <c r="D17" s="43" t="inlineStr">
        <is>
          <t>CONTROLADOR</t>
        </is>
      </c>
      <c r="E17" s="44" t="n">
        <v>1</v>
      </c>
      <c r="F17" s="45" t="n">
        <v>7970.4</v>
      </c>
      <c r="G17" s="44" t="n">
        <v>13</v>
      </c>
      <c r="H17" s="45">
        <f>E17*F17*G17</f>
        <v/>
      </c>
    </row>
    <row r="18">
      <c r="A18" s="11" t="inlineStr">
        <is>
          <t>ADM</t>
        </is>
      </c>
      <c r="B18" s="43" t="inlineStr">
        <is>
          <t>MÃO DE OBRA</t>
        </is>
      </c>
      <c r="C18" s="43" t="inlineStr">
        <is>
          <t>MOTORISTA DE CAMINHÃO COMBOIO</t>
        </is>
      </c>
      <c r="D18" s="43" t="inlineStr">
        <is>
          <t>MOTORISTA DE CAMINHÃO COMBOIO</t>
        </is>
      </c>
      <c r="E18" s="44" t="n">
        <v>2</v>
      </c>
      <c r="F18" s="45" t="n">
        <v>16106.88</v>
      </c>
      <c r="G18" s="44" t="n">
        <v>13</v>
      </c>
      <c r="H18" s="45">
        <f>E18*F18*G18</f>
        <v/>
      </c>
    </row>
    <row r="19">
      <c r="A19" s="11" t="inlineStr">
        <is>
          <t>ADM</t>
        </is>
      </c>
      <c r="B19" s="43" t="inlineStr">
        <is>
          <t>MÃO DE OBRA</t>
        </is>
      </c>
      <c r="C19" s="43" t="inlineStr">
        <is>
          <t>AJUDANTE</t>
        </is>
      </c>
      <c r="D19" s="43" t="inlineStr">
        <is>
          <t>AJUDANTE</t>
        </is>
      </c>
      <c r="E19" s="44" t="n">
        <v>2</v>
      </c>
      <c r="F19" s="45" t="n">
        <v>10693.16</v>
      </c>
      <c r="G19" s="44" t="n">
        <v>13</v>
      </c>
      <c r="H19" s="45">
        <f>E19*F19*G19</f>
        <v/>
      </c>
    </row>
    <row r="20">
      <c r="A20" s="11" t="inlineStr">
        <is>
          <t>ADM</t>
        </is>
      </c>
      <c r="B20" s="43" t="inlineStr">
        <is>
          <t>MÃO DE OBRA</t>
        </is>
      </c>
      <c r="C20" s="43" t="inlineStr">
        <is>
          <t>OFICIAL</t>
        </is>
      </c>
      <c r="D20" s="43" t="inlineStr">
        <is>
          <t>OFICIAL</t>
        </is>
      </c>
      <c r="E20" s="44" t="n">
        <v>1</v>
      </c>
      <c r="F20" s="45" t="n">
        <v>6194.96</v>
      </c>
      <c r="G20" s="44" t="n">
        <v>13</v>
      </c>
      <c r="H20" s="45">
        <f>E20*F20*G20</f>
        <v/>
      </c>
    </row>
    <row r="21">
      <c r="A21" s="11" t="inlineStr">
        <is>
          <t>ADM</t>
        </is>
      </c>
      <c r="B21" s="43" t="inlineStr">
        <is>
          <t>MÃO DE OBRA</t>
        </is>
      </c>
      <c r="C21" s="43" t="inlineStr">
        <is>
          <t>AUXILIAR DE SERVIÇOS GERAIS</t>
        </is>
      </c>
      <c r="D21" s="43" t="inlineStr">
        <is>
          <t>AUXILIAR DE SERVIÇOS GERAIS</t>
        </is>
      </c>
      <c r="E21" s="44" t="n">
        <v>2</v>
      </c>
      <c r="F21" s="45" t="n">
        <v>8224.52</v>
      </c>
      <c r="G21" s="44" t="n">
        <v>13</v>
      </c>
      <c r="H21" s="45">
        <f>E21*F21*G21</f>
        <v/>
      </c>
    </row>
    <row r="22">
      <c r="A22" s="11" t="inlineStr">
        <is>
          <t>ADM</t>
        </is>
      </c>
      <c r="B22" s="43" t="inlineStr">
        <is>
          <t>MÃO DE OBRA</t>
        </is>
      </c>
      <c r="C22" s="43" t="inlineStr">
        <is>
          <t>APONTADOR</t>
        </is>
      </c>
      <c r="D22" s="43" t="inlineStr">
        <is>
          <t>APONTADOR</t>
        </is>
      </c>
      <c r="E22" s="44" t="n">
        <v>9</v>
      </c>
      <c r="F22" s="45" t="n">
        <v>55754.64</v>
      </c>
      <c r="G22" s="44" t="n">
        <v>13</v>
      </c>
      <c r="H22" s="45">
        <f>E22*F22*G22</f>
        <v/>
      </c>
    </row>
    <row r="23">
      <c r="A23" s="11" t="inlineStr">
        <is>
          <t>ADM</t>
        </is>
      </c>
      <c r="B23" s="43" t="inlineStr">
        <is>
          <t>MÃO DE OBRA</t>
        </is>
      </c>
      <c r="C23" s="43" t="inlineStr">
        <is>
          <t>MOTORISTA DE CAMINHÃO PRANCHA</t>
        </is>
      </c>
      <c r="D23" s="43" t="inlineStr">
        <is>
          <t>MOTORISTA DE CAMINHÃO PRANCHA</t>
        </is>
      </c>
      <c r="E23" s="44" t="n">
        <v>1</v>
      </c>
      <c r="F23" s="45" t="n">
        <v>8054.51</v>
      </c>
      <c r="G23" s="44" t="n">
        <v>13</v>
      </c>
      <c r="H23" s="45">
        <f>E23*F23*G23</f>
        <v/>
      </c>
    </row>
    <row r="24">
      <c r="A24" s="11" t="inlineStr">
        <is>
          <t>ADM</t>
        </is>
      </c>
      <c r="B24" s="43" t="inlineStr">
        <is>
          <t>MÃO DE OBRA</t>
        </is>
      </c>
      <c r="C24" s="43" t="inlineStr">
        <is>
          <t>MOTORISTA DE ÔNIBUS</t>
        </is>
      </c>
      <c r="D24" s="43" t="inlineStr">
        <is>
          <t>MOTORISTA DE ÔNIBUS</t>
        </is>
      </c>
      <c r="E24" s="44" t="n">
        <v>4</v>
      </c>
      <c r="F24" s="45" t="n">
        <v>21386.84</v>
      </c>
      <c r="G24" s="44" t="n">
        <v>13</v>
      </c>
      <c r="H24" s="45">
        <f>E24*F24*G24</f>
        <v/>
      </c>
    </row>
    <row r="25">
      <c r="A25" s="11" t="inlineStr">
        <is>
          <t>ADM</t>
        </is>
      </c>
      <c r="B25" s="43" t="inlineStr">
        <is>
          <t>MÃO DE OBRA</t>
        </is>
      </c>
      <c r="C25" s="43" t="inlineStr">
        <is>
          <t>PREFEITO DE ALOJAMENTO</t>
        </is>
      </c>
      <c r="D25" s="43" t="inlineStr">
        <is>
          <t>PREFEITO DE ALOJAMENTO</t>
        </is>
      </c>
      <c r="E25" s="44" t="n">
        <v>3</v>
      </c>
      <c r="F25" s="45" t="n">
        <v>24153</v>
      </c>
      <c r="G25" s="44" t="n">
        <v>13</v>
      </c>
      <c r="H25" s="45">
        <f>E25*F25*G25</f>
        <v/>
      </c>
    </row>
    <row r="26">
      <c r="A26" s="48" t="inlineStr">
        <is>
          <t>Subtotal ADM</t>
        </is>
      </c>
      <c r="B26" s="49" t="n"/>
      <c r="C26" s="49" t="n"/>
      <c r="D26" s="49" t="n"/>
      <c r="E26" s="49" t="n"/>
      <c r="F26" s="49" t="n"/>
      <c r="G26" s="49" t="n"/>
      <c r="H26" s="50">
        <f>SUM(H4:H25)</f>
        <v/>
      </c>
    </row>
    <row r="27">
      <c r="A27" s="3" t="inlineStr">
        <is>
          <t>TOP — Topografia</t>
        </is>
      </c>
    </row>
    <row r="28">
      <c r="A28" s="14" t="inlineStr">
        <is>
          <t>TOP</t>
        </is>
      </c>
      <c r="B28" s="52" t="inlineStr">
        <is>
          <t>MÃO DE OBRA</t>
        </is>
      </c>
      <c r="C28" s="52" t="inlineStr">
        <is>
          <t>TOPÓGRAFO</t>
        </is>
      </c>
      <c r="D28" s="52" t="inlineStr">
        <is>
          <t>TOPÓGRAFO</t>
        </is>
      </c>
      <c r="E28" s="53" t="n">
        <v>2</v>
      </c>
      <c r="F28" s="54" t="n">
        <v>36000</v>
      </c>
      <c r="G28" s="53" t="n">
        <v>13</v>
      </c>
      <c r="H28" s="54">
        <f>E28*F28*G28</f>
        <v/>
      </c>
    </row>
    <row r="29">
      <c r="A29" s="14" t="inlineStr">
        <is>
          <t>TOP</t>
        </is>
      </c>
      <c r="B29" s="52" t="inlineStr">
        <is>
          <t>MÃO DE OBRA</t>
        </is>
      </c>
      <c r="C29" s="52" t="inlineStr">
        <is>
          <t>AUXILIAR DE TOPOGRAFIA</t>
        </is>
      </c>
      <c r="D29" s="52" t="inlineStr">
        <is>
          <t>AUXILIAR DE TOPOGRAFIA</t>
        </is>
      </c>
      <c r="E29" s="53" t="n">
        <v>2</v>
      </c>
      <c r="F29" s="54" t="n">
        <v>8926.120000000001</v>
      </c>
      <c r="G29" s="53" t="n">
        <v>13</v>
      </c>
      <c r="H29" s="54">
        <f>E29*F29*G29</f>
        <v/>
      </c>
    </row>
    <row r="30">
      <c r="A30" s="14" t="inlineStr">
        <is>
          <t>TOP</t>
        </is>
      </c>
      <c r="B30" s="52" t="inlineStr">
        <is>
          <t>MÃO DE OBRA</t>
        </is>
      </c>
      <c r="C30" s="52" t="inlineStr">
        <is>
          <t>SALA TÉCNICA</t>
        </is>
      </c>
      <c r="D30" s="52" t="inlineStr">
        <is>
          <t>SALA TÉCNICA</t>
        </is>
      </c>
      <c r="E30" s="53" t="n">
        <v>1</v>
      </c>
      <c r="F30" s="54" t="n">
        <v>12000</v>
      </c>
      <c r="G30" s="53" t="n">
        <v>13</v>
      </c>
      <c r="H30" s="54">
        <f>E30*F30*G30</f>
        <v/>
      </c>
    </row>
    <row r="31">
      <c r="A31" s="14" t="inlineStr">
        <is>
          <t>TOP</t>
        </is>
      </c>
      <c r="B31" s="52" t="inlineStr">
        <is>
          <t>MÃO DE OBRA</t>
        </is>
      </c>
      <c r="C31" s="52" t="inlineStr">
        <is>
          <t>AJUDANTE</t>
        </is>
      </c>
      <c r="D31" s="52" t="inlineStr">
        <is>
          <t>AJUDANTE</t>
        </is>
      </c>
      <c r="E31" s="53" t="n">
        <v>1</v>
      </c>
      <c r="F31" s="54" t="n">
        <v>4112.26</v>
      </c>
      <c r="G31" s="53" t="n">
        <v>13</v>
      </c>
      <c r="H31" s="54">
        <f>E31*F31*G31</f>
        <v/>
      </c>
    </row>
    <row r="32">
      <c r="A32" s="48" t="inlineStr">
        <is>
          <t>Subtotal TOP</t>
        </is>
      </c>
      <c r="B32" s="49" t="n"/>
      <c r="C32" s="49" t="n"/>
      <c r="D32" s="49" t="n"/>
      <c r="E32" s="49" t="n"/>
      <c r="F32" s="49" t="n"/>
      <c r="G32" s="49" t="n"/>
      <c r="H32" s="50">
        <f>SUM(H28:H31)</f>
        <v/>
      </c>
    </row>
    <row r="33">
      <c r="A33" s="3" t="inlineStr">
        <is>
          <t>LAB — Laboratorio de solos e materiais</t>
        </is>
      </c>
    </row>
    <row r="34">
      <c r="A34" s="11" t="inlineStr">
        <is>
          <t>LAB</t>
        </is>
      </c>
      <c r="B34" s="43" t="inlineStr">
        <is>
          <t>MÃO DE OBRA</t>
        </is>
      </c>
      <c r="C34" s="43" t="inlineStr">
        <is>
          <t>LABORATORISTA</t>
        </is>
      </c>
      <c r="D34" s="43" t="inlineStr">
        <is>
          <t>LABORATORISTA</t>
        </is>
      </c>
      <c r="E34" s="44" t="n">
        <v>1</v>
      </c>
      <c r="F34" s="45" t="n">
        <v>9000</v>
      </c>
      <c r="G34" s="44" t="n">
        <v>13</v>
      </c>
      <c r="H34" s="45">
        <f>E34*F34*G34</f>
        <v/>
      </c>
    </row>
    <row r="35">
      <c r="A35" s="11" t="inlineStr">
        <is>
          <t>LAB</t>
        </is>
      </c>
      <c r="B35" s="43" t="inlineStr">
        <is>
          <t>MÃO DE OBRA</t>
        </is>
      </c>
      <c r="C35" s="43" t="inlineStr">
        <is>
          <t>AUXILIAR DE LABORATÓRIO</t>
        </is>
      </c>
      <c r="D35" s="43" t="inlineStr">
        <is>
          <t>AUXILIAR DE LABORATÓRIO</t>
        </is>
      </c>
      <c r="E35" s="44" t="n">
        <v>1</v>
      </c>
      <c r="F35" s="45" t="n">
        <v>4463.06</v>
      </c>
      <c r="G35" s="44" t="n">
        <v>13</v>
      </c>
      <c r="H35" s="45">
        <f>E35*F35*G35</f>
        <v/>
      </c>
    </row>
    <row r="36">
      <c r="A36" s="48" t="inlineStr">
        <is>
          <t>Subtotal LAB</t>
        </is>
      </c>
      <c r="B36" s="49" t="n"/>
      <c r="C36" s="49" t="n"/>
      <c r="D36" s="49" t="n"/>
      <c r="E36" s="49" t="n"/>
      <c r="F36" s="49" t="n"/>
      <c r="G36" s="49" t="n"/>
      <c r="H36" s="50">
        <f>SUM(H34:H35)</f>
        <v/>
      </c>
    </row>
    <row r="37">
      <c r="A37" s="3" t="inlineStr">
        <is>
          <t>QSMS — Qualidade, Saude, Seguranca e Meio Ambiente</t>
        </is>
      </c>
    </row>
    <row r="38">
      <c r="A38" s="14" t="inlineStr">
        <is>
          <t>QSMS</t>
        </is>
      </c>
      <c r="B38" s="52" t="inlineStr">
        <is>
          <t>MÃO DE OBRA</t>
        </is>
      </c>
      <c r="C38" s="52" t="inlineStr">
        <is>
          <t>TÉCNICO DE SEGURANÇA DO TRABALHO</t>
        </is>
      </c>
      <c r="D38" s="52" t="inlineStr">
        <is>
          <t>TÉCNICO DE SEGURANÇA DO TRABALHO</t>
        </is>
      </c>
      <c r="E38" s="53" t="n">
        <v>2</v>
      </c>
      <c r="F38" s="54" t="n">
        <v>15000</v>
      </c>
      <c r="G38" s="53" t="n">
        <v>13</v>
      </c>
      <c r="H38" s="54">
        <f>E38*F38*G38</f>
        <v/>
      </c>
    </row>
    <row r="39">
      <c r="A39" s="14" t="inlineStr">
        <is>
          <t>QSMS</t>
        </is>
      </c>
      <c r="B39" s="52" t="inlineStr">
        <is>
          <t>MÃO DE OBRA</t>
        </is>
      </c>
      <c r="C39" s="52" t="inlineStr">
        <is>
          <t>AJUDANTE ESPECIALIZADO</t>
        </is>
      </c>
      <c r="D39" s="52" t="inlineStr">
        <is>
          <t>AJUDANTE ESPECIALIZADO</t>
        </is>
      </c>
      <c r="E39" s="53" t="n">
        <v>1</v>
      </c>
      <c r="F39" s="54" t="n">
        <v>4463.06</v>
      </c>
      <c r="G39" s="53" t="n">
        <v>13</v>
      </c>
      <c r="H39" s="54">
        <f>E39*F39*G39</f>
        <v/>
      </c>
    </row>
    <row r="40">
      <c r="A40" s="14" t="inlineStr">
        <is>
          <t>QSMS</t>
        </is>
      </c>
      <c r="B40" s="52" t="inlineStr">
        <is>
          <t>MÃO DE OBRA</t>
        </is>
      </c>
      <c r="C40" s="52" t="inlineStr">
        <is>
          <t>GERENTE DE QSMS</t>
        </is>
      </c>
      <c r="D40" s="52" t="inlineStr">
        <is>
          <t>GERENTE DE QSMS</t>
        </is>
      </c>
      <c r="E40" s="53" t="n">
        <v>1</v>
      </c>
      <c r="F40" s="54" t="n">
        <v>15000</v>
      </c>
      <c r="G40" s="53" t="n">
        <v>13</v>
      </c>
      <c r="H40" s="54">
        <f>E40*F40*G40</f>
        <v/>
      </c>
    </row>
    <row r="41">
      <c r="A41" s="14" t="inlineStr">
        <is>
          <t>QSMS</t>
        </is>
      </c>
      <c r="B41" s="52" t="inlineStr">
        <is>
          <t>MÃO DE OBRA</t>
        </is>
      </c>
      <c r="C41" s="52" t="inlineStr">
        <is>
          <t>BIÓLOGO DE CAMPO</t>
        </is>
      </c>
      <c r="D41" s="52" t="inlineStr">
        <is>
          <t>BIÓLOGO DE CAMPO</t>
        </is>
      </c>
      <c r="E41" s="53" t="n">
        <v>1</v>
      </c>
      <c r="F41" s="54" t="n">
        <v>7500</v>
      </c>
      <c r="G41" s="53" t="n">
        <v>13</v>
      </c>
      <c r="H41" s="54">
        <f>E41*F41*G41</f>
        <v/>
      </c>
    </row>
    <row r="42">
      <c r="A42" s="14" t="inlineStr">
        <is>
          <t>QSMS</t>
        </is>
      </c>
      <c r="B42" s="52" t="inlineStr">
        <is>
          <t>MÃO DE OBRA</t>
        </is>
      </c>
      <c r="C42" s="52" t="inlineStr">
        <is>
          <t>BOTÂNICO DE CAMPO</t>
        </is>
      </c>
      <c r="D42" s="52" t="inlineStr">
        <is>
          <t>BOTÂNICO DE CAMPO</t>
        </is>
      </c>
      <c r="E42" s="53" t="n">
        <v>1</v>
      </c>
      <c r="F42" s="54" t="n">
        <v>7500</v>
      </c>
      <c r="G42" s="53" t="n">
        <v>13</v>
      </c>
      <c r="H42" s="54">
        <f>E42*F42*G42</f>
        <v/>
      </c>
    </row>
    <row r="43">
      <c r="A43" s="48" t="inlineStr">
        <is>
          <t>Subtotal QSMS</t>
        </is>
      </c>
      <c r="B43" s="49" t="n"/>
      <c r="C43" s="49" t="n"/>
      <c r="D43" s="49" t="n"/>
      <c r="E43" s="49" t="n"/>
      <c r="F43" s="49" t="n"/>
      <c r="G43" s="49" t="n"/>
      <c r="H43" s="50">
        <f>SUM(H38:H42)</f>
        <v/>
      </c>
    </row>
    <row r="44">
      <c r="A44" s="3" t="inlineStr">
        <is>
          <t>MOB — Mobilizacao e desmobilizacao</t>
        </is>
      </c>
    </row>
    <row r="45">
      <c r="A45" s="11" t="inlineStr">
        <is>
          <t>MOB</t>
        </is>
      </c>
      <c r="B45" s="43" t="inlineStr">
        <is>
          <t>CUSTO TOTAL</t>
        </is>
      </c>
      <c r="C45" s="43" t="inlineStr">
        <is>
          <t>—</t>
        </is>
      </c>
      <c r="D45" s="43" t="inlineStr">
        <is>
          <t>Mobilizacao e desmobilizacao</t>
        </is>
      </c>
      <c r="E45" s="44" t="n">
        <v>1</v>
      </c>
      <c r="F45" s="45" t="n">
        <v>0</v>
      </c>
      <c r="G45" s="44" t="n">
        <v>13</v>
      </c>
      <c r="H45" s="45" t="n">
        <v>4054600.43</v>
      </c>
    </row>
    <row r="46">
      <c r="A46" s="48" t="inlineStr">
        <is>
          <t>Subtotal MOB</t>
        </is>
      </c>
      <c r="B46" s="49" t="n"/>
      <c r="C46" s="49" t="n"/>
      <c r="D46" s="49" t="n"/>
      <c r="E46" s="49" t="n"/>
      <c r="F46" s="49" t="n"/>
      <c r="G46" s="49" t="n"/>
      <c r="H46" s="50">
        <f>SUM(H45:H45)</f>
        <v/>
      </c>
    </row>
    <row r="48">
      <c r="A48" s="57" t="inlineStr">
        <is>
          <t>TOTAL INDIRETO</t>
        </is>
      </c>
      <c r="H48" s="58">
        <f>H26+H32+H36+H43+H46</f>
        <v/>
      </c>
    </row>
    <row r="51">
      <c r="A51" s="3" t="inlineStr">
        <is>
          <t>Distribuição Mensal de Indiretos</t>
        </is>
      </c>
    </row>
    <row r="52">
      <c r="A52" s="65" t="inlineStr">
        <is>
          <t>Mês</t>
        </is>
      </c>
      <c r="B52" s="65" t="inlineStr">
        <is>
          <t>Despesa Indireta (R$)</t>
        </is>
      </c>
      <c r="C52" s="65" t="inlineStr"/>
      <c r="D52" s="65" t="inlineStr"/>
      <c r="E52" s="65" t="inlineStr"/>
      <c r="F52" s="65" t="inlineStr"/>
      <c r="G52" s="65" t="inlineStr"/>
      <c r="H52" s="65" t="inlineStr"/>
    </row>
    <row r="53">
      <c r="A53" s="43" t="inlineStr">
        <is>
          <t>Jun/26</t>
        </is>
      </c>
      <c r="B53" s="45" t="n">
        <v>5249211.11</v>
      </c>
      <c r="C53" s="19" t="n"/>
      <c r="D53" s="19" t="n"/>
      <c r="E53" s="19" t="n"/>
      <c r="F53" s="19" t="n"/>
      <c r="G53" s="19" t="n"/>
      <c r="H53" s="19" t="n"/>
    </row>
    <row r="54">
      <c r="A54" s="52" t="inlineStr">
        <is>
          <t>Jul/26</t>
        </is>
      </c>
      <c r="B54" s="54" t="n">
        <v>1194610.68</v>
      </c>
      <c r="C54" s="22" t="n"/>
      <c r="D54" s="22" t="n"/>
      <c r="E54" s="22" t="n"/>
      <c r="F54" s="22" t="n"/>
      <c r="G54" s="22" t="n"/>
      <c r="H54" s="22" t="n"/>
    </row>
    <row r="55">
      <c r="A55" s="43" t="inlineStr">
        <is>
          <t>Ago/26</t>
        </is>
      </c>
      <c r="B55" s="45" t="n">
        <v>1194610.68</v>
      </c>
      <c r="C55" s="19" t="n"/>
      <c r="D55" s="19" t="n"/>
      <c r="E55" s="19" t="n"/>
      <c r="F55" s="19" t="n"/>
      <c r="G55" s="19" t="n"/>
      <c r="H55" s="19" t="n"/>
    </row>
    <row r="56">
      <c r="A56" s="52" t="inlineStr">
        <is>
          <t>Set/26</t>
        </is>
      </c>
      <c r="B56" s="54" t="n">
        <v>1194610.68</v>
      </c>
      <c r="C56" s="22" t="n"/>
      <c r="D56" s="22" t="n"/>
      <c r="E56" s="22" t="n"/>
      <c r="F56" s="22" t="n"/>
      <c r="G56" s="22" t="n"/>
      <c r="H56" s="22" t="n"/>
    </row>
    <row r="57">
      <c r="A57" s="43" t="inlineStr">
        <is>
          <t>Out/26</t>
        </is>
      </c>
      <c r="B57" s="45" t="n">
        <v>1194610.68</v>
      </c>
      <c r="C57" s="19" t="n"/>
      <c r="D57" s="19" t="n"/>
      <c r="E57" s="19" t="n"/>
      <c r="F57" s="19" t="n"/>
      <c r="G57" s="19" t="n"/>
      <c r="H57" s="19" t="n"/>
    </row>
    <row r="58">
      <c r="A58" s="52" t="inlineStr">
        <is>
          <t>Nov/26</t>
        </is>
      </c>
      <c r="B58" s="54" t="n">
        <v>1194610.68</v>
      </c>
      <c r="C58" s="22" t="n"/>
      <c r="D58" s="22" t="n"/>
      <c r="E58" s="22" t="n"/>
      <c r="F58" s="22" t="n"/>
      <c r="G58" s="22" t="n"/>
      <c r="H58" s="22" t="n"/>
    </row>
    <row r="59">
      <c r="A59" s="43" t="inlineStr">
        <is>
          <t>Dez/26</t>
        </is>
      </c>
      <c r="B59" s="45" t="n">
        <v>1194610.68</v>
      </c>
      <c r="C59" s="19" t="n"/>
      <c r="D59" s="19" t="n"/>
      <c r="E59" s="19" t="n"/>
      <c r="F59" s="19" t="n"/>
      <c r="G59" s="19" t="n"/>
      <c r="H59" s="19" t="n"/>
    </row>
    <row r="60">
      <c r="A60" s="52" t="inlineStr">
        <is>
          <t>Jan/27</t>
        </is>
      </c>
      <c r="B60" s="54" t="n">
        <v>1194610.68</v>
      </c>
      <c r="C60" s="22" t="n"/>
      <c r="D60" s="22" t="n"/>
      <c r="E60" s="22" t="n"/>
      <c r="F60" s="22" t="n"/>
      <c r="G60" s="22" t="n"/>
      <c r="H60" s="22" t="n"/>
    </row>
    <row r="61">
      <c r="A61" s="43" t="inlineStr">
        <is>
          <t>Fev/27</t>
        </is>
      </c>
      <c r="B61" s="45" t="n">
        <v>1194610.68</v>
      </c>
      <c r="C61" s="19" t="n"/>
      <c r="D61" s="19" t="n"/>
      <c r="E61" s="19" t="n"/>
      <c r="F61" s="19" t="n"/>
      <c r="G61" s="19" t="n"/>
      <c r="H61" s="19" t="n"/>
    </row>
    <row r="62">
      <c r="A62" s="52" t="inlineStr">
        <is>
          <t>Mar/27</t>
        </is>
      </c>
      <c r="B62" s="54" t="n">
        <v>1194610.68</v>
      </c>
      <c r="C62" s="22" t="n"/>
      <c r="D62" s="22" t="n"/>
      <c r="E62" s="22" t="n"/>
      <c r="F62" s="22" t="n"/>
      <c r="G62" s="22" t="n"/>
      <c r="H62" s="22" t="n"/>
    </row>
    <row r="63">
      <c r="A63" s="43" t="inlineStr">
        <is>
          <t>Abr/27</t>
        </is>
      </c>
      <c r="B63" s="45" t="n">
        <v>1194610.68</v>
      </c>
      <c r="C63" s="19" t="n"/>
      <c r="D63" s="19" t="n"/>
      <c r="E63" s="19" t="n"/>
      <c r="F63" s="19" t="n"/>
      <c r="G63" s="19" t="n"/>
      <c r="H63" s="19" t="n"/>
    </row>
    <row r="64">
      <c r="A64" s="52" t="inlineStr">
        <is>
          <t>Mai/27</t>
        </is>
      </c>
      <c r="B64" s="54" t="n">
        <v>1194610.68</v>
      </c>
      <c r="C64" s="22" t="n"/>
      <c r="D64" s="22" t="n"/>
      <c r="E64" s="22" t="n"/>
      <c r="F64" s="22" t="n"/>
      <c r="G64" s="22" t="n"/>
      <c r="H64" s="22" t="n"/>
    </row>
    <row r="65">
      <c r="A65" s="43" t="inlineStr">
        <is>
          <t>Jun/27</t>
        </is>
      </c>
      <c r="B65" s="45" t="n">
        <v>1194610.68</v>
      </c>
      <c r="C65" s="19" t="n"/>
      <c r="D65" s="19" t="n"/>
      <c r="E65" s="19" t="n"/>
      <c r="F65" s="19" t="n"/>
      <c r="G65" s="19" t="n"/>
      <c r="H65" s="19" t="n"/>
    </row>
  </sheetData>
  <mergeCells count="8">
    <mergeCell ref="A3:H3"/>
    <mergeCell ref="A51:H51"/>
    <mergeCell ref="A48:G48"/>
    <mergeCell ref="A33:H33"/>
    <mergeCell ref="A44:H44"/>
    <mergeCell ref="A1:H1"/>
    <mergeCell ref="A37:H37"/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4" t="inlineStr">
        <is>
          <t>Categoria</t>
        </is>
      </c>
      <c r="B2" s="4" t="inlineStr">
        <is>
          <t>Descrição</t>
        </is>
      </c>
      <c r="C2" s="4" t="inlineStr">
        <is>
          <t>Custo s/BDI (R$)</t>
        </is>
      </c>
      <c r="D2" s="4" t="inlineStr">
        <is>
          <t>BDI (%)</t>
        </is>
      </c>
      <c r="E2" s="4" t="inlineStr">
        <is>
          <t>Custo c/BDI (R$)</t>
        </is>
      </c>
      <c r="F2" s="4" t="inlineStr">
        <is>
          <t>% do Total</t>
        </is>
      </c>
    </row>
    <row r="3">
      <c r="A3" s="11" t="inlineStr">
        <is>
          <t>ADM</t>
        </is>
      </c>
      <c r="B3" s="43" t="inlineStr">
        <is>
          <t>Administracao de obra</t>
        </is>
      </c>
      <c r="C3" s="45" t="n">
        <v>13766750.4</v>
      </c>
      <c r="D3" s="6" t="n">
        <v>25.21</v>
      </c>
      <c r="E3" s="45" t="n">
        <v>17236701.14</v>
      </c>
      <c r="F3" s="6" t="n">
        <v>70.29000000000001</v>
      </c>
    </row>
    <row r="4">
      <c r="A4" s="14" t="inlineStr">
        <is>
          <t>TOP</t>
        </is>
      </c>
      <c r="B4" s="52" t="inlineStr">
        <is>
          <t>Topografia</t>
        </is>
      </c>
      <c r="C4" s="54" t="n">
        <v>863205.59</v>
      </c>
      <c r="D4" s="9" t="n">
        <v>25.21</v>
      </c>
      <c r="E4" s="54" t="n">
        <v>1080779.15</v>
      </c>
      <c r="F4" s="9" t="n">
        <v>4.41</v>
      </c>
    </row>
    <row r="5">
      <c r="A5" s="11" t="inlineStr">
        <is>
          <t>LAB</t>
        </is>
      </c>
      <c r="B5" s="43" t="inlineStr">
        <is>
          <t>Laboratorio de solos e materiais</t>
        </is>
      </c>
      <c r="C5" s="45" t="n">
        <v>140291.06</v>
      </c>
      <c r="D5" s="6" t="n">
        <v>25.21</v>
      </c>
      <c r="E5" s="45" t="n">
        <v>175651.84</v>
      </c>
      <c r="F5" s="6" t="n">
        <v>0.72</v>
      </c>
    </row>
    <row r="6">
      <c r="A6" s="14" t="inlineStr">
        <is>
          <t>QSMS</t>
        </is>
      </c>
      <c r="B6" s="52" t="inlineStr">
        <is>
          <t>Qualidade, Saude, Seguranca e Meio Ambiente</t>
        </is>
      </c>
      <c r="C6" s="54" t="n">
        <v>759691.79</v>
      </c>
      <c r="D6" s="9" t="n">
        <v>25.21</v>
      </c>
      <c r="E6" s="54" t="n">
        <v>951174.38</v>
      </c>
      <c r="F6" s="9" t="n">
        <v>3.88</v>
      </c>
    </row>
    <row r="7">
      <c r="A7" s="11" t="inlineStr">
        <is>
          <t>MOB</t>
        </is>
      </c>
      <c r="B7" s="43" t="inlineStr">
        <is>
          <t>Mobilizacao e desmobilizacao</t>
        </is>
      </c>
      <c r="C7" s="45" t="n">
        <v>4054600.43</v>
      </c>
      <c r="D7" s="6" t="n">
        <v>25.21</v>
      </c>
      <c r="E7" s="45" t="n">
        <v>5076574.63</v>
      </c>
      <c r="F7" s="6" t="n">
        <v>20.7</v>
      </c>
    </row>
    <row r="9">
      <c r="A9" s="57" t="inlineStr">
        <is>
          <t>TOTAL INDIRETO</t>
        </is>
      </c>
      <c r="C9" s="58">
        <f>C3+C4+C5+C6+C7</f>
        <v/>
      </c>
      <c r="D9" s="66" t="n"/>
      <c r="E9" s="58">
        <f>E3+E4+E5+E6+E7</f>
        <v/>
      </c>
      <c r="F9" s="66" t="n"/>
    </row>
    <row r="12">
      <c r="A12" s="3" t="inlineStr">
        <is>
          <t>INDICADORES DE COMPOSIÇÃO DE CUSTO</t>
        </is>
      </c>
    </row>
    <row r="13">
      <c r="A13" s="67" t="inlineStr">
        <is>
          <t>TOTAL DIRETO (catálogo s/BDI)</t>
        </is>
      </c>
      <c r="B13" s="68" t="n"/>
      <c r="C13" s="69" t="n">
        <v>46843791.49</v>
      </c>
      <c r="D13" s="70" t="n"/>
      <c r="E13" s="70" t="n"/>
      <c r="F13" s="68" t="n"/>
    </row>
    <row r="14">
      <c r="A14" s="67" t="inlineStr">
        <is>
          <t>TOTAL INDIRETO s/BDI</t>
        </is>
      </c>
      <c r="B14" s="68" t="n"/>
      <c r="C14" s="69" t="n">
        <v>21284965.56</v>
      </c>
      <c r="D14" s="70" t="n"/>
      <c r="E14" s="70" t="n"/>
      <c r="F14" s="68" t="n"/>
    </row>
    <row r="15">
      <c r="A15" s="67" t="inlineStr">
        <is>
          <t>RAZÃO CI / CD</t>
        </is>
      </c>
      <c r="B15" s="68" t="n"/>
      <c r="C15" s="71" t="n">
        <v>45.44</v>
      </c>
      <c r="D15" s="70" t="n"/>
      <c r="E15" s="70" t="n"/>
      <c r="F15" s="68" t="n"/>
    </row>
    <row r="16">
      <c r="A16" s="67" t="inlineStr">
        <is>
          <t>PREÇO DE VENDA TOTAL</t>
        </is>
      </c>
      <c r="B16" s="68" t="n"/>
      <c r="C16" s="69" t="n">
        <v>85639774.05</v>
      </c>
      <c r="D16" s="70" t="n"/>
      <c r="E16" s="70" t="n"/>
      <c r="F16" s="68" t="n"/>
    </row>
    <row r="17">
      <c r="A17" s="67" t="inlineStr">
        <is>
          <t>CI / PVT</t>
        </is>
      </c>
      <c r="B17" s="68" t="n"/>
      <c r="C17" s="71" t="n">
        <v>24.85</v>
      </c>
      <c r="D17" s="70" t="n"/>
      <c r="E17" s="70" t="n"/>
      <c r="F17" s="68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4" customWidth="1" min="4" max="4"/>
    <col width="15" customWidth="1" min="5" max="5"/>
    <col width="19" customWidth="1" min="6" max="6"/>
    <col width="15" customWidth="1" min="7" max="7"/>
    <col width="19" customWidth="1" min="8" max="8"/>
    <col width="18" customWidth="1" min="9" max="9"/>
    <col width="19" customWidth="1" min="10" max="10"/>
    <col width="16" customWidth="1" min="11" max="11"/>
    <col width="19" customWidth="1" min="12" max="12"/>
    <col width="18" customWidth="1" min="13" max="13"/>
    <col width="18" customWidth="1" min="14" max="14"/>
    <col width="13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 (R$)</t>
        </is>
      </c>
      <c r="F2" s="4" t="inlineStr">
        <is>
          <t>MO c/BDI (R$)</t>
        </is>
      </c>
      <c r="G2" s="4" t="inlineStr">
        <is>
          <t>EQ s/BDI (R$)</t>
        </is>
      </c>
      <c r="H2" s="4" t="inlineStr">
        <is>
          <t>EQ c/BDI (R$)</t>
        </is>
      </c>
      <c r="I2" s="4" t="inlineStr">
        <is>
          <t>Comb. s/BDI (R$)</t>
        </is>
      </c>
      <c r="J2" s="4" t="inlineStr">
        <is>
          <t>Comb. c/BDI (R$)</t>
        </is>
      </c>
      <c r="K2" s="4" t="inlineStr">
        <is>
          <t>MAT s/BDI (R$)</t>
        </is>
      </c>
      <c r="L2" s="4" t="inlineStr">
        <is>
          <t>MAT c/BDI (R$)</t>
        </is>
      </c>
      <c r="M2" s="4" t="inlineStr">
        <is>
          <t>Total s/BDI (R$)</t>
        </is>
      </c>
      <c r="N2" s="4" t="inlineStr">
        <is>
          <t>Total c/BDI (R$)</t>
        </is>
      </c>
      <c r="O2" s="4" t="inlineStr">
        <is>
          <t>Criticidade</t>
        </is>
      </c>
    </row>
    <row r="3">
      <c r="A3" s="72" t="inlineStr">
        <is>
          <t>eap-1_0</t>
        </is>
      </c>
      <c r="B3" s="72" t="inlineStr">
        <is>
          <t>Desmatamento e limpeza de area vegetada</t>
        </is>
      </c>
      <c r="C3" s="72" t="inlineStr">
        <is>
          <t>m2</t>
        </is>
      </c>
      <c r="D3" s="73" t="n">
        <v>2400000</v>
      </c>
      <c r="E3" s="74" t="n">
        <v>462885.6</v>
      </c>
      <c r="F3" s="74">
        <f>E3*(1+BDI!$M$3)</f>
        <v/>
      </c>
      <c r="G3" s="74" t="n">
        <v>930979.2</v>
      </c>
      <c r="H3" s="74">
        <f>G3*(1+BDI!$M$5)</f>
        <v/>
      </c>
      <c r="I3" s="74" t="n">
        <v>710138.4</v>
      </c>
      <c r="J3" s="74">
        <f>I3*(1+BDI!$M$7)</f>
        <v/>
      </c>
      <c r="K3" s="74" t="n">
        <v>0</v>
      </c>
      <c r="L3" s="74">
        <f>K3*(1+BDI!$M$4)</f>
        <v/>
      </c>
      <c r="M3" s="74">
        <f>E3+G3+I3+K3</f>
        <v/>
      </c>
      <c r="N3" s="74">
        <f>F3+H3+J3+L3</f>
        <v/>
      </c>
      <c r="O3" s="72" t="inlineStr">
        <is>
          <t>B</t>
        </is>
      </c>
    </row>
    <row r="4">
      <c r="A4" s="72" t="inlineStr">
        <is>
          <t>eap-1_1</t>
        </is>
      </c>
      <c r="B4" s="72" t="inlineStr">
        <is>
          <t>Esc/carg/transp 1aCat DMT&lt;=2000m</t>
        </is>
      </c>
      <c r="C4" s="72" t="inlineStr">
        <is>
          <t>m3</t>
        </is>
      </c>
      <c r="D4" s="73" t="n">
        <v>107463.1053</v>
      </c>
      <c r="E4" s="74" t="n">
        <v>160309.48</v>
      </c>
      <c r="F4" s="74">
        <f>E4*(1+BDI!$M$3)</f>
        <v/>
      </c>
      <c r="G4" s="74" t="n">
        <v>521747.78</v>
      </c>
      <c r="H4" s="74">
        <f>G4*(1+BDI!$M$5)</f>
        <v/>
      </c>
      <c r="I4" s="74" t="n">
        <v>140922.82</v>
      </c>
      <c r="J4" s="74">
        <f>I4*(1+BDI!$M$7)</f>
        <v/>
      </c>
      <c r="K4" s="74" t="n">
        <v>0</v>
      </c>
      <c r="L4" s="74">
        <f>K4*(1+BDI!$M$4)</f>
        <v/>
      </c>
      <c r="M4" s="74">
        <f>E4+G4+I4+K4</f>
        <v/>
      </c>
      <c r="N4" s="74">
        <f>F4+H4+J4+L4</f>
        <v/>
      </c>
      <c r="O4" s="72" t="inlineStr">
        <is>
          <t>B</t>
        </is>
      </c>
    </row>
    <row r="5">
      <c r="A5" s="75" t="inlineStr">
        <is>
          <t>eap-1_2</t>
        </is>
      </c>
      <c r="B5" s="75" t="inlineStr">
        <is>
          <t>Esc/carg/transp 1aCat DMT&lt;=3000m</t>
        </is>
      </c>
      <c r="C5" s="75" t="inlineStr">
        <is>
          <t>m3</t>
        </is>
      </c>
      <c r="D5" s="76" t="n">
        <v>336915.0947</v>
      </c>
      <c r="E5" s="77" t="n">
        <v>560277.67</v>
      </c>
      <c r="F5" s="77">
        <f>E5*(1+BDI!$M$3)</f>
        <v/>
      </c>
      <c r="G5" s="77" t="n">
        <v>1821276.08</v>
      </c>
      <c r="H5" s="77">
        <f>G5*(1+BDI!$M$5)</f>
        <v/>
      </c>
      <c r="I5" s="77" t="n">
        <v>469151.24</v>
      </c>
      <c r="J5" s="77">
        <f>I5*(1+BDI!$M$7)</f>
        <v/>
      </c>
      <c r="K5" s="77" t="n">
        <v>0</v>
      </c>
      <c r="L5" s="77">
        <f>K5*(1+BDI!$M$4)</f>
        <v/>
      </c>
      <c r="M5" s="77">
        <f>E5+G5+I5+K5</f>
        <v/>
      </c>
      <c r="N5" s="77">
        <f>F5+H5+J5+L5</f>
        <v/>
      </c>
      <c r="O5" s="75" t="inlineStr">
        <is>
          <t>A</t>
        </is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>
        <f>E6*(1+BDI!$M$3)</f>
        <v/>
      </c>
      <c r="G6" s="64" t="n">
        <v>667530.62</v>
      </c>
      <c r="H6" s="64">
        <f>G6*(1+BDI!$M$5)</f>
        <v/>
      </c>
      <c r="I6" s="64" t="n">
        <v>190682.17</v>
      </c>
      <c r="J6" s="64">
        <f>I6*(1+BDI!$M$7)</f>
        <v/>
      </c>
      <c r="K6" s="64" t="n">
        <v>0</v>
      </c>
      <c r="L6" s="64">
        <f>K6*(1+BDI!$M$4)</f>
        <v/>
      </c>
      <c r="M6" s="64">
        <f>E6+G6+I6+K6</f>
        <v/>
      </c>
      <c r="N6" s="64">
        <f>F6+H6+J6+L6</f>
        <v/>
      </c>
      <c r="O6" s="62" t="inlineStr">
        <is>
          <t>C</t>
        </is>
      </c>
    </row>
    <row r="7">
      <c r="A7" s="78" t="inlineStr">
        <is>
          <t>eap-1_4</t>
        </is>
      </c>
      <c r="B7" s="78" t="inlineStr">
        <is>
          <t>Esc/carg/transp 2aCat DMT&lt;=3000m</t>
        </is>
      </c>
      <c r="C7" s="78" t="inlineStr">
        <is>
          <t>m3</t>
        </is>
      </c>
      <c r="D7" s="79" t="n">
        <v>585945.7677</v>
      </c>
      <c r="E7" s="80" t="n">
        <v>1223028.19</v>
      </c>
      <c r="F7" s="80">
        <f>E7*(1+BDI!$M$3)</f>
        <v/>
      </c>
      <c r="G7" s="80" t="n">
        <v>3982636.47</v>
      </c>
      <c r="H7" s="80">
        <f>G7*(1+BDI!$M$5)</f>
        <v/>
      </c>
      <c r="I7" s="80" t="n">
        <v>1097585.41</v>
      </c>
      <c r="J7" s="80">
        <f>I7*(1+BDI!$M$7)</f>
        <v/>
      </c>
      <c r="K7" s="80" t="n">
        <v>0</v>
      </c>
      <c r="L7" s="80">
        <f>K7*(1+BDI!$M$4)</f>
        <v/>
      </c>
      <c r="M7" s="80">
        <f>E7+G7+I7+K7</f>
        <v/>
      </c>
      <c r="N7" s="80">
        <f>F7+H7+J7+L7</f>
        <v/>
      </c>
      <c r="O7" s="78" t="inlineStr">
        <is>
          <t>A+</t>
        </is>
      </c>
    </row>
    <row r="8">
      <c r="A8" s="72" t="inlineStr">
        <is>
          <t>eap-1_5</t>
        </is>
      </c>
      <c r="B8" s="72" t="inlineStr">
        <is>
          <t>Esc/carg/transp 3aCat DMT&lt;=2000m</t>
        </is>
      </c>
      <c r="C8" s="72" t="inlineStr">
        <is>
          <t>m3</t>
        </is>
      </c>
      <c r="D8" s="73" t="n">
        <v>304634.4556</v>
      </c>
      <c r="E8" s="74" t="n">
        <v>623661.98</v>
      </c>
      <c r="F8" s="74">
        <f>E8*(1+BDI!$M$3)</f>
        <v/>
      </c>
      <c r="G8" s="74" t="n">
        <v>3186950.11</v>
      </c>
      <c r="H8" s="74">
        <f>G8*(1+BDI!$M$5)</f>
        <v/>
      </c>
      <c r="I8" s="74" t="n">
        <v>719694.03</v>
      </c>
      <c r="J8" s="74">
        <f>I8*(1+BDI!$M$7)</f>
        <v/>
      </c>
      <c r="K8" s="74" t="n">
        <v>0</v>
      </c>
      <c r="L8" s="74">
        <f>K8*(1+BDI!$M$4)</f>
        <v/>
      </c>
      <c r="M8" s="74">
        <f>E8+G8+I8+K8</f>
        <v/>
      </c>
      <c r="N8" s="74">
        <f>F8+H8+J8+L8</f>
        <v/>
      </c>
      <c r="O8" s="72" t="inlineStr">
        <is>
          <t>B</t>
        </is>
      </c>
    </row>
    <row r="9">
      <c r="A9" s="78" t="inlineStr">
        <is>
          <t>eap-1_6</t>
        </is>
      </c>
      <c r="B9" s="78" t="inlineStr">
        <is>
          <t>Esc/carg/transp 3aCat DMT&lt;=3000m</t>
        </is>
      </c>
      <c r="C9" s="78" t="inlineStr">
        <is>
          <t>m3</t>
        </is>
      </c>
      <c r="D9" s="79" t="n">
        <v>676519.0444</v>
      </c>
      <c r="E9" s="80" t="n">
        <v>1699982.76</v>
      </c>
      <c r="F9" s="80">
        <f>E9*(1+BDI!$M$3)</f>
        <v/>
      </c>
      <c r="G9" s="80" t="n">
        <v>8833151.529999999</v>
      </c>
      <c r="H9" s="80">
        <f>G9*(1+BDI!$M$5)</f>
        <v/>
      </c>
      <c r="I9" s="80" t="n">
        <v>1796277.81</v>
      </c>
      <c r="J9" s="80">
        <f>I9*(1+BDI!$M$7)</f>
        <v/>
      </c>
      <c r="K9" s="80" t="n">
        <v>0</v>
      </c>
      <c r="L9" s="80">
        <f>K9*(1+BDI!$M$4)</f>
        <v/>
      </c>
      <c r="M9" s="80">
        <f>E9+G9+I9+K9</f>
        <v/>
      </c>
      <c r="N9" s="80">
        <f>F9+H9+J9+L9</f>
        <v/>
      </c>
      <c r="O9" s="78" t="inlineStr">
        <is>
          <t>A+</t>
        </is>
      </c>
    </row>
    <row r="10">
      <c r="A10" s="78" t="inlineStr">
        <is>
          <t>eap-1_7</t>
        </is>
      </c>
      <c r="B10" s="78" t="inlineStr">
        <is>
          <t>Compactacao aterros 100% Proctor Normal</t>
        </is>
      </c>
      <c r="C10" s="78" t="inlineStr">
        <is>
          <t>m3</t>
        </is>
      </c>
      <c r="D10" s="79" t="n">
        <v>1135635.3</v>
      </c>
      <c r="E10" s="80" t="n">
        <v>1870441.31</v>
      </c>
      <c r="F10" s="80">
        <f>E10*(1+BDI!$M$3)</f>
        <v/>
      </c>
      <c r="G10" s="80" t="n">
        <v>4874679.32</v>
      </c>
      <c r="H10" s="80">
        <f>G10*(1+BDI!$M$5)</f>
        <v/>
      </c>
      <c r="I10" s="80" t="n">
        <v>3624699.17</v>
      </c>
      <c r="J10" s="80">
        <f>I10*(1+BDI!$M$7)</f>
        <v/>
      </c>
      <c r="K10" s="80" t="n">
        <v>0</v>
      </c>
      <c r="L10" s="80">
        <f>K10*(1+BDI!$M$4)</f>
        <v/>
      </c>
      <c r="M10" s="80">
        <f>E10+G10+I10+K10</f>
        <v/>
      </c>
      <c r="N10" s="80">
        <f>F10+H10+J10+L10</f>
        <v/>
      </c>
      <c r="O10" s="78" t="inlineStr">
        <is>
          <t>A+</t>
        </is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>
        <f>E11*(1+BDI!$M$3)</f>
        <v/>
      </c>
      <c r="G11" s="61" t="n">
        <v>165067.91</v>
      </c>
      <c r="H11" s="61">
        <f>G11*(1+BDI!$M$5)</f>
        <v/>
      </c>
      <c r="I11" s="61" t="n">
        <v>122740.69</v>
      </c>
      <c r="J11" s="61">
        <f>I11*(1+BDI!$M$7)</f>
        <v/>
      </c>
      <c r="K11" s="61" t="n">
        <v>0</v>
      </c>
      <c r="L11" s="61">
        <f>K11*(1+BDI!$M$4)</f>
        <v/>
      </c>
      <c r="M11" s="61">
        <f>E11+G11+I11+K11</f>
        <v/>
      </c>
      <c r="N11" s="61">
        <f>F11+H11+J11+L11</f>
        <v/>
      </c>
      <c r="O11" s="59" t="inlineStr">
        <is>
          <t>C</t>
        </is>
      </c>
    </row>
    <row r="12">
      <c r="A12" s="75" t="inlineStr">
        <is>
          <t>eap-1_9</t>
        </is>
      </c>
      <c r="B12" s="75" t="inlineStr">
        <is>
          <t>Construcao corpo aterro material 3a categoria</t>
        </is>
      </c>
      <c r="C12" s="75" t="inlineStr">
        <is>
          <t>m3</t>
        </is>
      </c>
      <c r="D12" s="76" t="n">
        <v>981153.5</v>
      </c>
      <c r="E12" s="77" t="n">
        <v>932009.48</v>
      </c>
      <c r="F12" s="77">
        <f>E12*(1+BDI!$M$3)</f>
        <v/>
      </c>
      <c r="G12" s="77" t="n">
        <v>2787969.26</v>
      </c>
      <c r="H12" s="77">
        <f>G12*(1+BDI!$M$5)</f>
        <v/>
      </c>
      <c r="I12" s="77" t="n">
        <v>2042289.65</v>
      </c>
      <c r="J12" s="77">
        <f>I12*(1+BDI!$M$7)</f>
        <v/>
      </c>
      <c r="K12" s="77" t="n">
        <v>0</v>
      </c>
      <c r="L12" s="77">
        <f>K12*(1+BDI!$M$4)</f>
        <v/>
      </c>
      <c r="M12" s="77">
        <f>E12+G12+I12+K12</f>
        <v/>
      </c>
      <c r="N12" s="77">
        <f>F12+H12+J12+L12</f>
        <v/>
      </c>
      <c r="O12" s="75" t="inlineStr">
        <is>
          <t>A</t>
        </is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>
        <f>E13*(1+BDI!$M$3)</f>
        <v/>
      </c>
      <c r="G13" s="61" t="n">
        <v>159080.73</v>
      </c>
      <c r="H13" s="61">
        <f>G13*(1+BDI!$M$5)</f>
        <v/>
      </c>
      <c r="I13" s="61" t="n">
        <v>139968.79</v>
      </c>
      <c r="J13" s="61">
        <f>I13*(1+BDI!$M$7)</f>
        <v/>
      </c>
      <c r="K13" s="61" t="n">
        <v>0</v>
      </c>
      <c r="L13" s="61">
        <f>K13*(1+BDI!$M$4)</f>
        <v/>
      </c>
      <c r="M13" s="61">
        <f>E13+G13+I13+K13</f>
        <v/>
      </c>
      <c r="N13" s="61">
        <f>F13+H13+J13+L13</f>
        <v/>
      </c>
      <c r="O13" s="59" t="inlineStr">
        <is>
          <t>C</t>
        </is>
      </c>
    </row>
    <row r="14"/>
    <row r="15">
      <c r="A15" s="57" t="inlineStr">
        <is>
          <t>TOTAL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:O1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6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>
      <c r="A1" s="1" t="inlineStr">
        <is>
          <t>CRONOGRAMA SEMANAL — ACOMPANHAMENTO FÍSICO DE PRODUÇÃO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Métrica</t>
        </is>
      </c>
      <c r="F2" s="4" t="inlineStr">
        <is>
          <t>01/Jun</t>
        </is>
      </c>
      <c r="G2" s="4" t="inlineStr">
        <is>
          <t>08/Jun</t>
        </is>
      </c>
      <c r="H2" s="4" t="inlineStr">
        <is>
          <t>15/Jun</t>
        </is>
      </c>
      <c r="I2" s="4" t="inlineStr">
        <is>
          <t>22/Jun</t>
        </is>
      </c>
      <c r="J2" s="4" t="inlineStr">
        <is>
          <t>29/Jun</t>
        </is>
      </c>
      <c r="K2" s="4" t="inlineStr">
        <is>
          <t>06/Jul</t>
        </is>
      </c>
      <c r="L2" s="4" t="inlineStr">
        <is>
          <t>13/Jul</t>
        </is>
      </c>
      <c r="M2" s="4" t="inlineStr">
        <is>
          <t>20/Jul</t>
        </is>
      </c>
      <c r="N2" s="4" t="inlineStr">
        <is>
          <t>27/Jul</t>
        </is>
      </c>
      <c r="O2" s="4" t="inlineStr">
        <is>
          <t>03/Ago</t>
        </is>
      </c>
      <c r="P2" s="4" t="inlineStr">
        <is>
          <t>10/Ago</t>
        </is>
      </c>
      <c r="Q2" s="4" t="inlineStr">
        <is>
          <t>17/Ago</t>
        </is>
      </c>
      <c r="R2" s="4" t="inlineStr">
        <is>
          <t>24/Ago</t>
        </is>
      </c>
      <c r="S2" s="4" t="inlineStr">
        <is>
          <t>31/Ago</t>
        </is>
      </c>
      <c r="T2" s="4" t="inlineStr">
        <is>
          <t>07/Set</t>
        </is>
      </c>
      <c r="U2" s="4" t="inlineStr">
        <is>
          <t>14/Set</t>
        </is>
      </c>
      <c r="V2" s="4" t="inlineStr">
        <is>
          <t>21/Set</t>
        </is>
      </c>
      <c r="W2" s="4" t="inlineStr">
        <is>
          <t>28/Set</t>
        </is>
      </c>
      <c r="X2" s="4" t="inlineStr">
        <is>
          <t>05/Out</t>
        </is>
      </c>
      <c r="Y2" s="4" t="inlineStr">
        <is>
          <t>12/Out</t>
        </is>
      </c>
      <c r="Z2" s="4" t="inlineStr">
        <is>
          <t>19/Out</t>
        </is>
      </c>
      <c r="AA2" s="4" t="inlineStr">
        <is>
          <t>26/Out</t>
        </is>
      </c>
      <c r="AB2" s="4" t="inlineStr">
        <is>
          <t>02/Nov</t>
        </is>
      </c>
      <c r="AC2" s="4" t="inlineStr">
        <is>
          <t>09/Nov</t>
        </is>
      </c>
      <c r="AD2" s="4" t="inlineStr">
        <is>
          <t>16/Nov</t>
        </is>
      </c>
      <c r="AE2" s="4" t="inlineStr">
        <is>
          <t>23/Nov</t>
        </is>
      </c>
      <c r="AF2" s="4" t="inlineStr">
        <is>
          <t>30/Nov</t>
        </is>
      </c>
      <c r="AG2" s="4" t="inlineStr">
        <is>
          <t>07/Dez</t>
        </is>
      </c>
      <c r="AH2" s="4" t="inlineStr">
        <is>
          <t>14/Dez</t>
        </is>
      </c>
      <c r="AI2" s="4" t="inlineStr">
        <is>
          <t>21/Dez</t>
        </is>
      </c>
      <c r="AJ2" s="4" t="inlineStr">
        <is>
          <t>28/Dez</t>
        </is>
      </c>
      <c r="AK2" s="4" t="inlineStr">
        <is>
          <t>04/Jan</t>
        </is>
      </c>
      <c r="AL2" s="4" t="inlineStr">
        <is>
          <t>11/Jan</t>
        </is>
      </c>
      <c r="AM2" s="4" t="inlineStr">
        <is>
          <t>18/Jan</t>
        </is>
      </c>
      <c r="AN2" s="4" t="inlineStr">
        <is>
          <t>25/Jan</t>
        </is>
      </c>
      <c r="AO2" s="4" t="inlineStr">
        <is>
          <t>01/Fev</t>
        </is>
      </c>
      <c r="AP2" s="4" t="inlineStr">
        <is>
          <t>08/Fev</t>
        </is>
      </c>
      <c r="AQ2" s="4" t="inlineStr">
        <is>
          <t>15/Fev</t>
        </is>
      </c>
      <c r="AR2" s="4" t="inlineStr">
        <is>
          <t>22/Fev</t>
        </is>
      </c>
      <c r="AS2" s="4" t="inlineStr">
        <is>
          <t>01/Mar</t>
        </is>
      </c>
      <c r="AT2" s="4" t="inlineStr">
        <is>
          <t>08/Mar</t>
        </is>
      </c>
      <c r="AU2" s="4" t="inlineStr">
        <is>
          <t>15/Mar</t>
        </is>
      </c>
      <c r="AV2" s="4" t="inlineStr">
        <is>
          <t>22/Mar</t>
        </is>
      </c>
      <c r="AW2" s="4" t="inlineStr">
        <is>
          <t>29/Mar</t>
        </is>
      </c>
      <c r="AX2" s="4" t="inlineStr">
        <is>
          <t>05/Abr</t>
        </is>
      </c>
      <c r="AY2" s="4" t="inlineStr">
        <is>
          <t>12/Abr</t>
        </is>
      </c>
      <c r="AZ2" s="4" t="inlineStr">
        <is>
          <t>19/Abr</t>
        </is>
      </c>
      <c r="BA2" s="4" t="inlineStr">
        <is>
          <t>26/Abr</t>
        </is>
      </c>
      <c r="BB2" s="4" t="inlineStr">
        <is>
          <t>03/Mai</t>
        </is>
      </c>
      <c r="BC2" s="4" t="inlineStr">
        <is>
          <t>10/Mai</t>
        </is>
      </c>
      <c r="BD2" s="4" t="inlineStr">
        <is>
          <t>17/Mai</t>
        </is>
      </c>
      <c r="BE2" s="4" t="inlineStr">
        <is>
          <t>24/Mai</t>
        </is>
      </c>
      <c r="BF2" s="4" t="inlineStr">
        <is>
          <t>31/Mai</t>
        </is>
      </c>
      <c r="BG2" s="4" t="inlineStr">
        <is>
          <t>07/Jun</t>
        </is>
      </c>
      <c r="BH2" s="4" t="inlineStr">
        <is>
          <t>14/Jun</t>
        </is>
      </c>
    </row>
    <row r="3">
      <c r="A3" s="81" t="n"/>
      <c r="B3" s="81" t="n"/>
      <c r="C3" s="81" t="n"/>
      <c r="D3" s="81" t="n"/>
      <c r="E3" s="82" t="inlineStr">
        <is>
          <t>Praticabilidade</t>
        </is>
      </c>
      <c r="F3" s="83" t="n">
        <v>1</v>
      </c>
      <c r="G3" s="83" t="n">
        <v>1</v>
      </c>
      <c r="H3" s="83" t="n">
        <v>1</v>
      </c>
      <c r="I3" s="83" t="n">
        <v>1</v>
      </c>
      <c r="J3" s="83" t="n">
        <v>1</v>
      </c>
      <c r="K3" s="83" t="n">
        <v>1</v>
      </c>
      <c r="L3" s="83" t="n">
        <v>1</v>
      </c>
      <c r="M3" s="83" t="n">
        <v>1</v>
      </c>
      <c r="N3" s="83" t="n">
        <v>1</v>
      </c>
      <c r="O3" s="83" t="n">
        <v>1</v>
      </c>
      <c r="P3" s="83" t="n">
        <v>1</v>
      </c>
      <c r="Q3" s="83" t="n">
        <v>1</v>
      </c>
      <c r="R3" s="83" t="n">
        <v>1</v>
      </c>
      <c r="S3" s="83" t="n">
        <v>1</v>
      </c>
      <c r="T3" s="83" t="n">
        <v>1</v>
      </c>
      <c r="U3" s="83" t="n">
        <v>1</v>
      </c>
      <c r="V3" s="83" t="n">
        <v>1</v>
      </c>
      <c r="W3" s="83" t="n">
        <v>1</v>
      </c>
      <c r="X3" s="83" t="n">
        <v>1</v>
      </c>
      <c r="Y3" s="83" t="n">
        <v>1</v>
      </c>
      <c r="Z3" s="83" t="n">
        <v>1</v>
      </c>
      <c r="AA3" s="83" t="n">
        <v>1</v>
      </c>
      <c r="AB3" s="83" t="n">
        <v>1</v>
      </c>
      <c r="AC3" s="83" t="n">
        <v>1</v>
      </c>
      <c r="AD3" s="83" t="n">
        <v>1</v>
      </c>
      <c r="AE3" s="83" t="n">
        <v>1</v>
      </c>
      <c r="AF3" s="83" t="n">
        <v>1</v>
      </c>
      <c r="AG3" s="83" t="n">
        <v>1</v>
      </c>
      <c r="AH3" s="83" t="n">
        <v>1</v>
      </c>
      <c r="AI3" s="83" t="n">
        <v>1</v>
      </c>
      <c r="AJ3" s="83" t="n">
        <v>1</v>
      </c>
      <c r="AK3" s="83" t="n">
        <v>1</v>
      </c>
      <c r="AL3" s="83" t="n">
        <v>1</v>
      </c>
      <c r="AM3" s="83" t="n">
        <v>1</v>
      </c>
      <c r="AN3" s="83" t="n">
        <v>1</v>
      </c>
      <c r="AO3" s="83" t="n">
        <v>1</v>
      </c>
      <c r="AP3" s="83" t="n">
        <v>1</v>
      </c>
      <c r="AQ3" s="83" t="n">
        <v>1</v>
      </c>
      <c r="AR3" s="83" t="n">
        <v>1</v>
      </c>
      <c r="AS3" s="83" t="n">
        <v>1</v>
      </c>
      <c r="AT3" s="83" t="n">
        <v>1</v>
      </c>
      <c r="AU3" s="83" t="n">
        <v>1</v>
      </c>
      <c r="AV3" s="83" t="n">
        <v>1</v>
      </c>
      <c r="AW3" s="83" t="n">
        <v>1</v>
      </c>
      <c r="AX3" s="83" t="n">
        <v>1</v>
      </c>
      <c r="AY3" s="83" t="n">
        <v>1</v>
      </c>
      <c r="AZ3" s="83" t="n">
        <v>1</v>
      </c>
      <c r="BA3" s="83" t="n">
        <v>1</v>
      </c>
      <c r="BB3" s="83" t="n">
        <v>1</v>
      </c>
      <c r="BC3" s="83" t="n">
        <v>1</v>
      </c>
      <c r="BD3" s="83" t="n">
        <v>1</v>
      </c>
      <c r="BE3" s="83" t="n">
        <v>1</v>
      </c>
      <c r="BF3" s="83" t="n">
        <v>1</v>
      </c>
      <c r="BG3" s="83" t="n">
        <v>1</v>
      </c>
      <c r="BH3" s="83" t="n">
        <v>1</v>
      </c>
    </row>
    <row r="4">
      <c r="A4" s="48" t="inlineStr">
        <is>
          <t>eap-1_0</t>
        </is>
      </c>
      <c r="B4" s="48" t="inlineStr">
        <is>
          <t>Desmatamento e limpeza de area vegetada</t>
        </is>
      </c>
      <c r="C4" s="84" t="inlineStr">
        <is>
          <t>m2</t>
        </is>
      </c>
      <c r="D4" s="85" t="n">
        <v>2400000</v>
      </c>
      <c r="E4" s="86" t="inlineStr">
        <is>
          <t>Dias Trabalhados</t>
        </is>
      </c>
      <c r="F4" s="87" t="n">
        <v>6</v>
      </c>
      <c r="G4" s="87" t="n">
        <v>6</v>
      </c>
      <c r="H4" s="87" t="n">
        <v>6</v>
      </c>
      <c r="I4" s="87" t="n">
        <v>6</v>
      </c>
      <c r="J4" s="87" t="n">
        <v>6</v>
      </c>
      <c r="K4" s="87" t="n">
        <v>6</v>
      </c>
      <c r="L4" s="87" t="n">
        <v>6</v>
      </c>
      <c r="M4" s="87" t="n">
        <v>6</v>
      </c>
      <c r="N4" s="87" t="n">
        <v>6</v>
      </c>
      <c r="O4" s="87" t="n">
        <v>6</v>
      </c>
      <c r="P4" s="87" t="n">
        <v>6</v>
      </c>
      <c r="Q4" s="87" t="n">
        <v>6</v>
      </c>
      <c r="R4" s="87" t="n">
        <v>6</v>
      </c>
      <c r="S4" s="87" t="n">
        <v>6</v>
      </c>
      <c r="T4" s="87" t="n">
        <v>6</v>
      </c>
      <c r="U4" s="87" t="n">
        <v>6</v>
      </c>
      <c r="V4" s="87" t="n">
        <v>6</v>
      </c>
      <c r="W4" s="87" t="n">
        <v>6</v>
      </c>
      <c r="X4" s="87" t="n">
        <v>6</v>
      </c>
      <c r="Y4" s="87" t="n">
        <v>6</v>
      </c>
      <c r="Z4" s="87" t="n">
        <v>6</v>
      </c>
      <c r="AA4" s="87" t="n">
        <v>6</v>
      </c>
      <c r="AB4" s="87" t="n">
        <v>6</v>
      </c>
      <c r="AC4" s="87" t="n">
        <v>6</v>
      </c>
      <c r="AD4" s="87" t="n">
        <v>6</v>
      </c>
      <c r="AE4" s="87" t="n">
        <v>6</v>
      </c>
      <c r="AF4" s="87" t="n">
        <v>6</v>
      </c>
      <c r="AG4" s="87" t="n">
        <v>6</v>
      </c>
      <c r="AH4" s="87" t="n">
        <v>6</v>
      </c>
      <c r="AI4" s="87" t="n">
        <v>6</v>
      </c>
      <c r="AJ4" s="87" t="n">
        <v>6</v>
      </c>
      <c r="AK4" s="87" t="n">
        <v>6</v>
      </c>
      <c r="AL4" s="87" t="n">
        <v>6</v>
      </c>
      <c r="AM4" s="87" t="n">
        <v>6</v>
      </c>
      <c r="AN4" s="88" t="n"/>
      <c r="AO4" s="88" t="n"/>
      <c r="AP4" s="88" t="n"/>
      <c r="AQ4" s="88" t="n"/>
      <c r="AR4" s="88" t="n"/>
      <c r="AS4" s="88" t="n"/>
      <c r="AT4" s="88" t="n"/>
      <c r="AU4" s="88" t="n"/>
      <c r="AV4" s="88" t="n"/>
      <c r="AW4" s="88" t="n"/>
      <c r="AX4" s="88" t="n"/>
      <c r="AY4" s="88" t="n"/>
      <c r="AZ4" s="88" t="n"/>
      <c r="BA4" s="88" t="n"/>
      <c r="BB4" s="88" t="n"/>
      <c r="BC4" s="88" t="n"/>
      <c r="BD4" s="88" t="n"/>
      <c r="BE4" s="88" t="n"/>
      <c r="BF4" s="88" t="n"/>
      <c r="BG4" s="88" t="n"/>
      <c r="BH4" s="88" t="n"/>
    </row>
    <row r="5">
      <c r="A5" s="43" t="n"/>
      <c r="B5" s="43" t="n"/>
      <c r="C5" s="46" t="n"/>
      <c r="D5" s="44" t="n"/>
      <c r="E5" s="89" t="inlineStr">
        <is>
          <t>Nº De Equipes</t>
        </is>
      </c>
      <c r="F5" s="90" t="n">
        <v>2</v>
      </c>
      <c r="G5" s="90" t="n">
        <v>2</v>
      </c>
      <c r="H5" s="90" t="n">
        <v>2</v>
      </c>
      <c r="I5" s="90" t="n">
        <v>2</v>
      </c>
      <c r="J5" s="90" t="n">
        <v>2</v>
      </c>
      <c r="K5" s="90" t="n">
        <v>2</v>
      </c>
      <c r="L5" s="90" t="n">
        <v>2</v>
      </c>
      <c r="M5" s="90" t="n">
        <v>2</v>
      </c>
      <c r="N5" s="90" t="n">
        <v>2</v>
      </c>
      <c r="O5" s="90" t="n">
        <v>2</v>
      </c>
      <c r="P5" s="90" t="n">
        <v>2</v>
      </c>
      <c r="Q5" s="90" t="n">
        <v>2</v>
      </c>
      <c r="R5" s="90" t="n">
        <v>2</v>
      </c>
      <c r="S5" s="90" t="n">
        <v>2</v>
      </c>
      <c r="T5" s="90" t="n">
        <v>2</v>
      </c>
      <c r="U5" s="90" t="n">
        <v>2</v>
      </c>
      <c r="V5" s="90" t="n">
        <v>2</v>
      </c>
      <c r="W5" s="90" t="n">
        <v>2</v>
      </c>
      <c r="X5" s="90" t="n">
        <v>2</v>
      </c>
      <c r="Y5" s="90" t="n">
        <v>2</v>
      </c>
      <c r="Z5" s="90" t="n">
        <v>2</v>
      </c>
      <c r="AA5" s="90" t="n">
        <v>2</v>
      </c>
      <c r="AB5" s="90" t="n">
        <v>2</v>
      </c>
      <c r="AC5" s="90" t="n">
        <v>2</v>
      </c>
      <c r="AD5" s="90" t="n">
        <v>2</v>
      </c>
      <c r="AE5" s="90" t="n">
        <v>2</v>
      </c>
      <c r="AF5" s="90" t="n">
        <v>2</v>
      </c>
      <c r="AG5" s="90" t="n">
        <v>2</v>
      </c>
      <c r="AH5" s="90" t="n">
        <v>2</v>
      </c>
      <c r="AI5" s="90" t="n">
        <v>2</v>
      </c>
      <c r="AJ5" s="90" t="n">
        <v>2</v>
      </c>
      <c r="AK5" s="90" t="n">
        <v>2</v>
      </c>
      <c r="AL5" s="90" t="n">
        <v>2</v>
      </c>
      <c r="AM5" s="90" t="n">
        <v>2</v>
      </c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</row>
    <row r="6">
      <c r="A6" s="43" t="n"/>
      <c r="B6" s="43" t="n"/>
      <c r="C6" s="46" t="n"/>
      <c r="D6" s="44" t="n"/>
      <c r="E6" s="89" t="inlineStr">
        <is>
          <t>Qtd. Planejada</t>
        </is>
      </c>
      <c r="F6" s="61" t="n">
        <v>70848</v>
      </c>
      <c r="G6" s="61" t="n">
        <v>70848</v>
      </c>
      <c r="H6" s="61" t="n">
        <v>70848</v>
      </c>
      <c r="I6" s="61" t="n">
        <v>70848</v>
      </c>
      <c r="J6" s="61" t="n">
        <v>70848</v>
      </c>
      <c r="K6" s="61" t="n">
        <v>70848</v>
      </c>
      <c r="L6" s="61" t="n">
        <v>70848</v>
      </c>
      <c r="M6" s="61" t="n">
        <v>70848</v>
      </c>
      <c r="N6" s="61" t="n">
        <v>70848</v>
      </c>
      <c r="O6" s="61" t="n">
        <v>70848</v>
      </c>
      <c r="P6" s="61" t="n">
        <v>70848</v>
      </c>
      <c r="Q6" s="61" t="n">
        <v>70848</v>
      </c>
      <c r="R6" s="61" t="n">
        <v>70848</v>
      </c>
      <c r="S6" s="61" t="n">
        <v>70848</v>
      </c>
      <c r="T6" s="61" t="n">
        <v>70848</v>
      </c>
      <c r="U6" s="61" t="n">
        <v>70848</v>
      </c>
      <c r="V6" s="61" t="n">
        <v>70848</v>
      </c>
      <c r="W6" s="61" t="n">
        <v>70848</v>
      </c>
      <c r="X6" s="61" t="n">
        <v>66122.44</v>
      </c>
      <c r="Y6" s="61" t="n">
        <v>66122.44</v>
      </c>
      <c r="Z6" s="61" t="n">
        <v>66122.44</v>
      </c>
      <c r="AA6" s="61" t="n">
        <v>66122.44</v>
      </c>
      <c r="AB6" s="61" t="n">
        <v>66278.3</v>
      </c>
      <c r="AC6" s="61" t="n">
        <v>66278.3</v>
      </c>
      <c r="AD6" s="61" t="n">
        <v>66278.3</v>
      </c>
      <c r="AE6" s="61" t="n">
        <v>66278.3</v>
      </c>
      <c r="AF6" s="61" t="n">
        <v>66278.3</v>
      </c>
      <c r="AG6" s="61" t="n">
        <v>66278.3</v>
      </c>
      <c r="AH6" s="61" t="n">
        <v>66278.3</v>
      </c>
      <c r="AI6" s="61" t="n">
        <v>66278.3</v>
      </c>
      <c r="AJ6" s="61" t="n">
        <v>66278.3</v>
      </c>
      <c r="AK6" s="61" t="n">
        <v>59420.22</v>
      </c>
      <c r="AL6" s="61" t="n">
        <v>59420.22</v>
      </c>
      <c r="AM6" s="61" t="n">
        <v>59420.22</v>
      </c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</row>
    <row r="7">
      <c r="A7" s="43" t="n"/>
      <c r="B7" s="43" t="n"/>
      <c r="C7" s="46" t="n"/>
      <c r="D7" s="44" t="n"/>
      <c r="E7" s="89" t="inlineStr">
        <is>
          <t>Qtd Plan. Acumulada</t>
        </is>
      </c>
      <c r="F7" s="61" t="n">
        <v>70848</v>
      </c>
      <c r="G7" s="61" t="n">
        <v>141696</v>
      </c>
      <c r="H7" s="61" t="n">
        <v>212544</v>
      </c>
      <c r="I7" s="61" t="n">
        <v>283392</v>
      </c>
      <c r="J7" s="61" t="n">
        <v>354240</v>
      </c>
      <c r="K7" s="61" t="n">
        <v>425088</v>
      </c>
      <c r="L7" s="61" t="n">
        <v>495936</v>
      </c>
      <c r="M7" s="61" t="n">
        <v>566784</v>
      </c>
      <c r="N7" s="61" t="n">
        <v>637632</v>
      </c>
      <c r="O7" s="61" t="n">
        <v>708480</v>
      </c>
      <c r="P7" s="61" t="n">
        <v>779328</v>
      </c>
      <c r="Q7" s="61" t="n">
        <v>850176</v>
      </c>
      <c r="R7" s="61" t="n">
        <v>921024</v>
      </c>
      <c r="S7" s="61" t="n">
        <v>991872</v>
      </c>
      <c r="T7" s="61" t="n">
        <v>1062720</v>
      </c>
      <c r="U7" s="61" t="n">
        <v>1133568</v>
      </c>
      <c r="V7" s="61" t="n">
        <v>1204416</v>
      </c>
      <c r="W7" s="61" t="n">
        <v>1275264</v>
      </c>
      <c r="X7" s="61" t="n">
        <v>1341386.44</v>
      </c>
      <c r="Y7" s="61" t="n">
        <v>1407508.88</v>
      </c>
      <c r="Z7" s="61" t="n">
        <v>1473631.32</v>
      </c>
      <c r="AA7" s="61" t="n">
        <v>1539753.76</v>
      </c>
      <c r="AB7" s="61" t="n">
        <v>1606032.06</v>
      </c>
      <c r="AC7" s="61" t="n">
        <v>1672310.36</v>
      </c>
      <c r="AD7" s="61" t="n">
        <v>1738588.66</v>
      </c>
      <c r="AE7" s="61" t="n">
        <v>1804866.96</v>
      </c>
      <c r="AF7" s="61" t="n">
        <v>1871145.26</v>
      </c>
      <c r="AG7" s="61" t="n">
        <v>1937423.56</v>
      </c>
      <c r="AH7" s="61" t="n">
        <v>2003701.86</v>
      </c>
      <c r="AI7" s="61" t="n">
        <v>2069980.16</v>
      </c>
      <c r="AJ7" s="61" t="n">
        <v>2136258.46</v>
      </c>
      <c r="AK7" s="61" t="n">
        <v>2195678.68</v>
      </c>
      <c r="AL7" s="61" t="n">
        <v>2255098.9</v>
      </c>
      <c r="AM7" s="61" t="n">
        <v>2314519.12</v>
      </c>
      <c r="AN7" s="61" t="n">
        <v>2314519.12</v>
      </c>
      <c r="AO7" s="61" t="n">
        <v>2314519.12</v>
      </c>
      <c r="AP7" s="61" t="n">
        <v>2314519.12</v>
      </c>
      <c r="AQ7" s="61" t="n">
        <v>2314519.12</v>
      </c>
      <c r="AR7" s="61" t="n">
        <v>2314519.12</v>
      </c>
      <c r="AS7" s="61" t="n">
        <v>2314519.12</v>
      </c>
      <c r="AT7" s="61" t="n">
        <v>2314519.12</v>
      </c>
      <c r="AU7" s="61" t="n">
        <v>2314519.12</v>
      </c>
      <c r="AV7" s="61" t="n">
        <v>2314519.12</v>
      </c>
      <c r="AW7" s="61" t="n">
        <v>2314519.12</v>
      </c>
      <c r="AX7" s="61" t="n">
        <v>2314519.12</v>
      </c>
      <c r="AY7" s="61" t="n">
        <v>2314519.12</v>
      </c>
      <c r="AZ7" s="61" t="n">
        <v>2314519.12</v>
      </c>
      <c r="BA7" s="61" t="n">
        <v>2314519.12</v>
      </c>
      <c r="BB7" s="61" t="n">
        <v>2314519.12</v>
      </c>
      <c r="BC7" s="61" t="n">
        <v>2314519.12</v>
      </c>
      <c r="BD7" s="61" t="n">
        <v>2314519.12</v>
      </c>
      <c r="BE7" s="61" t="n">
        <v>2314519.12</v>
      </c>
      <c r="BF7" s="61" t="n">
        <v>2314519.12</v>
      </c>
      <c r="BG7" s="61" t="n">
        <v>2314519.12</v>
      </c>
      <c r="BH7" s="61" t="n">
        <v>2314519.12</v>
      </c>
    </row>
    <row r="8">
      <c r="A8" s="43" t="n"/>
      <c r="B8" s="43" t="n"/>
      <c r="C8" s="46" t="n"/>
      <c r="D8" s="44" t="n"/>
      <c r="E8" s="89" t="inlineStr">
        <is>
          <t>% Semanal</t>
        </is>
      </c>
      <c r="F8" s="91" t="n">
        <v>0.0306</v>
      </c>
      <c r="G8" s="91" t="n">
        <v>0.0306</v>
      </c>
      <c r="H8" s="91" t="n">
        <v>0.0306</v>
      </c>
      <c r="I8" s="91" t="n">
        <v>0.0306</v>
      </c>
      <c r="J8" s="91" t="n">
        <v>0.0306</v>
      </c>
      <c r="K8" s="91" t="n">
        <v>0.0306</v>
      </c>
      <c r="L8" s="91" t="n">
        <v>0.0306</v>
      </c>
      <c r="M8" s="91" t="n">
        <v>0.0306</v>
      </c>
      <c r="N8" s="91" t="n">
        <v>0.0306</v>
      </c>
      <c r="O8" s="91" t="n">
        <v>0.0306</v>
      </c>
      <c r="P8" s="91" t="n">
        <v>0.0306</v>
      </c>
      <c r="Q8" s="91" t="n">
        <v>0.0306</v>
      </c>
      <c r="R8" s="91" t="n">
        <v>0.0306</v>
      </c>
      <c r="S8" s="91" t="n">
        <v>0.0306</v>
      </c>
      <c r="T8" s="91" t="n">
        <v>0.0306</v>
      </c>
      <c r="U8" s="91" t="n">
        <v>0.0306</v>
      </c>
      <c r="V8" s="91" t="n">
        <v>0.0306</v>
      </c>
      <c r="W8" s="91" t="n">
        <v>0.0306</v>
      </c>
      <c r="X8" s="91" t="n">
        <v>0.0286</v>
      </c>
      <c r="Y8" s="91" t="n">
        <v>0.0286</v>
      </c>
      <c r="Z8" s="91" t="n">
        <v>0.0286</v>
      </c>
      <c r="AA8" s="91" t="n">
        <v>0.0286</v>
      </c>
      <c r="AB8" s="91" t="n">
        <v>0.0286</v>
      </c>
      <c r="AC8" s="91" t="n">
        <v>0.0286</v>
      </c>
      <c r="AD8" s="91" t="n">
        <v>0.0286</v>
      </c>
      <c r="AE8" s="91" t="n">
        <v>0.0286</v>
      </c>
      <c r="AF8" s="91" t="n">
        <v>0.0286</v>
      </c>
      <c r="AG8" s="91" t="n">
        <v>0.0286</v>
      </c>
      <c r="AH8" s="91" t="n">
        <v>0.0286</v>
      </c>
      <c r="AI8" s="91" t="n">
        <v>0.0286</v>
      </c>
      <c r="AJ8" s="91" t="n">
        <v>0.0286</v>
      </c>
      <c r="AK8" s="91" t="n">
        <v>0.0257</v>
      </c>
      <c r="AL8" s="91" t="n">
        <v>0.0257</v>
      </c>
      <c r="AM8" s="91" t="n">
        <v>0.0257</v>
      </c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</row>
    <row r="9">
      <c r="A9" s="43" t="n"/>
      <c r="B9" s="43" t="n"/>
      <c r="C9" s="46" t="n"/>
      <c r="D9" s="44" t="n"/>
      <c r="E9" s="89" t="inlineStr">
        <is>
          <t>% Acumulado</t>
        </is>
      </c>
      <c r="F9" s="91" t="n">
        <v>0.0306</v>
      </c>
      <c r="G9" s="91" t="n">
        <v>0.0612</v>
      </c>
      <c r="H9" s="91" t="n">
        <v>0.09180000000000001</v>
      </c>
      <c r="I9" s="91" t="n">
        <v>0.1224</v>
      </c>
      <c r="J9" s="91" t="n">
        <v>0.1531</v>
      </c>
      <c r="K9" s="91" t="n">
        <v>0.1837</v>
      </c>
      <c r="L9" s="91" t="n">
        <v>0.2143</v>
      </c>
      <c r="M9" s="91" t="n">
        <v>0.2449</v>
      </c>
      <c r="N9" s="91" t="n">
        <v>0.2755</v>
      </c>
      <c r="O9" s="91" t="n">
        <v>0.3061</v>
      </c>
      <c r="P9" s="91" t="n">
        <v>0.3367</v>
      </c>
      <c r="Q9" s="91" t="n">
        <v>0.3673</v>
      </c>
      <c r="R9" s="91" t="n">
        <v>0.3979</v>
      </c>
      <c r="S9" s="91" t="n">
        <v>0.4285</v>
      </c>
      <c r="T9" s="91" t="n">
        <v>0.4592</v>
      </c>
      <c r="U9" s="91" t="n">
        <v>0.4898</v>
      </c>
      <c r="V9" s="91" t="n">
        <v>0.5204</v>
      </c>
      <c r="W9" s="91" t="n">
        <v>0.551</v>
      </c>
      <c r="X9" s="91" t="n">
        <v>0.5796</v>
      </c>
      <c r="Y9" s="91" t="n">
        <v>0.6081</v>
      </c>
      <c r="Z9" s="91" t="n">
        <v>0.6367</v>
      </c>
      <c r="AA9" s="91" t="n">
        <v>0.6653</v>
      </c>
      <c r="AB9" s="91" t="n">
        <v>0.6939</v>
      </c>
      <c r="AC9" s="91" t="n">
        <v>0.7225</v>
      </c>
      <c r="AD9" s="91" t="n">
        <v>0.7512</v>
      </c>
      <c r="AE9" s="91" t="n">
        <v>0.7798</v>
      </c>
      <c r="AF9" s="91" t="n">
        <v>0.8084</v>
      </c>
      <c r="AG9" s="91" t="n">
        <v>0.8371</v>
      </c>
      <c r="AH9" s="91" t="n">
        <v>0.8657</v>
      </c>
      <c r="AI9" s="91" t="n">
        <v>0.8943</v>
      </c>
      <c r="AJ9" s="91" t="n">
        <v>0.923</v>
      </c>
      <c r="AK9" s="91" t="n">
        <v>0.9487</v>
      </c>
      <c r="AL9" s="91" t="n">
        <v>0.9743000000000001</v>
      </c>
      <c r="AM9" s="91" t="n">
        <v>1</v>
      </c>
      <c r="AN9" s="91" t="n">
        <v>1</v>
      </c>
      <c r="AO9" s="91" t="n">
        <v>1</v>
      </c>
      <c r="AP9" s="91" t="n">
        <v>1</v>
      </c>
      <c r="AQ9" s="91" t="n">
        <v>1</v>
      </c>
      <c r="AR9" s="91" t="n">
        <v>1</v>
      </c>
      <c r="AS9" s="91" t="n">
        <v>1</v>
      </c>
      <c r="AT9" s="91" t="n">
        <v>1</v>
      </c>
      <c r="AU9" s="91" t="n">
        <v>1</v>
      </c>
      <c r="AV9" s="91" t="n">
        <v>1</v>
      </c>
      <c r="AW9" s="91" t="n">
        <v>1</v>
      </c>
      <c r="AX9" s="91" t="n">
        <v>1</v>
      </c>
      <c r="AY9" s="91" t="n">
        <v>1</v>
      </c>
      <c r="AZ9" s="91" t="n">
        <v>1</v>
      </c>
      <c r="BA9" s="91" t="n">
        <v>1</v>
      </c>
      <c r="BB9" s="91" t="n">
        <v>1</v>
      </c>
      <c r="BC9" s="91" t="n">
        <v>1</v>
      </c>
      <c r="BD9" s="91" t="n">
        <v>1</v>
      </c>
      <c r="BE9" s="91" t="n">
        <v>1</v>
      </c>
      <c r="BF9" s="91" t="n">
        <v>1</v>
      </c>
      <c r="BG9" s="91" t="n">
        <v>1</v>
      </c>
      <c r="BH9" s="91" t="n">
        <v>1</v>
      </c>
    </row>
    <row r="10">
      <c r="A10" s="92" t="inlineStr">
        <is>
          <t>eap-1_1</t>
        </is>
      </c>
      <c r="B10" s="92" t="inlineStr">
        <is>
          <t>Esc/carg/transp 1aCat DMT&lt;=2000m</t>
        </is>
      </c>
      <c r="C10" s="93" t="inlineStr">
        <is>
          <t>m3</t>
        </is>
      </c>
      <c r="D10" s="94" t="n">
        <v>107463.1053</v>
      </c>
      <c r="E10" s="95" t="inlineStr">
        <is>
          <t>Dias Trabalhados</t>
        </is>
      </c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7" t="n">
        <v>6</v>
      </c>
      <c r="S10" s="97" t="n">
        <v>6</v>
      </c>
      <c r="T10" s="97" t="n">
        <v>6</v>
      </c>
      <c r="U10" s="97" t="n">
        <v>6</v>
      </c>
      <c r="V10" s="97" t="n">
        <v>6</v>
      </c>
      <c r="W10" s="97" t="n">
        <v>6</v>
      </c>
      <c r="X10" s="97" t="n">
        <v>6</v>
      </c>
      <c r="Y10" s="97" t="n">
        <v>6</v>
      </c>
      <c r="Z10" s="97" t="n">
        <v>6</v>
      </c>
      <c r="AA10" s="97" t="n">
        <v>6</v>
      </c>
      <c r="AB10" s="96" t="n"/>
      <c r="AC10" s="96" t="n"/>
      <c r="AD10" s="96" t="n"/>
      <c r="AE10" s="96" t="n"/>
      <c r="AF10" s="96" t="n"/>
      <c r="AG10" s="96" t="n"/>
      <c r="AH10" s="96" t="n"/>
      <c r="AI10" s="96" t="n"/>
      <c r="AJ10" s="96" t="n"/>
      <c r="AK10" s="96" t="n"/>
      <c r="AL10" s="96" t="n"/>
      <c r="AM10" s="96" t="n"/>
      <c r="AN10" s="96" t="n"/>
      <c r="AO10" s="96" t="n"/>
      <c r="AP10" s="96" t="n"/>
      <c r="AQ10" s="96" t="n"/>
      <c r="AR10" s="96" t="n"/>
      <c r="AS10" s="96" t="n"/>
      <c r="AT10" s="96" t="n"/>
      <c r="AU10" s="96" t="n"/>
      <c r="AV10" s="96" t="n"/>
      <c r="AW10" s="96" t="n"/>
      <c r="AX10" s="96" t="n"/>
      <c r="AY10" s="96" t="n"/>
      <c r="AZ10" s="96" t="n"/>
      <c r="BA10" s="96" t="n"/>
      <c r="BB10" s="96" t="n"/>
      <c r="BC10" s="96" t="n"/>
      <c r="BD10" s="96" t="n"/>
      <c r="BE10" s="96" t="n"/>
      <c r="BF10" s="96" t="n"/>
      <c r="BG10" s="96" t="n"/>
      <c r="BH10" s="96" t="n"/>
    </row>
    <row r="11">
      <c r="A11" s="52" t="n"/>
      <c r="B11" s="52" t="n"/>
      <c r="C11" s="55" t="n"/>
      <c r="D11" s="53" t="n"/>
      <c r="E11" s="98" t="inlineStr">
        <is>
          <t>Nº De Equipes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99" t="n">
        <v>1</v>
      </c>
      <c r="S11" s="99" t="n">
        <v>1</v>
      </c>
      <c r="T11" s="99" t="n">
        <v>1</v>
      </c>
      <c r="U11" s="99" t="n">
        <v>1</v>
      </c>
      <c r="V11" s="99" t="n">
        <v>1</v>
      </c>
      <c r="W11" s="99" t="n">
        <v>1</v>
      </c>
      <c r="X11" s="99" t="n">
        <v>1</v>
      </c>
      <c r="Y11" s="99" t="n">
        <v>1</v>
      </c>
      <c r="Z11" s="99" t="n">
        <v>1</v>
      </c>
      <c r="AA11" s="99" t="n">
        <v>1</v>
      </c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</row>
    <row r="12">
      <c r="A12" s="52" t="n"/>
      <c r="B12" s="52" t="n"/>
      <c r="C12" s="55" t="n"/>
      <c r="D12" s="53" t="n"/>
      <c r="E12" s="98" t="inlineStr">
        <is>
          <t>Qtd. Planejada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64" t="n">
        <v>11129.76</v>
      </c>
      <c r="S12" s="64" t="n">
        <v>11129.76</v>
      </c>
      <c r="T12" s="64" t="n">
        <v>11129.76</v>
      </c>
      <c r="U12" s="64" t="n">
        <v>11129.76</v>
      </c>
      <c r="V12" s="64" t="n">
        <v>11129.76</v>
      </c>
      <c r="W12" s="64" t="n">
        <v>11129.76</v>
      </c>
      <c r="X12" s="64" t="n">
        <v>10387.41</v>
      </c>
      <c r="Y12" s="64" t="n">
        <v>10387.41</v>
      </c>
      <c r="Z12" s="64" t="n">
        <v>10387.41</v>
      </c>
      <c r="AA12" s="64" t="n">
        <v>9522.32</v>
      </c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</row>
    <row r="13">
      <c r="A13" s="52" t="n"/>
      <c r="B13" s="52" t="n"/>
      <c r="C13" s="55" t="n"/>
      <c r="D13" s="53" t="n"/>
      <c r="E13" s="98" t="inlineStr">
        <is>
          <t>Qtd Plan. Acumulada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64" t="n">
        <v>11129.76</v>
      </c>
      <c r="S13" s="64" t="n">
        <v>22259.52</v>
      </c>
      <c r="T13" s="64" t="n">
        <v>33389.28</v>
      </c>
      <c r="U13" s="64" t="n">
        <v>44519.04</v>
      </c>
      <c r="V13" s="64" t="n">
        <v>55648.8</v>
      </c>
      <c r="W13" s="64" t="n">
        <v>66778.56</v>
      </c>
      <c r="X13" s="64" t="n">
        <v>77165.97</v>
      </c>
      <c r="Y13" s="64" t="n">
        <v>87553.38</v>
      </c>
      <c r="Z13" s="64" t="n">
        <v>97940.78999999999</v>
      </c>
      <c r="AA13" s="64" t="n">
        <v>107463.11</v>
      </c>
      <c r="AB13" s="64" t="n">
        <v>107463.11</v>
      </c>
      <c r="AC13" s="64" t="n">
        <v>107463.11</v>
      </c>
      <c r="AD13" s="64" t="n">
        <v>107463.11</v>
      </c>
      <c r="AE13" s="64" t="n">
        <v>107463.11</v>
      </c>
      <c r="AF13" s="64" t="n">
        <v>107463.11</v>
      </c>
      <c r="AG13" s="64" t="n">
        <v>107463.11</v>
      </c>
      <c r="AH13" s="64" t="n">
        <v>107463.11</v>
      </c>
      <c r="AI13" s="64" t="n">
        <v>107463.11</v>
      </c>
      <c r="AJ13" s="64" t="n">
        <v>107463.11</v>
      </c>
      <c r="AK13" s="64" t="n">
        <v>107463.11</v>
      </c>
      <c r="AL13" s="64" t="n">
        <v>107463.11</v>
      </c>
      <c r="AM13" s="64" t="n">
        <v>107463.11</v>
      </c>
      <c r="AN13" s="64" t="n">
        <v>107463.11</v>
      </c>
      <c r="AO13" s="64" t="n">
        <v>107463.11</v>
      </c>
      <c r="AP13" s="64" t="n">
        <v>107463.11</v>
      </c>
      <c r="AQ13" s="64" t="n">
        <v>107463.11</v>
      </c>
      <c r="AR13" s="64" t="n">
        <v>107463.11</v>
      </c>
      <c r="AS13" s="64" t="n">
        <v>107463.11</v>
      </c>
      <c r="AT13" s="64" t="n">
        <v>107463.11</v>
      </c>
      <c r="AU13" s="64" t="n">
        <v>107463.11</v>
      </c>
      <c r="AV13" s="64" t="n">
        <v>107463.11</v>
      </c>
      <c r="AW13" s="64" t="n">
        <v>107463.11</v>
      </c>
      <c r="AX13" s="64" t="n">
        <v>107463.11</v>
      </c>
      <c r="AY13" s="64" t="n">
        <v>107463.11</v>
      </c>
      <c r="AZ13" s="64" t="n">
        <v>107463.11</v>
      </c>
      <c r="BA13" s="64" t="n">
        <v>107463.11</v>
      </c>
      <c r="BB13" s="64" t="n">
        <v>107463.11</v>
      </c>
      <c r="BC13" s="64" t="n">
        <v>107463.11</v>
      </c>
      <c r="BD13" s="64" t="n">
        <v>107463.11</v>
      </c>
      <c r="BE13" s="64" t="n">
        <v>107463.11</v>
      </c>
      <c r="BF13" s="64" t="n">
        <v>107463.11</v>
      </c>
      <c r="BG13" s="64" t="n">
        <v>107463.11</v>
      </c>
      <c r="BH13" s="64" t="n">
        <v>107463.11</v>
      </c>
    </row>
    <row r="14">
      <c r="A14" s="52" t="n"/>
      <c r="B14" s="52" t="n"/>
      <c r="C14" s="55" t="n"/>
      <c r="D14" s="53" t="n"/>
      <c r="E14" s="98" t="inlineStr">
        <is>
          <t>% Semanal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100" t="n">
        <v>0.1036</v>
      </c>
      <c r="S14" s="100" t="n">
        <v>0.1036</v>
      </c>
      <c r="T14" s="100" t="n">
        <v>0.1036</v>
      </c>
      <c r="U14" s="100" t="n">
        <v>0.1036</v>
      </c>
      <c r="V14" s="100" t="n">
        <v>0.1036</v>
      </c>
      <c r="W14" s="100" t="n">
        <v>0.1036</v>
      </c>
      <c r="X14" s="100" t="n">
        <v>0.09669999999999999</v>
      </c>
      <c r="Y14" s="100" t="n">
        <v>0.09669999999999999</v>
      </c>
      <c r="Z14" s="100" t="n">
        <v>0.09669999999999999</v>
      </c>
      <c r="AA14" s="100" t="n">
        <v>0.0886</v>
      </c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</row>
    <row r="15">
      <c r="A15" s="52" t="n"/>
      <c r="B15" s="52" t="n"/>
      <c r="C15" s="55" t="n"/>
      <c r="D15" s="53" t="n"/>
      <c r="E15" s="98" t="inlineStr">
        <is>
          <t>% Acumulado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100" t="n">
        <v>0.1036</v>
      </c>
      <c r="S15" s="100" t="n">
        <v>0.2071</v>
      </c>
      <c r="T15" s="100" t="n">
        <v>0.3107</v>
      </c>
      <c r="U15" s="100" t="n">
        <v>0.4143</v>
      </c>
      <c r="V15" s="100" t="n">
        <v>0.5178</v>
      </c>
      <c r="W15" s="100" t="n">
        <v>0.6214</v>
      </c>
      <c r="X15" s="100" t="n">
        <v>0.7181</v>
      </c>
      <c r="Y15" s="100" t="n">
        <v>0.8147</v>
      </c>
      <c r="Z15" s="100" t="n">
        <v>0.9114</v>
      </c>
      <c r="AA15" s="100" t="n">
        <v>1</v>
      </c>
      <c r="AB15" s="100" t="n">
        <v>1</v>
      </c>
      <c r="AC15" s="100" t="n">
        <v>1</v>
      </c>
      <c r="AD15" s="100" t="n">
        <v>1</v>
      </c>
      <c r="AE15" s="100" t="n">
        <v>1</v>
      </c>
      <c r="AF15" s="100" t="n">
        <v>1</v>
      </c>
      <c r="AG15" s="100" t="n">
        <v>1</v>
      </c>
      <c r="AH15" s="100" t="n">
        <v>1</v>
      </c>
      <c r="AI15" s="100" t="n">
        <v>1</v>
      </c>
      <c r="AJ15" s="100" t="n">
        <v>1</v>
      </c>
      <c r="AK15" s="100" t="n">
        <v>1</v>
      </c>
      <c r="AL15" s="100" t="n">
        <v>1</v>
      </c>
      <c r="AM15" s="100" t="n">
        <v>1</v>
      </c>
      <c r="AN15" s="100" t="n">
        <v>1</v>
      </c>
      <c r="AO15" s="100" t="n">
        <v>1</v>
      </c>
      <c r="AP15" s="100" t="n">
        <v>1</v>
      </c>
      <c r="AQ15" s="100" t="n">
        <v>1</v>
      </c>
      <c r="AR15" s="100" t="n">
        <v>1</v>
      </c>
      <c r="AS15" s="100" t="n">
        <v>1</v>
      </c>
      <c r="AT15" s="100" t="n">
        <v>1</v>
      </c>
      <c r="AU15" s="100" t="n">
        <v>1</v>
      </c>
      <c r="AV15" s="100" t="n">
        <v>1</v>
      </c>
      <c r="AW15" s="100" t="n">
        <v>1</v>
      </c>
      <c r="AX15" s="100" t="n">
        <v>1</v>
      </c>
      <c r="AY15" s="100" t="n">
        <v>1</v>
      </c>
      <c r="AZ15" s="100" t="n">
        <v>1</v>
      </c>
      <c r="BA15" s="100" t="n">
        <v>1</v>
      </c>
      <c r="BB15" s="100" t="n">
        <v>1</v>
      </c>
      <c r="BC15" s="100" t="n">
        <v>1</v>
      </c>
      <c r="BD15" s="100" t="n">
        <v>1</v>
      </c>
      <c r="BE15" s="100" t="n">
        <v>1</v>
      </c>
      <c r="BF15" s="100" t="n">
        <v>1</v>
      </c>
      <c r="BG15" s="100" t="n">
        <v>1</v>
      </c>
      <c r="BH15" s="100" t="n">
        <v>1</v>
      </c>
    </row>
    <row r="16">
      <c r="A16" s="48" t="inlineStr">
        <is>
          <t>eap-1_2</t>
        </is>
      </c>
      <c r="B16" s="48" t="inlineStr">
        <is>
          <t>Esc/carg/transp 1aCat DMT&lt;=3000m</t>
        </is>
      </c>
      <c r="C16" s="84" t="inlineStr">
        <is>
          <t>m3</t>
        </is>
      </c>
      <c r="D16" s="85" t="n">
        <v>336915.0947</v>
      </c>
      <c r="E16" s="86" t="inlineStr">
        <is>
          <t>Dias Trabalhados</t>
        </is>
      </c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7" t="n">
        <v>6</v>
      </c>
      <c r="T16" s="87" t="n">
        <v>6</v>
      </c>
      <c r="U16" s="87" t="n">
        <v>6</v>
      </c>
      <c r="V16" s="87" t="n">
        <v>6</v>
      </c>
      <c r="W16" s="87" t="n">
        <v>6</v>
      </c>
      <c r="X16" s="87" t="n">
        <v>6</v>
      </c>
      <c r="Y16" s="87" t="n">
        <v>6</v>
      </c>
      <c r="Z16" s="87" t="n">
        <v>6</v>
      </c>
      <c r="AA16" s="87" t="n">
        <v>6</v>
      </c>
      <c r="AB16" s="87" t="n">
        <v>6</v>
      </c>
      <c r="AC16" s="87" t="n">
        <v>6</v>
      </c>
      <c r="AD16" s="87" t="n">
        <v>6</v>
      </c>
      <c r="AE16" s="87" t="n">
        <v>6</v>
      </c>
      <c r="AF16" s="87" t="n">
        <v>6</v>
      </c>
      <c r="AG16" s="87" t="n">
        <v>6</v>
      </c>
      <c r="AH16" s="87" t="n">
        <v>6</v>
      </c>
      <c r="AI16" s="87" t="n">
        <v>6</v>
      </c>
      <c r="AJ16" s="87" t="n">
        <v>6</v>
      </c>
      <c r="AK16" s="87" t="n">
        <v>6</v>
      </c>
      <c r="AL16" s="87" t="n">
        <v>6</v>
      </c>
      <c r="AM16" s="87" t="n">
        <v>6</v>
      </c>
      <c r="AN16" s="87" t="n">
        <v>6</v>
      </c>
      <c r="AO16" s="87" t="n">
        <v>6</v>
      </c>
      <c r="AP16" s="87" t="n">
        <v>6</v>
      </c>
      <c r="AQ16" s="87" t="n">
        <v>6</v>
      </c>
      <c r="AR16" s="87" t="n">
        <v>6</v>
      </c>
      <c r="AS16" s="87" t="n">
        <v>6</v>
      </c>
      <c r="AT16" s="87" t="n">
        <v>6</v>
      </c>
      <c r="AU16" s="87" t="n">
        <v>6</v>
      </c>
      <c r="AV16" s="87" t="n">
        <v>6</v>
      </c>
      <c r="AW16" s="87" t="n">
        <v>6</v>
      </c>
      <c r="AX16" s="88" t="n"/>
      <c r="AY16" s="88" t="n"/>
      <c r="AZ16" s="88" t="n"/>
      <c r="BA16" s="88" t="n"/>
      <c r="BB16" s="88" t="n"/>
      <c r="BC16" s="88" t="n"/>
      <c r="BD16" s="88" t="n"/>
      <c r="BE16" s="88" t="n"/>
      <c r="BF16" s="88" t="n"/>
      <c r="BG16" s="88" t="n"/>
      <c r="BH16" s="88" t="n"/>
    </row>
    <row r="17">
      <c r="A17" s="43" t="n"/>
      <c r="B17" s="43" t="n"/>
      <c r="C17" s="46" t="n"/>
      <c r="D17" s="44" t="n"/>
      <c r="E17" s="89" t="inlineStr">
        <is>
          <t>Nº De Equipes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90" t="n">
        <v>1</v>
      </c>
      <c r="T17" s="90" t="n">
        <v>1</v>
      </c>
      <c r="U17" s="90" t="n">
        <v>1</v>
      </c>
      <c r="V17" s="90" t="n">
        <v>1</v>
      </c>
      <c r="W17" s="90" t="n">
        <v>1</v>
      </c>
      <c r="X17" s="90" t="n">
        <v>1</v>
      </c>
      <c r="Y17" s="90" t="n">
        <v>1</v>
      </c>
      <c r="Z17" s="90" t="n">
        <v>1</v>
      </c>
      <c r="AA17" s="90" t="n">
        <v>1</v>
      </c>
      <c r="AB17" s="90" t="n">
        <v>1</v>
      </c>
      <c r="AC17" s="90" t="n">
        <v>1</v>
      </c>
      <c r="AD17" s="90" t="n">
        <v>1</v>
      </c>
      <c r="AE17" s="90" t="n">
        <v>1</v>
      </c>
      <c r="AF17" s="90" t="n">
        <v>1</v>
      </c>
      <c r="AG17" s="90" t="n">
        <v>1</v>
      </c>
      <c r="AH17" s="90" t="n">
        <v>1</v>
      </c>
      <c r="AI17" s="90" t="n">
        <v>1</v>
      </c>
      <c r="AJ17" s="90" t="n">
        <v>1</v>
      </c>
      <c r="AK17" s="90" t="n">
        <v>1</v>
      </c>
      <c r="AL17" s="90" t="n">
        <v>1</v>
      </c>
      <c r="AM17" s="90" t="n">
        <v>1</v>
      </c>
      <c r="AN17" s="90" t="n">
        <v>1</v>
      </c>
      <c r="AO17" s="90" t="n">
        <v>1</v>
      </c>
      <c r="AP17" s="90" t="n">
        <v>1</v>
      </c>
      <c r="AQ17" s="90" t="n">
        <v>1</v>
      </c>
      <c r="AR17" s="90" t="n">
        <v>1</v>
      </c>
      <c r="AS17" s="90" t="n">
        <v>1</v>
      </c>
      <c r="AT17" s="90" t="n">
        <v>1</v>
      </c>
      <c r="AU17" s="90" t="n">
        <v>1</v>
      </c>
      <c r="AV17" s="90" t="n">
        <v>1</v>
      </c>
      <c r="AW17" s="90" t="n">
        <v>1</v>
      </c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</row>
    <row r="18">
      <c r="A18" s="43" t="n"/>
      <c r="B18" s="43" t="n"/>
      <c r="C18" s="46" t="n"/>
      <c r="D18" s="44" t="n"/>
      <c r="E18" s="89" t="inlineStr">
        <is>
          <t>Qtd. Planejada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61" t="n">
        <v>11083.68</v>
      </c>
      <c r="T18" s="61" t="n">
        <v>11083.68</v>
      </c>
      <c r="U18" s="61" t="n">
        <v>11083.68</v>
      </c>
      <c r="V18" s="61" t="n">
        <v>11083.68</v>
      </c>
      <c r="W18" s="61" t="n">
        <v>11083.68</v>
      </c>
      <c r="X18" s="61" t="n">
        <v>10344.4</v>
      </c>
      <c r="Y18" s="61" t="n">
        <v>10344.4</v>
      </c>
      <c r="Z18" s="61" t="n">
        <v>10344.4</v>
      </c>
      <c r="AA18" s="61" t="n">
        <v>10344.4</v>
      </c>
      <c r="AB18" s="61" t="n">
        <v>10368.78</v>
      </c>
      <c r="AC18" s="61" t="n">
        <v>10368.78</v>
      </c>
      <c r="AD18" s="61" t="n">
        <v>10368.78</v>
      </c>
      <c r="AE18" s="61" t="n">
        <v>10368.78</v>
      </c>
      <c r="AF18" s="61" t="n">
        <v>10368.78</v>
      </c>
      <c r="AG18" s="61" t="n">
        <v>10368.78</v>
      </c>
      <c r="AH18" s="61" t="n">
        <v>10368.78</v>
      </c>
      <c r="AI18" s="61" t="n">
        <v>10368.78</v>
      </c>
      <c r="AJ18" s="61" t="n">
        <v>10368.78</v>
      </c>
      <c r="AK18" s="61" t="n">
        <v>9295.879999999999</v>
      </c>
      <c r="AL18" s="61" t="n">
        <v>9295.879999999999</v>
      </c>
      <c r="AM18" s="61" t="n">
        <v>9295.879999999999</v>
      </c>
      <c r="AN18" s="61" t="n">
        <v>9295.879999999999</v>
      </c>
      <c r="AO18" s="61" t="n">
        <v>8708.450000000001</v>
      </c>
      <c r="AP18" s="61" t="n">
        <v>8708.450000000001</v>
      </c>
      <c r="AQ18" s="61" t="n">
        <v>8708.450000000001</v>
      </c>
      <c r="AR18" s="61" t="n">
        <v>8708.450000000001</v>
      </c>
      <c r="AS18" s="61" t="n">
        <v>6793.19</v>
      </c>
      <c r="AT18" s="61" t="n">
        <v>6793.19</v>
      </c>
      <c r="AU18" s="61" t="n">
        <v>6793.19</v>
      </c>
      <c r="AV18" s="61" t="n">
        <v>6793.19</v>
      </c>
      <c r="AW18" s="61" t="n">
        <v>9975.309999999999</v>
      </c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</row>
    <row r="19">
      <c r="A19" s="43" t="n"/>
      <c r="B19" s="43" t="n"/>
      <c r="C19" s="46" t="n"/>
      <c r="D19" s="44" t="n"/>
      <c r="E19" s="89" t="inlineStr">
        <is>
          <t>Qtd Plan. Acumulada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61" t="n">
        <v>11083.68</v>
      </c>
      <c r="T19" s="61" t="n">
        <v>22167.36</v>
      </c>
      <c r="U19" s="61" t="n">
        <v>33251.04</v>
      </c>
      <c r="V19" s="61" t="n">
        <v>44334.72</v>
      </c>
      <c r="W19" s="61" t="n">
        <v>55418.4</v>
      </c>
      <c r="X19" s="61" t="n">
        <v>65762.8</v>
      </c>
      <c r="Y19" s="61" t="n">
        <v>76107.2</v>
      </c>
      <c r="Z19" s="61" t="n">
        <v>86451.60000000001</v>
      </c>
      <c r="AA19" s="61" t="n">
        <v>96796</v>
      </c>
      <c r="AB19" s="61" t="n">
        <v>107164.78</v>
      </c>
      <c r="AC19" s="61" t="n">
        <v>117533.56</v>
      </c>
      <c r="AD19" s="61" t="n">
        <v>127902.34</v>
      </c>
      <c r="AE19" s="61" t="n">
        <v>138271.12</v>
      </c>
      <c r="AF19" s="61" t="n">
        <v>148639.9</v>
      </c>
      <c r="AG19" s="61" t="n">
        <v>159008.68</v>
      </c>
      <c r="AH19" s="61" t="n">
        <v>169377.46</v>
      </c>
      <c r="AI19" s="61" t="n">
        <v>179746.24</v>
      </c>
      <c r="AJ19" s="61" t="n">
        <v>190115.02</v>
      </c>
      <c r="AK19" s="61" t="n">
        <v>199410.9</v>
      </c>
      <c r="AL19" s="61" t="n">
        <v>208706.78</v>
      </c>
      <c r="AM19" s="61" t="n">
        <v>218002.66</v>
      </c>
      <c r="AN19" s="61" t="n">
        <v>227298.54</v>
      </c>
      <c r="AO19" s="61" t="n">
        <v>236006.99</v>
      </c>
      <c r="AP19" s="61" t="n">
        <v>244715.44</v>
      </c>
      <c r="AQ19" s="61" t="n">
        <v>253423.89</v>
      </c>
      <c r="AR19" s="61" t="n">
        <v>262132.34</v>
      </c>
      <c r="AS19" s="61" t="n">
        <v>268925.53</v>
      </c>
      <c r="AT19" s="61" t="n">
        <v>275718.72</v>
      </c>
      <c r="AU19" s="61" t="n">
        <v>282511.91</v>
      </c>
      <c r="AV19" s="61" t="n">
        <v>289305.1</v>
      </c>
      <c r="AW19" s="61" t="n">
        <v>299280.41</v>
      </c>
      <c r="AX19" s="61" t="n">
        <v>299280.41</v>
      </c>
      <c r="AY19" s="61" t="n">
        <v>299280.41</v>
      </c>
      <c r="AZ19" s="61" t="n">
        <v>299280.41</v>
      </c>
      <c r="BA19" s="61" t="n">
        <v>299280.41</v>
      </c>
      <c r="BB19" s="61" t="n">
        <v>299280.41</v>
      </c>
      <c r="BC19" s="61" t="n">
        <v>299280.41</v>
      </c>
      <c r="BD19" s="61" t="n">
        <v>299280.41</v>
      </c>
      <c r="BE19" s="61" t="n">
        <v>299280.41</v>
      </c>
      <c r="BF19" s="61" t="n">
        <v>299280.41</v>
      </c>
      <c r="BG19" s="61" t="n">
        <v>299280.41</v>
      </c>
      <c r="BH19" s="61" t="n">
        <v>299280.41</v>
      </c>
    </row>
    <row r="20">
      <c r="A20" s="43" t="n"/>
      <c r="B20" s="43" t="n"/>
      <c r="C20" s="46" t="n"/>
      <c r="D20" s="44" t="n"/>
      <c r="E20" s="89" t="inlineStr">
        <is>
          <t>% Semanal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91" t="n">
        <v>0.037</v>
      </c>
      <c r="T20" s="91" t="n">
        <v>0.037</v>
      </c>
      <c r="U20" s="91" t="n">
        <v>0.037</v>
      </c>
      <c r="V20" s="91" t="n">
        <v>0.037</v>
      </c>
      <c r="W20" s="91" t="n">
        <v>0.037</v>
      </c>
      <c r="X20" s="91" t="n">
        <v>0.0346</v>
      </c>
      <c r="Y20" s="91" t="n">
        <v>0.0346</v>
      </c>
      <c r="Z20" s="91" t="n">
        <v>0.0346</v>
      </c>
      <c r="AA20" s="91" t="n">
        <v>0.0346</v>
      </c>
      <c r="AB20" s="91" t="n">
        <v>0.0346</v>
      </c>
      <c r="AC20" s="91" t="n">
        <v>0.0346</v>
      </c>
      <c r="AD20" s="91" t="n">
        <v>0.0346</v>
      </c>
      <c r="AE20" s="91" t="n">
        <v>0.0346</v>
      </c>
      <c r="AF20" s="91" t="n">
        <v>0.0346</v>
      </c>
      <c r="AG20" s="91" t="n">
        <v>0.0346</v>
      </c>
      <c r="AH20" s="91" t="n">
        <v>0.0346</v>
      </c>
      <c r="AI20" s="91" t="n">
        <v>0.0346</v>
      </c>
      <c r="AJ20" s="91" t="n">
        <v>0.0346</v>
      </c>
      <c r="AK20" s="91" t="n">
        <v>0.0311</v>
      </c>
      <c r="AL20" s="91" t="n">
        <v>0.0311</v>
      </c>
      <c r="AM20" s="91" t="n">
        <v>0.0311</v>
      </c>
      <c r="AN20" s="91" t="n">
        <v>0.0311</v>
      </c>
      <c r="AO20" s="91" t="n">
        <v>0.0291</v>
      </c>
      <c r="AP20" s="91" t="n">
        <v>0.0291</v>
      </c>
      <c r="AQ20" s="91" t="n">
        <v>0.0291</v>
      </c>
      <c r="AR20" s="91" t="n">
        <v>0.0291</v>
      </c>
      <c r="AS20" s="91" t="n">
        <v>0.0227</v>
      </c>
      <c r="AT20" s="91" t="n">
        <v>0.0227</v>
      </c>
      <c r="AU20" s="91" t="n">
        <v>0.0227</v>
      </c>
      <c r="AV20" s="91" t="n">
        <v>0.0227</v>
      </c>
      <c r="AW20" s="91" t="n">
        <v>0.0333</v>
      </c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</row>
    <row r="21">
      <c r="A21" s="43" t="n"/>
      <c r="B21" s="43" t="n"/>
      <c r="C21" s="46" t="n"/>
      <c r="D21" s="44" t="n"/>
      <c r="E21" s="89" t="inlineStr">
        <is>
          <t>% Acumulado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91" t="n">
        <v>0.037</v>
      </c>
      <c r="T21" s="91" t="n">
        <v>0.0741</v>
      </c>
      <c r="U21" s="91" t="n">
        <v>0.1111</v>
      </c>
      <c r="V21" s="91" t="n">
        <v>0.1481</v>
      </c>
      <c r="W21" s="91" t="n">
        <v>0.1852</v>
      </c>
      <c r="X21" s="91" t="n">
        <v>0.2197</v>
      </c>
      <c r="Y21" s="91" t="n">
        <v>0.2543</v>
      </c>
      <c r="Z21" s="91" t="n">
        <v>0.2889</v>
      </c>
      <c r="AA21" s="91" t="n">
        <v>0.3234</v>
      </c>
      <c r="AB21" s="91" t="n">
        <v>0.3581</v>
      </c>
      <c r="AC21" s="91" t="n">
        <v>0.3927</v>
      </c>
      <c r="AD21" s="91" t="n">
        <v>0.4274</v>
      </c>
      <c r="AE21" s="91" t="n">
        <v>0.462</v>
      </c>
      <c r="AF21" s="91" t="n">
        <v>0.4967</v>
      </c>
      <c r="AG21" s="91" t="n">
        <v>0.5313</v>
      </c>
      <c r="AH21" s="91" t="n">
        <v>0.5659</v>
      </c>
      <c r="AI21" s="91" t="n">
        <v>0.6006</v>
      </c>
      <c r="AJ21" s="91" t="n">
        <v>0.6352</v>
      </c>
      <c r="AK21" s="91" t="n">
        <v>0.6663</v>
      </c>
      <c r="AL21" s="91" t="n">
        <v>0.6974</v>
      </c>
      <c r="AM21" s="91" t="n">
        <v>0.7284</v>
      </c>
      <c r="AN21" s="91" t="n">
        <v>0.7595</v>
      </c>
      <c r="AO21" s="91" t="n">
        <v>0.7886</v>
      </c>
      <c r="AP21" s="91" t="n">
        <v>0.8177</v>
      </c>
      <c r="AQ21" s="91" t="n">
        <v>0.8468</v>
      </c>
      <c r="AR21" s="91" t="n">
        <v>0.8759</v>
      </c>
      <c r="AS21" s="91" t="n">
        <v>0.8986</v>
      </c>
      <c r="AT21" s="91" t="n">
        <v>0.9213</v>
      </c>
      <c r="AU21" s="91" t="n">
        <v>0.944</v>
      </c>
      <c r="AV21" s="91" t="n">
        <v>0.9667</v>
      </c>
      <c r="AW21" s="91" t="n">
        <v>1</v>
      </c>
      <c r="AX21" s="91" t="n">
        <v>1</v>
      </c>
      <c r="AY21" s="91" t="n">
        <v>1</v>
      </c>
      <c r="AZ21" s="91" t="n">
        <v>1</v>
      </c>
      <c r="BA21" s="91" t="n">
        <v>1</v>
      </c>
      <c r="BB21" s="91" t="n">
        <v>1</v>
      </c>
      <c r="BC21" s="91" t="n">
        <v>1</v>
      </c>
      <c r="BD21" s="91" t="n">
        <v>1</v>
      </c>
      <c r="BE21" s="91" t="n">
        <v>1</v>
      </c>
      <c r="BF21" s="91" t="n">
        <v>1</v>
      </c>
      <c r="BG21" s="91" t="n">
        <v>1</v>
      </c>
      <c r="BH21" s="91" t="n">
        <v>1</v>
      </c>
    </row>
    <row r="22">
      <c r="A22" s="92" t="inlineStr">
        <is>
          <t>eap-1_3</t>
        </is>
      </c>
      <c r="B22" s="92" t="inlineStr">
        <is>
          <t>Esc/carg/transp 2aCat DMT&lt;=2000m</t>
        </is>
      </c>
      <c r="C22" s="93" t="inlineStr">
        <is>
          <t>m3</t>
        </is>
      </c>
      <c r="D22" s="94" t="n">
        <v>105311.3323</v>
      </c>
      <c r="E22" s="95" t="inlineStr">
        <is>
          <t>Dias Trabalhados</t>
        </is>
      </c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6" t="n"/>
      <c r="AD22" s="96" t="n"/>
      <c r="AE22" s="96" t="n"/>
      <c r="AF22" s="96" t="n"/>
      <c r="AG22" s="96" t="n"/>
      <c r="AH22" s="96" t="n"/>
      <c r="AI22" s="96" t="n"/>
      <c r="AJ22" s="96" t="n"/>
      <c r="AK22" s="96" t="n"/>
      <c r="AL22" s="96" t="n"/>
      <c r="AM22" s="96" t="n"/>
      <c r="AN22" s="96" t="n"/>
      <c r="AO22" s="96" t="n"/>
      <c r="AP22" s="96" t="n"/>
      <c r="AQ22" s="96" t="n"/>
      <c r="AR22" s="96" t="n"/>
      <c r="AS22" s="96" t="n"/>
      <c r="AT22" s="96" t="n"/>
      <c r="AU22" s="97" t="n">
        <v>6</v>
      </c>
      <c r="AV22" s="97" t="n">
        <v>6</v>
      </c>
      <c r="AW22" s="97" t="n">
        <v>6</v>
      </c>
      <c r="AX22" s="97" t="n">
        <v>6</v>
      </c>
      <c r="AY22" s="97" t="n">
        <v>6</v>
      </c>
      <c r="AZ22" s="97" t="n">
        <v>6</v>
      </c>
      <c r="BA22" s="97" t="n">
        <v>6</v>
      </c>
      <c r="BB22" s="96" t="n"/>
      <c r="BC22" s="96" t="n"/>
      <c r="BD22" s="96" t="n"/>
      <c r="BE22" s="96" t="n"/>
      <c r="BF22" s="96" t="n"/>
      <c r="BG22" s="96" t="n"/>
      <c r="BH22" s="96" t="n"/>
    </row>
    <row r="23">
      <c r="A23" s="52" t="n"/>
      <c r="B23" s="52" t="n"/>
      <c r="C23" s="55" t="n"/>
      <c r="D23" s="53" t="n"/>
      <c r="E23" s="98" t="inlineStr">
        <is>
          <t>Nº De Equipes</t>
        </is>
      </c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99" t="n">
        <v>2</v>
      </c>
      <c r="AV23" s="99" t="n">
        <v>2</v>
      </c>
      <c r="AW23" s="99" t="n">
        <v>2</v>
      </c>
      <c r="AX23" s="99" t="n">
        <v>2</v>
      </c>
      <c r="AY23" s="99" t="n">
        <v>2</v>
      </c>
      <c r="AZ23" s="99" t="n">
        <v>2</v>
      </c>
      <c r="BA23" s="99" t="n">
        <v>2</v>
      </c>
      <c r="BB23" s="23" t="n"/>
      <c r="BC23" s="23" t="n"/>
      <c r="BD23" s="23" t="n"/>
      <c r="BE23" s="23" t="n"/>
      <c r="BF23" s="23" t="n"/>
      <c r="BG23" s="23" t="n"/>
      <c r="BH23" s="23" t="n"/>
    </row>
    <row r="24">
      <c r="A24" s="52" t="n"/>
      <c r="B24" s="52" t="n"/>
      <c r="C24" s="55" t="n"/>
      <c r="D24" s="53" t="n"/>
      <c r="E24" s="98" t="inlineStr">
        <is>
          <t>Qtd. Planejada</t>
        </is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64" t="n">
        <v>9312.940000000001</v>
      </c>
      <c r="AV24" s="64" t="n">
        <v>9312.940000000001</v>
      </c>
      <c r="AW24" s="64" t="n">
        <v>13675.39</v>
      </c>
      <c r="AX24" s="64" t="n">
        <v>13675.39</v>
      </c>
      <c r="AY24" s="64" t="n">
        <v>13675.39</v>
      </c>
      <c r="AZ24" s="64" t="n">
        <v>13675.39</v>
      </c>
      <c r="BA24" s="64" t="n">
        <v>13234.74</v>
      </c>
      <c r="BB24" s="23" t="n"/>
      <c r="BC24" s="23" t="n"/>
      <c r="BD24" s="23" t="n"/>
      <c r="BE24" s="23" t="n"/>
      <c r="BF24" s="23" t="n"/>
      <c r="BG24" s="23" t="n"/>
      <c r="BH24" s="23" t="n"/>
    </row>
    <row r="25">
      <c r="A25" s="52" t="n"/>
      <c r="B25" s="52" t="n"/>
      <c r="C25" s="55" t="n"/>
      <c r="D25" s="53" t="n"/>
      <c r="E25" s="98" t="inlineStr">
        <is>
          <t>Qtd Plan. Acumulada</t>
        </is>
      </c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64" t="n">
        <v>9312.940000000001</v>
      </c>
      <c r="AV25" s="64" t="n">
        <v>18625.88</v>
      </c>
      <c r="AW25" s="64" t="n">
        <v>32301.27</v>
      </c>
      <c r="AX25" s="64" t="n">
        <v>45976.66</v>
      </c>
      <c r="AY25" s="64" t="n">
        <v>59652.05</v>
      </c>
      <c r="AZ25" s="64" t="n">
        <v>73327.44</v>
      </c>
      <c r="BA25" s="64" t="n">
        <v>86562.17999999999</v>
      </c>
      <c r="BB25" s="64" t="n">
        <v>86562.17999999999</v>
      </c>
      <c r="BC25" s="64" t="n">
        <v>86562.17999999999</v>
      </c>
      <c r="BD25" s="64" t="n">
        <v>86562.17999999999</v>
      </c>
      <c r="BE25" s="64" t="n">
        <v>86562.17999999999</v>
      </c>
      <c r="BF25" s="64" t="n">
        <v>86562.17999999999</v>
      </c>
      <c r="BG25" s="64" t="n">
        <v>86562.17999999999</v>
      </c>
      <c r="BH25" s="64" t="n">
        <v>86562.17999999999</v>
      </c>
    </row>
    <row r="26">
      <c r="A26" s="52" t="n"/>
      <c r="B26" s="52" t="n"/>
      <c r="C26" s="55" t="n"/>
      <c r="D26" s="53" t="n"/>
      <c r="E26" s="98" t="inlineStr">
        <is>
          <t>% Semanal</t>
        </is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100" t="n">
        <v>0.1076</v>
      </c>
      <c r="AV26" s="100" t="n">
        <v>0.1076</v>
      </c>
      <c r="AW26" s="100" t="n">
        <v>0.158</v>
      </c>
      <c r="AX26" s="100" t="n">
        <v>0.158</v>
      </c>
      <c r="AY26" s="100" t="n">
        <v>0.158</v>
      </c>
      <c r="AZ26" s="100" t="n">
        <v>0.158</v>
      </c>
      <c r="BA26" s="100" t="n">
        <v>0.1529</v>
      </c>
      <c r="BB26" s="23" t="n"/>
      <c r="BC26" s="23" t="n"/>
      <c r="BD26" s="23" t="n"/>
      <c r="BE26" s="23" t="n"/>
      <c r="BF26" s="23" t="n"/>
      <c r="BG26" s="23" t="n"/>
      <c r="BH26" s="23" t="n"/>
    </row>
    <row r="27">
      <c r="A27" s="52" t="n"/>
      <c r="B27" s="52" t="n"/>
      <c r="C27" s="55" t="n"/>
      <c r="D27" s="53" t="n"/>
      <c r="E27" s="98" t="inlineStr">
        <is>
          <t>% Acumulado</t>
        </is>
      </c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100" t="n">
        <v>0.1076</v>
      </c>
      <c r="AV27" s="100" t="n">
        <v>0.2152</v>
      </c>
      <c r="AW27" s="100" t="n">
        <v>0.3732</v>
      </c>
      <c r="AX27" s="100" t="n">
        <v>0.5311</v>
      </c>
      <c r="AY27" s="100" t="n">
        <v>0.6891</v>
      </c>
      <c r="AZ27" s="100" t="n">
        <v>0.8471</v>
      </c>
      <c r="BA27" s="100" t="n">
        <v>1</v>
      </c>
      <c r="BB27" s="100" t="n">
        <v>1</v>
      </c>
      <c r="BC27" s="100" t="n">
        <v>1</v>
      </c>
      <c r="BD27" s="100" t="n">
        <v>1</v>
      </c>
      <c r="BE27" s="100" t="n">
        <v>1</v>
      </c>
      <c r="BF27" s="100" t="n">
        <v>1</v>
      </c>
      <c r="BG27" s="100" t="n">
        <v>1</v>
      </c>
      <c r="BH27" s="100" t="n">
        <v>1</v>
      </c>
    </row>
    <row r="28">
      <c r="A28" s="48" t="inlineStr">
        <is>
          <t>eap-1_4</t>
        </is>
      </c>
      <c r="B28" s="48" t="inlineStr">
        <is>
          <t>Esc/carg/transp 2aCat DMT&lt;=3000m</t>
        </is>
      </c>
      <c r="C28" s="84" t="inlineStr">
        <is>
          <t>m3</t>
        </is>
      </c>
      <c r="D28" s="85" t="n">
        <v>585945.7677</v>
      </c>
      <c r="E28" s="86" t="inlineStr">
        <is>
          <t>Dias Trabalhados</t>
        </is>
      </c>
      <c r="F28" s="88" t="n"/>
      <c r="G28" s="88" t="n"/>
      <c r="H28" s="87" t="n">
        <v>6</v>
      </c>
      <c r="I28" s="87" t="n">
        <v>6</v>
      </c>
      <c r="J28" s="87" t="n">
        <v>6</v>
      </c>
      <c r="K28" s="87" t="n">
        <v>6</v>
      </c>
      <c r="L28" s="87" t="n">
        <v>6</v>
      </c>
      <c r="M28" s="87" t="n">
        <v>6</v>
      </c>
      <c r="N28" s="87" t="n">
        <v>6</v>
      </c>
      <c r="O28" s="87" t="n">
        <v>6</v>
      </c>
      <c r="P28" s="87" t="n">
        <v>6</v>
      </c>
      <c r="Q28" s="87" t="n">
        <v>6</v>
      </c>
      <c r="R28" s="87" t="n">
        <v>6</v>
      </c>
      <c r="S28" s="87" t="n">
        <v>6</v>
      </c>
      <c r="T28" s="87" t="n">
        <v>6</v>
      </c>
      <c r="U28" s="87" t="n">
        <v>6</v>
      </c>
      <c r="V28" s="87" t="n">
        <v>6</v>
      </c>
      <c r="W28" s="87" t="n">
        <v>6</v>
      </c>
      <c r="X28" s="87" t="n">
        <v>6</v>
      </c>
      <c r="Y28" s="87" t="n">
        <v>6</v>
      </c>
      <c r="Z28" s="87" t="n">
        <v>6</v>
      </c>
      <c r="AA28" s="87" t="n">
        <v>6</v>
      </c>
      <c r="AB28" s="87" t="n">
        <v>6</v>
      </c>
      <c r="AC28" s="87" t="n">
        <v>6</v>
      </c>
      <c r="AD28" s="87" t="n">
        <v>6</v>
      </c>
      <c r="AE28" s="87" t="n">
        <v>6</v>
      </c>
      <c r="AF28" s="87" t="n">
        <v>6</v>
      </c>
      <c r="AG28" s="87" t="n">
        <v>6</v>
      </c>
      <c r="AH28" s="87" t="n">
        <v>6</v>
      </c>
      <c r="AI28" s="87" t="n">
        <v>6</v>
      </c>
      <c r="AJ28" s="87" t="n">
        <v>6</v>
      </c>
      <c r="AK28" s="87" t="n">
        <v>6</v>
      </c>
      <c r="AL28" s="87" t="n">
        <v>6</v>
      </c>
      <c r="AM28" s="87" t="n">
        <v>6</v>
      </c>
      <c r="AN28" s="87" t="n">
        <v>6</v>
      </c>
      <c r="AO28" s="87" t="n">
        <v>6</v>
      </c>
      <c r="AP28" s="87" t="n">
        <v>6</v>
      </c>
      <c r="AQ28" s="87" t="n">
        <v>6</v>
      </c>
      <c r="AR28" s="87" t="n">
        <v>6</v>
      </c>
      <c r="AS28" s="87" t="n">
        <v>6</v>
      </c>
      <c r="AT28" s="87" t="n">
        <v>6</v>
      </c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8" t="n"/>
      <c r="BF28" s="88" t="n"/>
      <c r="BG28" s="88" t="n"/>
      <c r="BH28" s="88" t="n"/>
    </row>
    <row r="29">
      <c r="A29" s="43" t="n"/>
      <c r="B29" s="43" t="n"/>
      <c r="C29" s="46" t="n"/>
      <c r="D29" s="44" t="n"/>
      <c r="E29" s="89" t="inlineStr">
        <is>
          <t>Nº De Equipes</t>
        </is>
      </c>
      <c r="F29" s="20" t="n"/>
      <c r="G29" s="20" t="n"/>
      <c r="H29" s="90" t="n">
        <v>2</v>
      </c>
      <c r="I29" s="90" t="n">
        <v>2</v>
      </c>
      <c r="J29" s="90" t="n">
        <v>2</v>
      </c>
      <c r="K29" s="90" t="n">
        <v>2</v>
      </c>
      <c r="L29" s="90" t="n">
        <v>2</v>
      </c>
      <c r="M29" s="90" t="n">
        <v>2</v>
      </c>
      <c r="N29" s="90" t="n">
        <v>2</v>
      </c>
      <c r="O29" s="90" t="n">
        <v>2</v>
      </c>
      <c r="P29" s="90" t="n">
        <v>2</v>
      </c>
      <c r="Q29" s="90" t="n">
        <v>2</v>
      </c>
      <c r="R29" s="90" t="n">
        <v>2</v>
      </c>
      <c r="S29" s="90" t="n">
        <v>2</v>
      </c>
      <c r="T29" s="90" t="n">
        <v>2</v>
      </c>
      <c r="U29" s="90" t="n">
        <v>2</v>
      </c>
      <c r="V29" s="90" t="n">
        <v>2</v>
      </c>
      <c r="W29" s="90" t="n">
        <v>2</v>
      </c>
      <c r="X29" s="90" t="n">
        <v>2</v>
      </c>
      <c r="Y29" s="90" t="n">
        <v>2</v>
      </c>
      <c r="Z29" s="90" t="n">
        <v>2</v>
      </c>
      <c r="AA29" s="90" t="n">
        <v>2</v>
      </c>
      <c r="AB29" s="90" t="n">
        <v>2</v>
      </c>
      <c r="AC29" s="90" t="n">
        <v>2</v>
      </c>
      <c r="AD29" s="90" t="n">
        <v>2</v>
      </c>
      <c r="AE29" s="90" t="n">
        <v>2</v>
      </c>
      <c r="AF29" s="90" t="n">
        <v>2</v>
      </c>
      <c r="AG29" s="90" t="n">
        <v>2</v>
      </c>
      <c r="AH29" s="90" t="n">
        <v>2</v>
      </c>
      <c r="AI29" s="90" t="n">
        <v>2</v>
      </c>
      <c r="AJ29" s="90" t="n">
        <v>2</v>
      </c>
      <c r="AK29" s="90" t="n">
        <v>2</v>
      </c>
      <c r="AL29" s="90" t="n">
        <v>2</v>
      </c>
      <c r="AM29" s="90" t="n">
        <v>2</v>
      </c>
      <c r="AN29" s="90" t="n">
        <v>2</v>
      </c>
      <c r="AO29" s="90" t="n">
        <v>2</v>
      </c>
      <c r="AP29" s="90" t="n">
        <v>2</v>
      </c>
      <c r="AQ29" s="90" t="n">
        <v>2</v>
      </c>
      <c r="AR29" s="90" t="n">
        <v>2</v>
      </c>
      <c r="AS29" s="90" t="n">
        <v>2</v>
      </c>
      <c r="AT29" s="90" t="n">
        <v>2</v>
      </c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</row>
    <row r="30">
      <c r="A30" s="43" t="n"/>
      <c r="B30" s="43" t="n"/>
      <c r="C30" s="46" t="n"/>
      <c r="D30" s="44" t="n"/>
      <c r="E30" s="89" t="inlineStr">
        <is>
          <t>Qtd. Planejada</t>
        </is>
      </c>
      <c r="F30" s="20" t="n"/>
      <c r="G30" s="20" t="n"/>
      <c r="H30" s="61" t="n">
        <v>15242.88</v>
      </c>
      <c r="I30" s="61" t="n">
        <v>15242.88</v>
      </c>
      <c r="J30" s="61" t="n">
        <v>15242.88</v>
      </c>
      <c r="K30" s="61" t="n">
        <v>15242.88</v>
      </c>
      <c r="L30" s="61" t="n">
        <v>15242.88</v>
      </c>
      <c r="M30" s="61" t="n">
        <v>15242.88</v>
      </c>
      <c r="N30" s="61" t="n">
        <v>15242.88</v>
      </c>
      <c r="O30" s="61" t="n">
        <v>15242.88</v>
      </c>
      <c r="P30" s="61" t="n">
        <v>15242.88</v>
      </c>
      <c r="Q30" s="61" t="n">
        <v>15242.88</v>
      </c>
      <c r="R30" s="61" t="n">
        <v>15242.88</v>
      </c>
      <c r="S30" s="61" t="n">
        <v>15242.88</v>
      </c>
      <c r="T30" s="61" t="n">
        <v>15242.88</v>
      </c>
      <c r="U30" s="61" t="n">
        <v>15242.88</v>
      </c>
      <c r="V30" s="61" t="n">
        <v>15242.88</v>
      </c>
      <c r="W30" s="61" t="n">
        <v>15242.88</v>
      </c>
      <c r="X30" s="61" t="n">
        <v>14226.18</v>
      </c>
      <c r="Y30" s="61" t="n">
        <v>14226.18</v>
      </c>
      <c r="Z30" s="61" t="n">
        <v>14226.18</v>
      </c>
      <c r="AA30" s="61" t="n">
        <v>14226.18</v>
      </c>
      <c r="AB30" s="61" t="n">
        <v>14259.71</v>
      </c>
      <c r="AC30" s="61" t="n">
        <v>14259.71</v>
      </c>
      <c r="AD30" s="61" t="n">
        <v>14259.71</v>
      </c>
      <c r="AE30" s="61" t="n">
        <v>14259.71</v>
      </c>
      <c r="AF30" s="61" t="n">
        <v>14259.71</v>
      </c>
      <c r="AG30" s="61" t="n">
        <v>14259.71</v>
      </c>
      <c r="AH30" s="61" t="n">
        <v>14259.71</v>
      </c>
      <c r="AI30" s="61" t="n">
        <v>14259.71</v>
      </c>
      <c r="AJ30" s="61" t="n">
        <v>14259.71</v>
      </c>
      <c r="AK30" s="61" t="n">
        <v>12784.2</v>
      </c>
      <c r="AL30" s="61" t="n">
        <v>12784.2</v>
      </c>
      <c r="AM30" s="61" t="n">
        <v>12784.2</v>
      </c>
      <c r="AN30" s="61" t="n">
        <v>12784.2</v>
      </c>
      <c r="AO30" s="61" t="n">
        <v>11976.33</v>
      </c>
      <c r="AP30" s="61" t="n">
        <v>11976.33</v>
      </c>
      <c r="AQ30" s="61" t="n">
        <v>11976.33</v>
      </c>
      <c r="AR30" s="61" t="n">
        <v>11976.33</v>
      </c>
      <c r="AS30" s="61" t="n">
        <v>9342.360000000001</v>
      </c>
      <c r="AT30" s="61" t="n">
        <v>9342.360000000001</v>
      </c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</row>
    <row r="31">
      <c r="A31" s="43" t="n"/>
      <c r="B31" s="43" t="n"/>
      <c r="C31" s="46" t="n"/>
      <c r="D31" s="44" t="n"/>
      <c r="E31" s="89" t="inlineStr">
        <is>
          <t>Qtd Plan. Acumulada</t>
        </is>
      </c>
      <c r="F31" s="20" t="n"/>
      <c r="G31" s="20" t="n"/>
      <c r="H31" s="61" t="n">
        <v>15242.88</v>
      </c>
      <c r="I31" s="61" t="n">
        <v>30485.76</v>
      </c>
      <c r="J31" s="61" t="n">
        <v>45728.64</v>
      </c>
      <c r="K31" s="61" t="n">
        <v>60971.52</v>
      </c>
      <c r="L31" s="61" t="n">
        <v>76214.39999999999</v>
      </c>
      <c r="M31" s="61" t="n">
        <v>91457.28</v>
      </c>
      <c r="N31" s="61" t="n">
        <v>106700.16</v>
      </c>
      <c r="O31" s="61" t="n">
        <v>121943.04</v>
      </c>
      <c r="P31" s="61" t="n">
        <v>137185.92</v>
      </c>
      <c r="Q31" s="61" t="n">
        <v>152428.8</v>
      </c>
      <c r="R31" s="61" t="n">
        <v>167671.68</v>
      </c>
      <c r="S31" s="61" t="n">
        <v>182914.56</v>
      </c>
      <c r="T31" s="61" t="n">
        <v>198157.44</v>
      </c>
      <c r="U31" s="61" t="n">
        <v>213400.32</v>
      </c>
      <c r="V31" s="61" t="n">
        <v>228643.2</v>
      </c>
      <c r="W31" s="61" t="n">
        <v>243886.08</v>
      </c>
      <c r="X31" s="61" t="n">
        <v>258112.26</v>
      </c>
      <c r="Y31" s="61" t="n">
        <v>272338.44</v>
      </c>
      <c r="Z31" s="61" t="n">
        <v>286564.62</v>
      </c>
      <c r="AA31" s="61" t="n">
        <v>300790.8</v>
      </c>
      <c r="AB31" s="61" t="n">
        <v>315050.51</v>
      </c>
      <c r="AC31" s="61" t="n">
        <v>329310.22</v>
      </c>
      <c r="AD31" s="61" t="n">
        <v>343569.93</v>
      </c>
      <c r="AE31" s="61" t="n">
        <v>357829.64</v>
      </c>
      <c r="AF31" s="61" t="n">
        <v>372089.35</v>
      </c>
      <c r="AG31" s="61" t="n">
        <v>386349.06</v>
      </c>
      <c r="AH31" s="61" t="n">
        <v>400608.77</v>
      </c>
      <c r="AI31" s="61" t="n">
        <v>414868.48</v>
      </c>
      <c r="AJ31" s="61" t="n">
        <v>429128.19</v>
      </c>
      <c r="AK31" s="61" t="n">
        <v>441912.39</v>
      </c>
      <c r="AL31" s="61" t="n">
        <v>454696.59</v>
      </c>
      <c r="AM31" s="61" t="n">
        <v>467480.79</v>
      </c>
      <c r="AN31" s="61" t="n">
        <v>480264.99</v>
      </c>
      <c r="AO31" s="61" t="n">
        <v>492241.32</v>
      </c>
      <c r="AP31" s="61" t="n">
        <v>504217.65</v>
      </c>
      <c r="AQ31" s="61" t="n">
        <v>516193.98</v>
      </c>
      <c r="AR31" s="61" t="n">
        <v>528170.3100000001</v>
      </c>
      <c r="AS31" s="61" t="n">
        <v>537512.67</v>
      </c>
      <c r="AT31" s="61" t="n">
        <v>546855.03</v>
      </c>
      <c r="AU31" s="61" t="n">
        <v>546855.03</v>
      </c>
      <c r="AV31" s="61" t="n">
        <v>546855.03</v>
      </c>
      <c r="AW31" s="61" t="n">
        <v>546855.03</v>
      </c>
      <c r="AX31" s="61" t="n">
        <v>546855.03</v>
      </c>
      <c r="AY31" s="61" t="n">
        <v>546855.03</v>
      </c>
      <c r="AZ31" s="61" t="n">
        <v>546855.03</v>
      </c>
      <c r="BA31" s="61" t="n">
        <v>546855.03</v>
      </c>
      <c r="BB31" s="61" t="n">
        <v>546855.03</v>
      </c>
      <c r="BC31" s="61" t="n">
        <v>546855.03</v>
      </c>
      <c r="BD31" s="61" t="n">
        <v>546855.03</v>
      </c>
      <c r="BE31" s="61" t="n">
        <v>546855.03</v>
      </c>
      <c r="BF31" s="61" t="n">
        <v>546855.03</v>
      </c>
      <c r="BG31" s="61" t="n">
        <v>546855.03</v>
      </c>
      <c r="BH31" s="61" t="n">
        <v>546855.03</v>
      </c>
    </row>
    <row r="32">
      <c r="A32" s="43" t="n"/>
      <c r="B32" s="43" t="n"/>
      <c r="C32" s="46" t="n"/>
      <c r="D32" s="44" t="n"/>
      <c r="E32" s="89" t="inlineStr">
        <is>
          <t>% Semanal</t>
        </is>
      </c>
      <c r="F32" s="20" t="n"/>
      <c r="G32" s="20" t="n"/>
      <c r="H32" s="91" t="n">
        <v>0.0279</v>
      </c>
      <c r="I32" s="91" t="n">
        <v>0.0279</v>
      </c>
      <c r="J32" s="91" t="n">
        <v>0.0279</v>
      </c>
      <c r="K32" s="91" t="n">
        <v>0.0279</v>
      </c>
      <c r="L32" s="91" t="n">
        <v>0.0279</v>
      </c>
      <c r="M32" s="91" t="n">
        <v>0.0279</v>
      </c>
      <c r="N32" s="91" t="n">
        <v>0.0279</v>
      </c>
      <c r="O32" s="91" t="n">
        <v>0.0279</v>
      </c>
      <c r="P32" s="91" t="n">
        <v>0.0279</v>
      </c>
      <c r="Q32" s="91" t="n">
        <v>0.0279</v>
      </c>
      <c r="R32" s="91" t="n">
        <v>0.0279</v>
      </c>
      <c r="S32" s="91" t="n">
        <v>0.0279</v>
      </c>
      <c r="T32" s="91" t="n">
        <v>0.0279</v>
      </c>
      <c r="U32" s="91" t="n">
        <v>0.0279</v>
      </c>
      <c r="V32" s="91" t="n">
        <v>0.0279</v>
      </c>
      <c r="W32" s="91" t="n">
        <v>0.0279</v>
      </c>
      <c r="X32" s="91" t="n">
        <v>0.026</v>
      </c>
      <c r="Y32" s="91" t="n">
        <v>0.026</v>
      </c>
      <c r="Z32" s="91" t="n">
        <v>0.026</v>
      </c>
      <c r="AA32" s="91" t="n">
        <v>0.026</v>
      </c>
      <c r="AB32" s="91" t="n">
        <v>0.0261</v>
      </c>
      <c r="AC32" s="91" t="n">
        <v>0.0261</v>
      </c>
      <c r="AD32" s="91" t="n">
        <v>0.0261</v>
      </c>
      <c r="AE32" s="91" t="n">
        <v>0.0261</v>
      </c>
      <c r="AF32" s="91" t="n">
        <v>0.0261</v>
      </c>
      <c r="AG32" s="91" t="n">
        <v>0.0261</v>
      </c>
      <c r="AH32" s="91" t="n">
        <v>0.0261</v>
      </c>
      <c r="AI32" s="91" t="n">
        <v>0.0261</v>
      </c>
      <c r="AJ32" s="91" t="n">
        <v>0.0261</v>
      </c>
      <c r="AK32" s="91" t="n">
        <v>0.0234</v>
      </c>
      <c r="AL32" s="91" t="n">
        <v>0.0234</v>
      </c>
      <c r="AM32" s="91" t="n">
        <v>0.0234</v>
      </c>
      <c r="AN32" s="91" t="n">
        <v>0.0234</v>
      </c>
      <c r="AO32" s="91" t="n">
        <v>0.0219</v>
      </c>
      <c r="AP32" s="91" t="n">
        <v>0.0219</v>
      </c>
      <c r="AQ32" s="91" t="n">
        <v>0.0219</v>
      </c>
      <c r="AR32" s="91" t="n">
        <v>0.0219</v>
      </c>
      <c r="AS32" s="91" t="n">
        <v>0.0171</v>
      </c>
      <c r="AT32" s="91" t="n">
        <v>0.0171</v>
      </c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</row>
    <row r="33">
      <c r="A33" s="43" t="n"/>
      <c r="B33" s="43" t="n"/>
      <c r="C33" s="46" t="n"/>
      <c r="D33" s="44" t="n"/>
      <c r="E33" s="89" t="inlineStr">
        <is>
          <t>% Acumulado</t>
        </is>
      </c>
      <c r="F33" s="20" t="n"/>
      <c r="G33" s="20" t="n"/>
      <c r="H33" s="91" t="n">
        <v>0.0279</v>
      </c>
      <c r="I33" s="91" t="n">
        <v>0.0557</v>
      </c>
      <c r="J33" s="91" t="n">
        <v>0.08359999999999999</v>
      </c>
      <c r="K33" s="91" t="n">
        <v>0.1115</v>
      </c>
      <c r="L33" s="91" t="n">
        <v>0.1394</v>
      </c>
      <c r="M33" s="91" t="n">
        <v>0.1672</v>
      </c>
      <c r="N33" s="91" t="n">
        <v>0.1951</v>
      </c>
      <c r="O33" s="91" t="n">
        <v>0.223</v>
      </c>
      <c r="P33" s="91" t="n">
        <v>0.2509</v>
      </c>
      <c r="Q33" s="91" t="n">
        <v>0.2787</v>
      </c>
      <c r="R33" s="91" t="n">
        <v>0.3066</v>
      </c>
      <c r="S33" s="91" t="n">
        <v>0.3345</v>
      </c>
      <c r="T33" s="91" t="n">
        <v>0.3624</v>
      </c>
      <c r="U33" s="91" t="n">
        <v>0.3902</v>
      </c>
      <c r="V33" s="91" t="n">
        <v>0.4181</v>
      </c>
      <c r="W33" s="91" t="n">
        <v>0.446</v>
      </c>
      <c r="X33" s="91" t="n">
        <v>0.472</v>
      </c>
      <c r="Y33" s="91" t="n">
        <v>0.498</v>
      </c>
      <c r="Z33" s="91" t="n">
        <v>0.524</v>
      </c>
      <c r="AA33" s="91" t="n">
        <v>0.55</v>
      </c>
      <c r="AB33" s="91" t="n">
        <v>0.5760999999999999</v>
      </c>
      <c r="AC33" s="91" t="n">
        <v>0.6022</v>
      </c>
      <c r="AD33" s="91" t="n">
        <v>0.6283</v>
      </c>
      <c r="AE33" s="91" t="n">
        <v>0.6543</v>
      </c>
      <c r="AF33" s="91" t="n">
        <v>0.6804</v>
      </c>
      <c r="AG33" s="91" t="n">
        <v>0.7065</v>
      </c>
      <c r="AH33" s="91" t="n">
        <v>0.7326</v>
      </c>
      <c r="AI33" s="91" t="n">
        <v>0.7586000000000001</v>
      </c>
      <c r="AJ33" s="91" t="n">
        <v>0.7847</v>
      </c>
      <c r="AK33" s="91" t="n">
        <v>0.8081</v>
      </c>
      <c r="AL33" s="91" t="n">
        <v>0.8315</v>
      </c>
      <c r="AM33" s="91" t="n">
        <v>0.8549</v>
      </c>
      <c r="AN33" s="91" t="n">
        <v>0.8782</v>
      </c>
      <c r="AO33" s="91" t="n">
        <v>0.9001</v>
      </c>
      <c r="AP33" s="91" t="n">
        <v>0.922</v>
      </c>
      <c r="AQ33" s="91" t="n">
        <v>0.9439</v>
      </c>
      <c r="AR33" s="91" t="n">
        <v>0.9658</v>
      </c>
      <c r="AS33" s="91" t="n">
        <v>0.9829</v>
      </c>
      <c r="AT33" s="91" t="n">
        <v>1</v>
      </c>
      <c r="AU33" s="91" t="n">
        <v>1</v>
      </c>
      <c r="AV33" s="91" t="n">
        <v>1</v>
      </c>
      <c r="AW33" s="91" t="n">
        <v>1</v>
      </c>
      <c r="AX33" s="91" t="n">
        <v>1</v>
      </c>
      <c r="AY33" s="91" t="n">
        <v>1</v>
      </c>
      <c r="AZ33" s="91" t="n">
        <v>1</v>
      </c>
      <c r="BA33" s="91" t="n">
        <v>1</v>
      </c>
      <c r="BB33" s="91" t="n">
        <v>1</v>
      </c>
      <c r="BC33" s="91" t="n">
        <v>1</v>
      </c>
      <c r="BD33" s="91" t="n">
        <v>1</v>
      </c>
      <c r="BE33" s="91" t="n">
        <v>1</v>
      </c>
      <c r="BF33" s="91" t="n">
        <v>1</v>
      </c>
      <c r="BG33" s="91" t="n">
        <v>1</v>
      </c>
      <c r="BH33" s="91" t="n">
        <v>1</v>
      </c>
    </row>
    <row r="34">
      <c r="A34" s="92" t="inlineStr">
        <is>
          <t>eap-1_5</t>
        </is>
      </c>
      <c r="B34" s="92" t="inlineStr">
        <is>
          <t>Esc/carg/transp 3aCat DMT&lt;=2000m</t>
        </is>
      </c>
      <c r="C34" s="93" t="inlineStr">
        <is>
          <t>m3</t>
        </is>
      </c>
      <c r="D34" s="94" t="n">
        <v>304634.4556</v>
      </c>
      <c r="E34" s="95" t="inlineStr">
        <is>
          <t>Dias Trabalhados</t>
        </is>
      </c>
      <c r="F34" s="96" t="n"/>
      <c r="G34" s="96" t="n"/>
      <c r="H34" s="97" t="n">
        <v>6</v>
      </c>
      <c r="I34" s="97" t="n">
        <v>6</v>
      </c>
      <c r="J34" s="97" t="n">
        <v>6</v>
      </c>
      <c r="K34" s="97" t="n">
        <v>6</v>
      </c>
      <c r="L34" s="97" t="n">
        <v>6</v>
      </c>
      <c r="M34" s="97" t="n">
        <v>6</v>
      </c>
      <c r="N34" s="97" t="n">
        <v>6</v>
      </c>
      <c r="O34" s="97" t="n">
        <v>6</v>
      </c>
      <c r="P34" s="97" t="n">
        <v>6</v>
      </c>
      <c r="Q34" s="97" t="n">
        <v>6</v>
      </c>
      <c r="R34" s="97" t="n">
        <v>6</v>
      </c>
      <c r="S34" s="97" t="n">
        <v>6</v>
      </c>
      <c r="T34" s="97" t="n">
        <v>6</v>
      </c>
      <c r="U34" s="97" t="n">
        <v>6</v>
      </c>
      <c r="V34" s="97" t="n">
        <v>6</v>
      </c>
      <c r="W34" s="96" t="n"/>
      <c r="X34" s="96" t="n"/>
      <c r="Y34" s="96" t="n"/>
      <c r="Z34" s="96" t="n"/>
      <c r="AA34" s="96" t="n"/>
      <c r="AB34" s="96" t="n"/>
      <c r="AC34" s="96" t="n"/>
      <c r="AD34" s="96" t="n"/>
      <c r="AE34" s="96" t="n"/>
      <c r="AF34" s="96" t="n"/>
      <c r="AG34" s="96" t="n"/>
      <c r="AH34" s="96" t="n"/>
      <c r="AI34" s="96" t="n"/>
      <c r="AJ34" s="96" t="n"/>
      <c r="AK34" s="96" t="n"/>
      <c r="AL34" s="96" t="n"/>
      <c r="AM34" s="96" t="n"/>
      <c r="AN34" s="96" t="n"/>
      <c r="AO34" s="96" t="n"/>
      <c r="AP34" s="96" t="n"/>
      <c r="AQ34" s="96" t="n"/>
      <c r="AR34" s="96" t="n"/>
      <c r="AS34" s="96" t="n"/>
      <c r="AT34" s="96" t="n"/>
      <c r="AU34" s="96" t="n"/>
      <c r="AV34" s="96" t="n"/>
      <c r="AW34" s="96" t="n"/>
      <c r="AX34" s="96" t="n"/>
      <c r="AY34" s="96" t="n"/>
      <c r="AZ34" s="96" t="n"/>
      <c r="BA34" s="96" t="n"/>
      <c r="BB34" s="96" t="n"/>
      <c r="BC34" s="96" t="n"/>
      <c r="BD34" s="96" t="n"/>
      <c r="BE34" s="96" t="n"/>
      <c r="BF34" s="96" t="n"/>
      <c r="BG34" s="96" t="n"/>
      <c r="BH34" s="96" t="n"/>
    </row>
    <row r="35">
      <c r="A35" s="52" t="n"/>
      <c r="B35" s="52" t="n"/>
      <c r="C35" s="55" t="n"/>
      <c r="D35" s="53" t="n"/>
      <c r="E35" s="98" t="inlineStr">
        <is>
          <t>Nº De Equipes</t>
        </is>
      </c>
      <c r="F35" s="23" t="n"/>
      <c r="G35" s="23" t="n"/>
      <c r="H35" s="99" t="n">
        <v>3</v>
      </c>
      <c r="I35" s="99" t="n">
        <v>3</v>
      </c>
      <c r="J35" s="99" t="n">
        <v>3</v>
      </c>
      <c r="K35" s="99" t="n">
        <v>3</v>
      </c>
      <c r="L35" s="99" t="n">
        <v>3</v>
      </c>
      <c r="M35" s="99" t="n">
        <v>3</v>
      </c>
      <c r="N35" s="99" t="n">
        <v>3</v>
      </c>
      <c r="O35" s="99" t="n">
        <v>3</v>
      </c>
      <c r="P35" s="99" t="n">
        <v>3</v>
      </c>
      <c r="Q35" s="99" t="n">
        <v>3</v>
      </c>
      <c r="R35" s="99" t="n">
        <v>3</v>
      </c>
      <c r="S35" s="99" t="n">
        <v>3</v>
      </c>
      <c r="T35" s="99" t="n">
        <v>3</v>
      </c>
      <c r="U35" s="99" t="n">
        <v>3</v>
      </c>
      <c r="V35" s="99" t="n">
        <v>3</v>
      </c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n"/>
      <c r="BH35" s="23" t="n"/>
    </row>
    <row r="36">
      <c r="A36" s="52" t="n"/>
      <c r="B36" s="52" t="n"/>
      <c r="C36" s="55" t="n"/>
      <c r="D36" s="53" t="n"/>
      <c r="E36" s="98" t="inlineStr">
        <is>
          <t>Qtd. Planejada</t>
        </is>
      </c>
      <c r="F36" s="23" t="n"/>
      <c r="G36" s="23" t="n"/>
      <c r="H36" s="64" t="n">
        <v>20450.88</v>
      </c>
      <c r="I36" s="64" t="n">
        <v>20450.88</v>
      </c>
      <c r="J36" s="64" t="n">
        <v>20450.88</v>
      </c>
      <c r="K36" s="64" t="n">
        <v>20450.88</v>
      </c>
      <c r="L36" s="64" t="n">
        <v>20450.88</v>
      </c>
      <c r="M36" s="64" t="n">
        <v>20450.88</v>
      </c>
      <c r="N36" s="64" t="n">
        <v>20450.88</v>
      </c>
      <c r="O36" s="64" t="n">
        <v>20450.88</v>
      </c>
      <c r="P36" s="64" t="n">
        <v>20450.88</v>
      </c>
      <c r="Q36" s="64" t="n">
        <v>20450.88</v>
      </c>
      <c r="R36" s="64" t="n">
        <v>20450.88</v>
      </c>
      <c r="S36" s="64" t="n">
        <v>20450.88</v>
      </c>
      <c r="T36" s="64" t="n">
        <v>20450.88</v>
      </c>
      <c r="U36" s="64" t="n">
        <v>20450.88</v>
      </c>
      <c r="V36" s="64" t="n">
        <v>18322.14</v>
      </c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</row>
    <row r="37">
      <c r="A37" s="52" t="n"/>
      <c r="B37" s="52" t="n"/>
      <c r="C37" s="55" t="n"/>
      <c r="D37" s="53" t="n"/>
      <c r="E37" s="98" t="inlineStr">
        <is>
          <t>Qtd Plan. Acumulada</t>
        </is>
      </c>
      <c r="F37" s="23" t="n"/>
      <c r="G37" s="23" t="n"/>
      <c r="H37" s="64" t="n">
        <v>20450.88</v>
      </c>
      <c r="I37" s="64" t="n">
        <v>40901.76</v>
      </c>
      <c r="J37" s="64" t="n">
        <v>61352.64</v>
      </c>
      <c r="K37" s="64" t="n">
        <v>81803.52</v>
      </c>
      <c r="L37" s="64" t="n">
        <v>102254.4</v>
      </c>
      <c r="M37" s="64" t="n">
        <v>122705.28</v>
      </c>
      <c r="N37" s="64" t="n">
        <v>143156.16</v>
      </c>
      <c r="O37" s="64" t="n">
        <v>163607.04</v>
      </c>
      <c r="P37" s="64" t="n">
        <v>184057.92</v>
      </c>
      <c r="Q37" s="64" t="n">
        <v>204508.8</v>
      </c>
      <c r="R37" s="64" t="n">
        <v>224959.68</v>
      </c>
      <c r="S37" s="64" t="n">
        <v>245410.56</v>
      </c>
      <c r="T37" s="64" t="n">
        <v>265861.44</v>
      </c>
      <c r="U37" s="64" t="n">
        <v>286312.32</v>
      </c>
      <c r="V37" s="64" t="n">
        <v>304634.46</v>
      </c>
      <c r="W37" s="64" t="n">
        <v>304634.46</v>
      </c>
      <c r="X37" s="64" t="n">
        <v>304634.46</v>
      </c>
      <c r="Y37" s="64" t="n">
        <v>304634.46</v>
      </c>
      <c r="Z37" s="64" t="n">
        <v>304634.46</v>
      </c>
      <c r="AA37" s="64" t="n">
        <v>304634.46</v>
      </c>
      <c r="AB37" s="64" t="n">
        <v>304634.46</v>
      </c>
      <c r="AC37" s="64" t="n">
        <v>304634.46</v>
      </c>
      <c r="AD37" s="64" t="n">
        <v>304634.46</v>
      </c>
      <c r="AE37" s="64" t="n">
        <v>304634.46</v>
      </c>
      <c r="AF37" s="64" t="n">
        <v>304634.46</v>
      </c>
      <c r="AG37" s="64" t="n">
        <v>304634.46</v>
      </c>
      <c r="AH37" s="64" t="n">
        <v>304634.46</v>
      </c>
      <c r="AI37" s="64" t="n">
        <v>304634.46</v>
      </c>
      <c r="AJ37" s="64" t="n">
        <v>304634.46</v>
      </c>
      <c r="AK37" s="64" t="n">
        <v>304634.46</v>
      </c>
      <c r="AL37" s="64" t="n">
        <v>304634.46</v>
      </c>
      <c r="AM37" s="64" t="n">
        <v>304634.46</v>
      </c>
      <c r="AN37" s="64" t="n">
        <v>304634.46</v>
      </c>
      <c r="AO37" s="64" t="n">
        <v>304634.46</v>
      </c>
      <c r="AP37" s="64" t="n">
        <v>304634.46</v>
      </c>
      <c r="AQ37" s="64" t="n">
        <v>304634.46</v>
      </c>
      <c r="AR37" s="64" t="n">
        <v>304634.46</v>
      </c>
      <c r="AS37" s="64" t="n">
        <v>304634.46</v>
      </c>
      <c r="AT37" s="64" t="n">
        <v>304634.46</v>
      </c>
      <c r="AU37" s="64" t="n">
        <v>304634.46</v>
      </c>
      <c r="AV37" s="64" t="n">
        <v>304634.46</v>
      </c>
      <c r="AW37" s="64" t="n">
        <v>304634.46</v>
      </c>
      <c r="AX37" s="64" t="n">
        <v>304634.46</v>
      </c>
      <c r="AY37" s="64" t="n">
        <v>304634.46</v>
      </c>
      <c r="AZ37" s="64" t="n">
        <v>304634.46</v>
      </c>
      <c r="BA37" s="64" t="n">
        <v>304634.46</v>
      </c>
      <c r="BB37" s="64" t="n">
        <v>304634.46</v>
      </c>
      <c r="BC37" s="64" t="n">
        <v>304634.46</v>
      </c>
      <c r="BD37" s="64" t="n">
        <v>304634.46</v>
      </c>
      <c r="BE37" s="64" t="n">
        <v>304634.46</v>
      </c>
      <c r="BF37" s="64" t="n">
        <v>304634.46</v>
      </c>
      <c r="BG37" s="64" t="n">
        <v>304634.46</v>
      </c>
      <c r="BH37" s="64" t="n">
        <v>304634.46</v>
      </c>
    </row>
    <row r="38">
      <c r="A38" s="52" t="n"/>
      <c r="B38" s="52" t="n"/>
      <c r="C38" s="55" t="n"/>
      <c r="D38" s="53" t="n"/>
      <c r="E38" s="98" t="inlineStr">
        <is>
          <t>% Semanal</t>
        </is>
      </c>
      <c r="F38" s="23" t="n"/>
      <c r="G38" s="23" t="n"/>
      <c r="H38" s="100" t="n">
        <v>0.06710000000000001</v>
      </c>
      <c r="I38" s="100" t="n">
        <v>0.06710000000000001</v>
      </c>
      <c r="J38" s="100" t="n">
        <v>0.06710000000000001</v>
      </c>
      <c r="K38" s="100" t="n">
        <v>0.06710000000000001</v>
      </c>
      <c r="L38" s="100" t="n">
        <v>0.06710000000000001</v>
      </c>
      <c r="M38" s="100" t="n">
        <v>0.06710000000000001</v>
      </c>
      <c r="N38" s="100" t="n">
        <v>0.06710000000000001</v>
      </c>
      <c r="O38" s="100" t="n">
        <v>0.06710000000000001</v>
      </c>
      <c r="P38" s="100" t="n">
        <v>0.06710000000000001</v>
      </c>
      <c r="Q38" s="100" t="n">
        <v>0.06710000000000001</v>
      </c>
      <c r="R38" s="100" t="n">
        <v>0.06710000000000001</v>
      </c>
      <c r="S38" s="100" t="n">
        <v>0.06710000000000001</v>
      </c>
      <c r="T38" s="100" t="n">
        <v>0.06710000000000001</v>
      </c>
      <c r="U38" s="100" t="n">
        <v>0.06710000000000001</v>
      </c>
      <c r="V38" s="100" t="n">
        <v>0.0601</v>
      </c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</row>
    <row r="39">
      <c r="A39" s="52" t="n"/>
      <c r="B39" s="52" t="n"/>
      <c r="C39" s="55" t="n"/>
      <c r="D39" s="53" t="n"/>
      <c r="E39" s="98" t="inlineStr">
        <is>
          <t>% Acumulado</t>
        </is>
      </c>
      <c r="F39" s="23" t="n"/>
      <c r="G39" s="23" t="n"/>
      <c r="H39" s="100" t="n">
        <v>0.06710000000000001</v>
      </c>
      <c r="I39" s="100" t="n">
        <v>0.1343</v>
      </c>
      <c r="J39" s="100" t="n">
        <v>0.2014</v>
      </c>
      <c r="K39" s="100" t="n">
        <v>0.2685</v>
      </c>
      <c r="L39" s="100" t="n">
        <v>0.3357</v>
      </c>
      <c r="M39" s="100" t="n">
        <v>0.4028</v>
      </c>
      <c r="N39" s="100" t="n">
        <v>0.4699</v>
      </c>
      <c r="O39" s="100" t="n">
        <v>0.5371</v>
      </c>
      <c r="P39" s="100" t="n">
        <v>0.6042</v>
      </c>
      <c r="Q39" s="100" t="n">
        <v>0.6713</v>
      </c>
      <c r="R39" s="100" t="n">
        <v>0.7385</v>
      </c>
      <c r="S39" s="100" t="n">
        <v>0.8056</v>
      </c>
      <c r="T39" s="100" t="n">
        <v>0.8727</v>
      </c>
      <c r="U39" s="100" t="n">
        <v>0.9399</v>
      </c>
      <c r="V39" s="100" t="n">
        <v>1</v>
      </c>
      <c r="W39" s="100" t="n">
        <v>1</v>
      </c>
      <c r="X39" s="100" t="n">
        <v>1</v>
      </c>
      <c r="Y39" s="100" t="n">
        <v>1</v>
      </c>
      <c r="Z39" s="100" t="n">
        <v>1</v>
      </c>
      <c r="AA39" s="100" t="n">
        <v>1</v>
      </c>
      <c r="AB39" s="100" t="n">
        <v>1</v>
      </c>
      <c r="AC39" s="100" t="n">
        <v>1</v>
      </c>
      <c r="AD39" s="100" t="n">
        <v>1</v>
      </c>
      <c r="AE39" s="100" t="n">
        <v>1</v>
      </c>
      <c r="AF39" s="100" t="n">
        <v>1</v>
      </c>
      <c r="AG39" s="100" t="n">
        <v>1</v>
      </c>
      <c r="AH39" s="100" t="n">
        <v>1</v>
      </c>
      <c r="AI39" s="100" t="n">
        <v>1</v>
      </c>
      <c r="AJ39" s="100" t="n">
        <v>1</v>
      </c>
      <c r="AK39" s="100" t="n">
        <v>1</v>
      </c>
      <c r="AL39" s="100" t="n">
        <v>1</v>
      </c>
      <c r="AM39" s="100" t="n">
        <v>1</v>
      </c>
      <c r="AN39" s="100" t="n">
        <v>1</v>
      </c>
      <c r="AO39" s="100" t="n">
        <v>1</v>
      </c>
      <c r="AP39" s="100" t="n">
        <v>1</v>
      </c>
      <c r="AQ39" s="100" t="n">
        <v>1</v>
      </c>
      <c r="AR39" s="100" t="n">
        <v>1</v>
      </c>
      <c r="AS39" s="100" t="n">
        <v>1</v>
      </c>
      <c r="AT39" s="100" t="n">
        <v>1</v>
      </c>
      <c r="AU39" s="100" t="n">
        <v>1</v>
      </c>
      <c r="AV39" s="100" t="n">
        <v>1</v>
      </c>
      <c r="AW39" s="100" t="n">
        <v>1</v>
      </c>
      <c r="AX39" s="100" t="n">
        <v>1</v>
      </c>
      <c r="AY39" s="100" t="n">
        <v>1</v>
      </c>
      <c r="AZ39" s="100" t="n">
        <v>1</v>
      </c>
      <c r="BA39" s="100" t="n">
        <v>1</v>
      </c>
      <c r="BB39" s="100" t="n">
        <v>1</v>
      </c>
      <c r="BC39" s="100" t="n">
        <v>1</v>
      </c>
      <c r="BD39" s="100" t="n">
        <v>1</v>
      </c>
      <c r="BE39" s="100" t="n">
        <v>1</v>
      </c>
      <c r="BF39" s="100" t="n">
        <v>1</v>
      </c>
      <c r="BG39" s="100" t="n">
        <v>1</v>
      </c>
      <c r="BH39" s="100" t="n">
        <v>1</v>
      </c>
    </row>
    <row r="40">
      <c r="A40" s="48" t="inlineStr">
        <is>
          <t>eap-1_6</t>
        </is>
      </c>
      <c r="B40" s="48" t="inlineStr">
        <is>
          <t>Esc/carg/transp 3aCat DMT&lt;=3000m</t>
        </is>
      </c>
      <c r="C40" s="84" t="inlineStr">
        <is>
          <t>m3</t>
        </is>
      </c>
      <c r="D40" s="85" t="n">
        <v>676519.0444</v>
      </c>
      <c r="E40" s="86" t="inlineStr">
        <is>
          <t>Dias Trabalhados</t>
        </is>
      </c>
      <c r="F40" s="88" t="n"/>
      <c r="G40" s="88" t="n"/>
      <c r="H40" s="87" t="n">
        <v>6</v>
      </c>
      <c r="I40" s="87" t="n">
        <v>6</v>
      </c>
      <c r="J40" s="87" t="n">
        <v>6</v>
      </c>
      <c r="K40" s="87" t="n">
        <v>6</v>
      </c>
      <c r="L40" s="87" t="n">
        <v>6</v>
      </c>
      <c r="M40" s="87" t="n">
        <v>6</v>
      </c>
      <c r="N40" s="87" t="n">
        <v>6</v>
      </c>
      <c r="O40" s="87" t="n">
        <v>6</v>
      </c>
      <c r="P40" s="87" t="n">
        <v>6</v>
      </c>
      <c r="Q40" s="87" t="n">
        <v>6</v>
      </c>
      <c r="R40" s="87" t="n">
        <v>6</v>
      </c>
      <c r="S40" s="87" t="n">
        <v>6</v>
      </c>
      <c r="T40" s="87" t="n">
        <v>6</v>
      </c>
      <c r="U40" s="87" t="n">
        <v>6</v>
      </c>
      <c r="V40" s="87" t="n">
        <v>6</v>
      </c>
      <c r="W40" s="87" t="n">
        <v>6</v>
      </c>
      <c r="X40" s="87" t="n">
        <v>6</v>
      </c>
      <c r="Y40" s="87" t="n">
        <v>6</v>
      </c>
      <c r="Z40" s="87" t="n">
        <v>6</v>
      </c>
      <c r="AA40" s="87" t="n">
        <v>6</v>
      </c>
      <c r="AB40" s="87" t="n">
        <v>6</v>
      </c>
      <c r="AC40" s="87" t="n">
        <v>6</v>
      </c>
      <c r="AD40" s="87" t="n">
        <v>6</v>
      </c>
      <c r="AE40" s="87" t="n">
        <v>6</v>
      </c>
      <c r="AF40" s="87" t="n">
        <v>6</v>
      </c>
      <c r="AG40" s="87" t="n">
        <v>6</v>
      </c>
      <c r="AH40" s="87" t="n">
        <v>6</v>
      </c>
      <c r="AI40" s="87" t="n">
        <v>6</v>
      </c>
      <c r="AJ40" s="87" t="n">
        <v>6</v>
      </c>
      <c r="AK40" s="87" t="n">
        <v>6</v>
      </c>
      <c r="AL40" s="87" t="n">
        <v>6</v>
      </c>
      <c r="AM40" s="87" t="n">
        <v>6</v>
      </c>
      <c r="AN40" s="87" t="n">
        <v>6</v>
      </c>
      <c r="AO40" s="87" t="n">
        <v>6</v>
      </c>
      <c r="AP40" s="88" t="n"/>
      <c r="AQ40" s="88" t="n"/>
      <c r="AR40" s="88" t="n"/>
      <c r="AS40" s="88" t="n"/>
      <c r="AT40" s="88" t="n"/>
      <c r="AU40" s="88" t="n"/>
      <c r="AV40" s="88" t="n"/>
      <c r="AW40" s="88" t="n"/>
      <c r="AX40" s="88" t="n"/>
      <c r="AY40" s="88" t="n"/>
      <c r="AZ40" s="88" t="n"/>
      <c r="BA40" s="88" t="n"/>
      <c r="BB40" s="88" t="n"/>
      <c r="BC40" s="88" t="n"/>
      <c r="BD40" s="88" t="n"/>
      <c r="BE40" s="88" t="n"/>
      <c r="BF40" s="88" t="n"/>
      <c r="BG40" s="88" t="n"/>
      <c r="BH40" s="88" t="n"/>
    </row>
    <row r="41">
      <c r="A41" s="43" t="n"/>
      <c r="B41" s="43" t="n"/>
      <c r="C41" s="46" t="n"/>
      <c r="D41" s="44" t="n"/>
      <c r="E41" s="89" t="inlineStr">
        <is>
          <t>Nº De Equipes</t>
        </is>
      </c>
      <c r="F41" s="20" t="n"/>
      <c r="G41" s="20" t="n"/>
      <c r="H41" s="90" t="n">
        <v>3</v>
      </c>
      <c r="I41" s="90" t="n">
        <v>3</v>
      </c>
      <c r="J41" s="90" t="n">
        <v>3</v>
      </c>
      <c r="K41" s="90" t="n">
        <v>3</v>
      </c>
      <c r="L41" s="90" t="n">
        <v>3</v>
      </c>
      <c r="M41" s="90" t="n">
        <v>3</v>
      </c>
      <c r="N41" s="90" t="n">
        <v>3</v>
      </c>
      <c r="O41" s="90" t="n">
        <v>3</v>
      </c>
      <c r="P41" s="90" t="n">
        <v>3</v>
      </c>
      <c r="Q41" s="90" t="n">
        <v>3</v>
      </c>
      <c r="R41" s="90" t="n">
        <v>3</v>
      </c>
      <c r="S41" s="90" t="n">
        <v>3</v>
      </c>
      <c r="T41" s="90" t="n">
        <v>3</v>
      </c>
      <c r="U41" s="90" t="n">
        <v>3</v>
      </c>
      <c r="V41" s="90" t="n">
        <v>3</v>
      </c>
      <c r="W41" s="90" t="n">
        <v>3</v>
      </c>
      <c r="X41" s="90" t="n">
        <v>3</v>
      </c>
      <c r="Y41" s="90" t="n">
        <v>3</v>
      </c>
      <c r="Z41" s="90" t="n">
        <v>3</v>
      </c>
      <c r="AA41" s="90" t="n">
        <v>3</v>
      </c>
      <c r="AB41" s="90" t="n">
        <v>3</v>
      </c>
      <c r="AC41" s="90" t="n">
        <v>3</v>
      </c>
      <c r="AD41" s="90" t="n">
        <v>3</v>
      </c>
      <c r="AE41" s="90" t="n">
        <v>3</v>
      </c>
      <c r="AF41" s="90" t="n">
        <v>3</v>
      </c>
      <c r="AG41" s="90" t="n">
        <v>3</v>
      </c>
      <c r="AH41" s="90" t="n">
        <v>3</v>
      </c>
      <c r="AI41" s="90" t="n">
        <v>3</v>
      </c>
      <c r="AJ41" s="90" t="n">
        <v>3</v>
      </c>
      <c r="AK41" s="90" t="n">
        <v>3</v>
      </c>
      <c r="AL41" s="90" t="n">
        <v>3</v>
      </c>
      <c r="AM41" s="90" t="n">
        <v>3</v>
      </c>
      <c r="AN41" s="90" t="n">
        <v>3</v>
      </c>
      <c r="AO41" s="90" t="n">
        <v>3</v>
      </c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</row>
    <row r="42">
      <c r="A42" s="43" t="n"/>
      <c r="B42" s="43" t="n"/>
      <c r="C42" s="46" t="n"/>
      <c r="D42" s="44" t="n"/>
      <c r="E42" s="89" t="inlineStr">
        <is>
          <t>Qtd. Planejada</t>
        </is>
      </c>
      <c r="F42" s="20" t="n"/>
      <c r="G42" s="20" t="n"/>
      <c r="H42" s="61" t="n">
        <v>20471.04</v>
      </c>
      <c r="I42" s="61" t="n">
        <v>20471.04</v>
      </c>
      <c r="J42" s="61" t="n">
        <v>20471.04</v>
      </c>
      <c r="K42" s="61" t="n">
        <v>20471.04</v>
      </c>
      <c r="L42" s="61" t="n">
        <v>20471.04</v>
      </c>
      <c r="M42" s="61" t="n">
        <v>20471.04</v>
      </c>
      <c r="N42" s="61" t="n">
        <v>20471.04</v>
      </c>
      <c r="O42" s="61" t="n">
        <v>20471.04</v>
      </c>
      <c r="P42" s="61" t="n">
        <v>20471.04</v>
      </c>
      <c r="Q42" s="61" t="n">
        <v>20471.04</v>
      </c>
      <c r="R42" s="61" t="n">
        <v>20471.04</v>
      </c>
      <c r="S42" s="61" t="n">
        <v>20471.04</v>
      </c>
      <c r="T42" s="61" t="n">
        <v>20471.04</v>
      </c>
      <c r="U42" s="61" t="n">
        <v>20471.04</v>
      </c>
      <c r="V42" s="61" t="n">
        <v>20471.04</v>
      </c>
      <c r="W42" s="61" t="n">
        <v>20471.04</v>
      </c>
      <c r="X42" s="61" t="n">
        <v>19105.62</v>
      </c>
      <c r="Y42" s="61" t="n">
        <v>19105.62</v>
      </c>
      <c r="Z42" s="61" t="n">
        <v>19105.62</v>
      </c>
      <c r="AA42" s="61" t="n">
        <v>19105.62</v>
      </c>
      <c r="AB42" s="61" t="n">
        <v>19150.66</v>
      </c>
      <c r="AC42" s="61" t="n">
        <v>19150.66</v>
      </c>
      <c r="AD42" s="61" t="n">
        <v>19150.66</v>
      </c>
      <c r="AE42" s="61" t="n">
        <v>19150.66</v>
      </c>
      <c r="AF42" s="61" t="n">
        <v>19150.66</v>
      </c>
      <c r="AG42" s="61" t="n">
        <v>19150.66</v>
      </c>
      <c r="AH42" s="61" t="n">
        <v>19150.66</v>
      </c>
      <c r="AI42" s="61" t="n">
        <v>19150.66</v>
      </c>
      <c r="AJ42" s="61" t="n">
        <v>19150.66</v>
      </c>
      <c r="AK42" s="61" t="n">
        <v>17169.06</v>
      </c>
      <c r="AL42" s="61" t="n">
        <v>17169.06</v>
      </c>
      <c r="AM42" s="61" t="n">
        <v>17169.06</v>
      </c>
      <c r="AN42" s="61" t="n">
        <v>17169.06</v>
      </c>
      <c r="AO42" s="61" t="n">
        <v>16084.1</v>
      </c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</row>
    <row r="43">
      <c r="A43" s="43" t="n"/>
      <c r="B43" s="43" t="n"/>
      <c r="C43" s="46" t="n"/>
      <c r="D43" s="44" t="n"/>
      <c r="E43" s="89" t="inlineStr">
        <is>
          <t>Qtd Plan. Acumulada</t>
        </is>
      </c>
      <c r="F43" s="20" t="n"/>
      <c r="G43" s="20" t="n"/>
      <c r="H43" s="61" t="n">
        <v>20471.04</v>
      </c>
      <c r="I43" s="61" t="n">
        <v>40942.08</v>
      </c>
      <c r="J43" s="61" t="n">
        <v>61413.12</v>
      </c>
      <c r="K43" s="61" t="n">
        <v>81884.16</v>
      </c>
      <c r="L43" s="61" t="n">
        <v>102355.2</v>
      </c>
      <c r="M43" s="61" t="n">
        <v>122826.24</v>
      </c>
      <c r="N43" s="61" t="n">
        <v>143297.28</v>
      </c>
      <c r="O43" s="61" t="n">
        <v>163768.32</v>
      </c>
      <c r="P43" s="61" t="n">
        <v>184239.36</v>
      </c>
      <c r="Q43" s="61" t="n">
        <v>204710.4</v>
      </c>
      <c r="R43" s="61" t="n">
        <v>225181.44</v>
      </c>
      <c r="S43" s="61" t="n">
        <v>245652.48</v>
      </c>
      <c r="T43" s="61" t="n">
        <v>266123.52</v>
      </c>
      <c r="U43" s="61" t="n">
        <v>286594.56</v>
      </c>
      <c r="V43" s="61" t="n">
        <v>307065.6</v>
      </c>
      <c r="W43" s="61" t="n">
        <v>327536.64</v>
      </c>
      <c r="X43" s="61" t="n">
        <v>346642.26</v>
      </c>
      <c r="Y43" s="61" t="n">
        <v>365747.88</v>
      </c>
      <c r="Z43" s="61" t="n">
        <v>384853.5</v>
      </c>
      <c r="AA43" s="61" t="n">
        <v>403959.12</v>
      </c>
      <c r="AB43" s="61" t="n">
        <v>423109.78</v>
      </c>
      <c r="AC43" s="61" t="n">
        <v>442260.44</v>
      </c>
      <c r="AD43" s="61" t="n">
        <v>461411.1</v>
      </c>
      <c r="AE43" s="61" t="n">
        <v>480561.76</v>
      </c>
      <c r="AF43" s="61" t="n">
        <v>499712.42</v>
      </c>
      <c r="AG43" s="61" t="n">
        <v>518863.08</v>
      </c>
      <c r="AH43" s="61" t="n">
        <v>538013.74</v>
      </c>
      <c r="AI43" s="61" t="n">
        <v>557164.4</v>
      </c>
      <c r="AJ43" s="61" t="n">
        <v>576315.0600000001</v>
      </c>
      <c r="AK43" s="61" t="n">
        <v>593484.12</v>
      </c>
      <c r="AL43" s="61" t="n">
        <v>610653.1800000001</v>
      </c>
      <c r="AM43" s="61" t="n">
        <v>627822.24</v>
      </c>
      <c r="AN43" s="61" t="n">
        <v>644991.3</v>
      </c>
      <c r="AO43" s="61" t="n">
        <v>661075.4</v>
      </c>
      <c r="AP43" s="61" t="n">
        <v>661075.4</v>
      </c>
      <c r="AQ43" s="61" t="n">
        <v>661075.4</v>
      </c>
      <c r="AR43" s="61" t="n">
        <v>661075.4</v>
      </c>
      <c r="AS43" s="61" t="n">
        <v>661075.4</v>
      </c>
      <c r="AT43" s="61" t="n">
        <v>661075.4</v>
      </c>
      <c r="AU43" s="61" t="n">
        <v>661075.4</v>
      </c>
      <c r="AV43" s="61" t="n">
        <v>661075.4</v>
      </c>
      <c r="AW43" s="61" t="n">
        <v>661075.4</v>
      </c>
      <c r="AX43" s="61" t="n">
        <v>661075.4</v>
      </c>
      <c r="AY43" s="61" t="n">
        <v>661075.4</v>
      </c>
      <c r="AZ43" s="61" t="n">
        <v>661075.4</v>
      </c>
      <c r="BA43" s="61" t="n">
        <v>661075.4</v>
      </c>
      <c r="BB43" s="61" t="n">
        <v>661075.4</v>
      </c>
      <c r="BC43" s="61" t="n">
        <v>661075.4</v>
      </c>
      <c r="BD43" s="61" t="n">
        <v>661075.4</v>
      </c>
      <c r="BE43" s="61" t="n">
        <v>661075.4</v>
      </c>
      <c r="BF43" s="61" t="n">
        <v>661075.4</v>
      </c>
      <c r="BG43" s="61" t="n">
        <v>661075.4</v>
      </c>
      <c r="BH43" s="61" t="n">
        <v>661075.4</v>
      </c>
    </row>
    <row r="44">
      <c r="A44" s="43" t="n"/>
      <c r="B44" s="43" t="n"/>
      <c r="C44" s="46" t="n"/>
      <c r="D44" s="44" t="n"/>
      <c r="E44" s="89" t="inlineStr">
        <is>
          <t>% Semanal</t>
        </is>
      </c>
      <c r="F44" s="20" t="n"/>
      <c r="G44" s="20" t="n"/>
      <c r="H44" s="91" t="n">
        <v>0.031</v>
      </c>
      <c r="I44" s="91" t="n">
        <v>0.031</v>
      </c>
      <c r="J44" s="91" t="n">
        <v>0.031</v>
      </c>
      <c r="K44" s="91" t="n">
        <v>0.031</v>
      </c>
      <c r="L44" s="91" t="n">
        <v>0.031</v>
      </c>
      <c r="M44" s="91" t="n">
        <v>0.031</v>
      </c>
      <c r="N44" s="91" t="n">
        <v>0.031</v>
      </c>
      <c r="O44" s="91" t="n">
        <v>0.031</v>
      </c>
      <c r="P44" s="91" t="n">
        <v>0.031</v>
      </c>
      <c r="Q44" s="91" t="n">
        <v>0.031</v>
      </c>
      <c r="R44" s="91" t="n">
        <v>0.031</v>
      </c>
      <c r="S44" s="91" t="n">
        <v>0.031</v>
      </c>
      <c r="T44" s="91" t="n">
        <v>0.031</v>
      </c>
      <c r="U44" s="91" t="n">
        <v>0.031</v>
      </c>
      <c r="V44" s="91" t="n">
        <v>0.031</v>
      </c>
      <c r="W44" s="91" t="n">
        <v>0.031</v>
      </c>
      <c r="X44" s="91" t="n">
        <v>0.0289</v>
      </c>
      <c r="Y44" s="91" t="n">
        <v>0.0289</v>
      </c>
      <c r="Z44" s="91" t="n">
        <v>0.0289</v>
      </c>
      <c r="AA44" s="91" t="n">
        <v>0.0289</v>
      </c>
      <c r="AB44" s="91" t="n">
        <v>0.029</v>
      </c>
      <c r="AC44" s="91" t="n">
        <v>0.029</v>
      </c>
      <c r="AD44" s="91" t="n">
        <v>0.029</v>
      </c>
      <c r="AE44" s="91" t="n">
        <v>0.029</v>
      </c>
      <c r="AF44" s="91" t="n">
        <v>0.029</v>
      </c>
      <c r="AG44" s="91" t="n">
        <v>0.029</v>
      </c>
      <c r="AH44" s="91" t="n">
        <v>0.029</v>
      </c>
      <c r="AI44" s="91" t="n">
        <v>0.029</v>
      </c>
      <c r="AJ44" s="91" t="n">
        <v>0.029</v>
      </c>
      <c r="AK44" s="91" t="n">
        <v>0.026</v>
      </c>
      <c r="AL44" s="91" t="n">
        <v>0.026</v>
      </c>
      <c r="AM44" s="91" t="n">
        <v>0.026</v>
      </c>
      <c r="AN44" s="91" t="n">
        <v>0.026</v>
      </c>
      <c r="AO44" s="91" t="n">
        <v>0.0243</v>
      </c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0" t="n"/>
    </row>
    <row r="45">
      <c r="A45" s="43" t="n"/>
      <c r="B45" s="43" t="n"/>
      <c r="C45" s="46" t="n"/>
      <c r="D45" s="44" t="n"/>
      <c r="E45" s="89" t="inlineStr">
        <is>
          <t>% Acumulado</t>
        </is>
      </c>
      <c r="F45" s="20" t="n"/>
      <c r="G45" s="20" t="n"/>
      <c r="H45" s="91" t="n">
        <v>0.031</v>
      </c>
      <c r="I45" s="91" t="n">
        <v>0.0619</v>
      </c>
      <c r="J45" s="91" t="n">
        <v>0.0929</v>
      </c>
      <c r="K45" s="91" t="n">
        <v>0.1239</v>
      </c>
      <c r="L45" s="91" t="n">
        <v>0.1548</v>
      </c>
      <c r="M45" s="91" t="n">
        <v>0.1858</v>
      </c>
      <c r="N45" s="91" t="n">
        <v>0.2168</v>
      </c>
      <c r="O45" s="91" t="n">
        <v>0.2477</v>
      </c>
      <c r="P45" s="91" t="n">
        <v>0.2787</v>
      </c>
      <c r="Q45" s="91" t="n">
        <v>0.3097</v>
      </c>
      <c r="R45" s="91" t="n">
        <v>0.3406</v>
      </c>
      <c r="S45" s="91" t="n">
        <v>0.3716</v>
      </c>
      <c r="T45" s="91" t="n">
        <v>0.4026</v>
      </c>
      <c r="U45" s="91" t="n">
        <v>0.4335</v>
      </c>
      <c r="V45" s="91" t="n">
        <v>0.4645</v>
      </c>
      <c r="W45" s="91" t="n">
        <v>0.4955</v>
      </c>
      <c r="X45" s="91" t="n">
        <v>0.5244</v>
      </c>
      <c r="Y45" s="91" t="n">
        <v>0.5533</v>
      </c>
      <c r="Z45" s="91" t="n">
        <v>0.5822000000000001</v>
      </c>
      <c r="AA45" s="91" t="n">
        <v>0.6111</v>
      </c>
      <c r="AB45" s="91" t="n">
        <v>0.64</v>
      </c>
      <c r="AC45" s="91" t="n">
        <v>0.669</v>
      </c>
      <c r="AD45" s="91" t="n">
        <v>0.698</v>
      </c>
      <c r="AE45" s="91" t="n">
        <v>0.7269</v>
      </c>
      <c r="AF45" s="91" t="n">
        <v>0.7559</v>
      </c>
      <c r="AG45" s="91" t="n">
        <v>0.7849</v>
      </c>
      <c r="AH45" s="91" t="n">
        <v>0.8138</v>
      </c>
      <c r="AI45" s="91" t="n">
        <v>0.8428</v>
      </c>
      <c r="AJ45" s="91" t="n">
        <v>0.8718</v>
      </c>
      <c r="AK45" s="91" t="n">
        <v>0.8978</v>
      </c>
      <c r="AL45" s="91" t="n">
        <v>0.9237</v>
      </c>
      <c r="AM45" s="91" t="n">
        <v>0.9497</v>
      </c>
      <c r="AN45" s="91" t="n">
        <v>0.9757</v>
      </c>
      <c r="AO45" s="91" t="n">
        <v>1</v>
      </c>
      <c r="AP45" s="91" t="n">
        <v>1</v>
      </c>
      <c r="AQ45" s="91" t="n">
        <v>1</v>
      </c>
      <c r="AR45" s="91" t="n">
        <v>1</v>
      </c>
      <c r="AS45" s="91" t="n">
        <v>1</v>
      </c>
      <c r="AT45" s="91" t="n">
        <v>1</v>
      </c>
      <c r="AU45" s="91" t="n">
        <v>1</v>
      </c>
      <c r="AV45" s="91" t="n">
        <v>1</v>
      </c>
      <c r="AW45" s="91" t="n">
        <v>1</v>
      </c>
      <c r="AX45" s="91" t="n">
        <v>1</v>
      </c>
      <c r="AY45" s="91" t="n">
        <v>1</v>
      </c>
      <c r="AZ45" s="91" t="n">
        <v>1</v>
      </c>
      <c r="BA45" s="91" t="n">
        <v>1</v>
      </c>
      <c r="BB45" s="91" t="n">
        <v>1</v>
      </c>
      <c r="BC45" s="91" t="n">
        <v>1</v>
      </c>
      <c r="BD45" s="91" t="n">
        <v>1</v>
      </c>
      <c r="BE45" s="91" t="n">
        <v>1</v>
      </c>
      <c r="BF45" s="91" t="n">
        <v>1</v>
      </c>
      <c r="BG45" s="91" t="n">
        <v>1</v>
      </c>
      <c r="BH45" s="91" t="n">
        <v>1</v>
      </c>
    </row>
    <row r="46">
      <c r="A46" s="92" t="inlineStr">
        <is>
          <t>eap-1_7</t>
        </is>
      </c>
      <c r="B46" s="92" t="inlineStr">
        <is>
          <t>Compactacao aterros 100% Proctor Normal</t>
        </is>
      </c>
      <c r="C46" s="93" t="inlineStr">
        <is>
          <t>m3</t>
        </is>
      </c>
      <c r="D46" s="94" t="n">
        <v>1135635.3</v>
      </c>
      <c r="E46" s="95" t="inlineStr">
        <is>
          <t>Dias Trabalhados</t>
        </is>
      </c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7" t="n">
        <v>6</v>
      </c>
      <c r="T46" s="97" t="n">
        <v>6</v>
      </c>
      <c r="U46" s="97" t="n">
        <v>6</v>
      </c>
      <c r="V46" s="97" t="n">
        <v>6</v>
      </c>
      <c r="W46" s="97" t="n">
        <v>6</v>
      </c>
      <c r="X46" s="97" t="n">
        <v>6</v>
      </c>
      <c r="Y46" s="97" t="n">
        <v>6</v>
      </c>
      <c r="Z46" s="97" t="n">
        <v>6</v>
      </c>
      <c r="AA46" s="97" t="n">
        <v>6</v>
      </c>
      <c r="AB46" s="97" t="n">
        <v>6</v>
      </c>
      <c r="AC46" s="97" t="n">
        <v>6</v>
      </c>
      <c r="AD46" s="97" t="n">
        <v>6</v>
      </c>
      <c r="AE46" s="97" t="n">
        <v>6</v>
      </c>
      <c r="AF46" s="97" t="n">
        <v>6</v>
      </c>
      <c r="AG46" s="97" t="n">
        <v>6</v>
      </c>
      <c r="AH46" s="97" t="n">
        <v>6</v>
      </c>
      <c r="AI46" s="97" t="n">
        <v>6</v>
      </c>
      <c r="AJ46" s="97" t="n">
        <v>6</v>
      </c>
      <c r="AK46" s="97" t="n">
        <v>6</v>
      </c>
      <c r="AL46" s="97" t="n">
        <v>6</v>
      </c>
      <c r="AM46" s="97" t="n">
        <v>6</v>
      </c>
      <c r="AN46" s="97" t="n">
        <v>6</v>
      </c>
      <c r="AO46" s="97" t="n">
        <v>6</v>
      </c>
      <c r="AP46" s="97" t="n">
        <v>6</v>
      </c>
      <c r="AQ46" s="97" t="n">
        <v>6</v>
      </c>
      <c r="AR46" s="97" t="n">
        <v>6</v>
      </c>
      <c r="AS46" s="97" t="n">
        <v>6</v>
      </c>
      <c r="AT46" s="97" t="n">
        <v>6</v>
      </c>
      <c r="AU46" s="97" t="n">
        <v>6</v>
      </c>
      <c r="AV46" s="97" t="n">
        <v>6</v>
      </c>
      <c r="AW46" s="97" t="n">
        <v>6</v>
      </c>
      <c r="AX46" s="97" t="n">
        <v>6</v>
      </c>
      <c r="AY46" s="97" t="n">
        <v>6</v>
      </c>
      <c r="AZ46" s="97" t="n">
        <v>6</v>
      </c>
      <c r="BA46" s="97" t="n">
        <v>6</v>
      </c>
      <c r="BB46" s="96" t="n"/>
      <c r="BC46" s="96" t="n"/>
      <c r="BD46" s="96" t="n"/>
      <c r="BE46" s="96" t="n"/>
      <c r="BF46" s="96" t="n"/>
      <c r="BG46" s="96" t="n"/>
      <c r="BH46" s="96" t="n"/>
    </row>
    <row r="47">
      <c r="A47" s="52" t="n"/>
      <c r="B47" s="52" t="n"/>
      <c r="C47" s="55" t="n"/>
      <c r="D47" s="53" t="n"/>
      <c r="E47" s="98" t="inlineStr">
        <is>
          <t>Nº De Equipes</t>
        </is>
      </c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99" t="n">
        <v>4</v>
      </c>
      <c r="T47" s="99" t="n">
        <v>4</v>
      </c>
      <c r="U47" s="99" t="n">
        <v>4</v>
      </c>
      <c r="V47" s="99" t="n">
        <v>4</v>
      </c>
      <c r="W47" s="99" t="n">
        <v>4</v>
      </c>
      <c r="X47" s="99" t="n">
        <v>4</v>
      </c>
      <c r="Y47" s="99" t="n">
        <v>4</v>
      </c>
      <c r="Z47" s="99" t="n">
        <v>4</v>
      </c>
      <c r="AA47" s="99" t="n">
        <v>4</v>
      </c>
      <c r="AB47" s="99" t="n">
        <v>4</v>
      </c>
      <c r="AC47" s="99" t="n">
        <v>4</v>
      </c>
      <c r="AD47" s="99" t="n">
        <v>4</v>
      </c>
      <c r="AE47" s="99" t="n">
        <v>4</v>
      </c>
      <c r="AF47" s="99" t="n">
        <v>4</v>
      </c>
      <c r="AG47" s="99" t="n">
        <v>4</v>
      </c>
      <c r="AH47" s="99" t="n">
        <v>4</v>
      </c>
      <c r="AI47" s="99" t="n">
        <v>4</v>
      </c>
      <c r="AJ47" s="99" t="n">
        <v>4</v>
      </c>
      <c r="AK47" s="99" t="n">
        <v>4</v>
      </c>
      <c r="AL47" s="99" t="n">
        <v>4</v>
      </c>
      <c r="AM47" s="99" t="n">
        <v>4</v>
      </c>
      <c r="AN47" s="99" t="n">
        <v>4</v>
      </c>
      <c r="AO47" s="99" t="n">
        <v>4</v>
      </c>
      <c r="AP47" s="99" t="n">
        <v>4</v>
      </c>
      <c r="AQ47" s="99" t="n">
        <v>4</v>
      </c>
      <c r="AR47" s="99" t="n">
        <v>4</v>
      </c>
      <c r="AS47" s="99" t="n">
        <v>4</v>
      </c>
      <c r="AT47" s="99" t="n">
        <v>4</v>
      </c>
      <c r="AU47" s="99" t="n">
        <v>4</v>
      </c>
      <c r="AV47" s="99" t="n">
        <v>4</v>
      </c>
      <c r="AW47" s="99" t="n">
        <v>4</v>
      </c>
      <c r="AX47" s="99" t="n">
        <v>4</v>
      </c>
      <c r="AY47" s="99" t="n">
        <v>4</v>
      </c>
      <c r="AZ47" s="99" t="n">
        <v>4</v>
      </c>
      <c r="BA47" s="99" t="n">
        <v>4</v>
      </c>
      <c r="BB47" s="23" t="n"/>
      <c r="BC47" s="23" t="n"/>
      <c r="BD47" s="23" t="n"/>
      <c r="BE47" s="23" t="n"/>
      <c r="BF47" s="23" t="n"/>
      <c r="BG47" s="23" t="n"/>
      <c r="BH47" s="23" t="n"/>
    </row>
    <row r="48">
      <c r="A48" s="52" t="n"/>
      <c r="B48" s="52" t="n"/>
      <c r="C48" s="55" t="n"/>
      <c r="D48" s="53" t="n"/>
      <c r="E48" s="98" t="inlineStr">
        <is>
          <t>Qtd. Planejada</t>
        </is>
      </c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64" t="n">
        <v>33217.92</v>
      </c>
      <c r="T48" s="64" t="n">
        <v>33217.92</v>
      </c>
      <c r="U48" s="64" t="n">
        <v>33217.92</v>
      </c>
      <c r="V48" s="64" t="n">
        <v>33217.92</v>
      </c>
      <c r="W48" s="64" t="n">
        <v>33217.92</v>
      </c>
      <c r="X48" s="64" t="n">
        <v>31002.28</v>
      </c>
      <c r="Y48" s="64" t="n">
        <v>31002.28</v>
      </c>
      <c r="Z48" s="64" t="n">
        <v>31002.28</v>
      </c>
      <c r="AA48" s="64" t="n">
        <v>31002.28</v>
      </c>
      <c r="AB48" s="64" t="n">
        <v>31075.36</v>
      </c>
      <c r="AC48" s="64" t="n">
        <v>31075.36</v>
      </c>
      <c r="AD48" s="64" t="n">
        <v>31075.36</v>
      </c>
      <c r="AE48" s="64" t="n">
        <v>31075.36</v>
      </c>
      <c r="AF48" s="64" t="n">
        <v>31075.36</v>
      </c>
      <c r="AG48" s="64" t="n">
        <v>31075.36</v>
      </c>
      <c r="AH48" s="64" t="n">
        <v>31075.36</v>
      </c>
      <c r="AI48" s="64" t="n">
        <v>31075.36</v>
      </c>
      <c r="AJ48" s="64" t="n">
        <v>31075.36</v>
      </c>
      <c r="AK48" s="64" t="n">
        <v>27859.87</v>
      </c>
      <c r="AL48" s="64" t="n">
        <v>27859.87</v>
      </c>
      <c r="AM48" s="64" t="n">
        <v>27859.87</v>
      </c>
      <c r="AN48" s="64" t="n">
        <v>27859.87</v>
      </c>
      <c r="AO48" s="64" t="n">
        <v>26099.32</v>
      </c>
      <c r="AP48" s="64" t="n">
        <v>26099.32</v>
      </c>
      <c r="AQ48" s="64" t="n">
        <v>26099.32</v>
      </c>
      <c r="AR48" s="64" t="n">
        <v>26099.32</v>
      </c>
      <c r="AS48" s="64" t="n">
        <v>20359.26</v>
      </c>
      <c r="AT48" s="64" t="n">
        <v>20359.26</v>
      </c>
      <c r="AU48" s="64" t="n">
        <v>20359.26</v>
      </c>
      <c r="AV48" s="64" t="n">
        <v>20359.26</v>
      </c>
      <c r="AW48" s="64" t="n">
        <v>29896.13</v>
      </c>
      <c r="AX48" s="64" t="n">
        <v>29896.13</v>
      </c>
      <c r="AY48" s="64" t="n">
        <v>29896.13</v>
      </c>
      <c r="AZ48" s="64" t="n">
        <v>29896.13</v>
      </c>
      <c r="BA48" s="64" t="n">
        <v>28932.81</v>
      </c>
      <c r="BB48" s="23" t="n"/>
      <c r="BC48" s="23" t="n"/>
      <c r="BD48" s="23" t="n"/>
      <c r="BE48" s="23" t="n"/>
      <c r="BF48" s="23" t="n"/>
      <c r="BG48" s="23" t="n"/>
      <c r="BH48" s="23" t="n"/>
    </row>
    <row r="49">
      <c r="A49" s="52" t="n"/>
      <c r="B49" s="52" t="n"/>
      <c r="C49" s="55" t="n"/>
      <c r="D49" s="53" t="n"/>
      <c r="E49" s="98" t="inlineStr">
        <is>
          <t>Qtd Plan. Acumulada</t>
        </is>
      </c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64" t="n">
        <v>33217.92</v>
      </c>
      <c r="T49" s="64" t="n">
        <v>66435.84</v>
      </c>
      <c r="U49" s="64" t="n">
        <v>99653.75999999999</v>
      </c>
      <c r="V49" s="64" t="n">
        <v>132871.68</v>
      </c>
      <c r="W49" s="64" t="n">
        <v>166089.6</v>
      </c>
      <c r="X49" s="64" t="n">
        <v>197091.88</v>
      </c>
      <c r="Y49" s="64" t="n">
        <v>228094.16</v>
      </c>
      <c r="Z49" s="64" t="n">
        <v>259096.44</v>
      </c>
      <c r="AA49" s="64" t="n">
        <v>290098.72</v>
      </c>
      <c r="AB49" s="64" t="n">
        <v>321174.08</v>
      </c>
      <c r="AC49" s="64" t="n">
        <v>352249.44</v>
      </c>
      <c r="AD49" s="64" t="n">
        <v>383324.8</v>
      </c>
      <c r="AE49" s="64" t="n">
        <v>414400.16</v>
      </c>
      <c r="AF49" s="64" t="n">
        <v>445475.52</v>
      </c>
      <c r="AG49" s="64" t="n">
        <v>476550.88</v>
      </c>
      <c r="AH49" s="64" t="n">
        <v>507626.24</v>
      </c>
      <c r="AI49" s="64" t="n">
        <v>538701.6</v>
      </c>
      <c r="AJ49" s="64" t="n">
        <v>569776.96</v>
      </c>
      <c r="AK49" s="64" t="n">
        <v>597636.83</v>
      </c>
      <c r="AL49" s="64" t="n">
        <v>625496.7</v>
      </c>
      <c r="AM49" s="64" t="n">
        <v>653356.5699999999</v>
      </c>
      <c r="AN49" s="64" t="n">
        <v>681216.4399999999</v>
      </c>
      <c r="AO49" s="64" t="n">
        <v>707315.76</v>
      </c>
      <c r="AP49" s="64" t="n">
        <v>733415.08</v>
      </c>
      <c r="AQ49" s="64" t="n">
        <v>759514.4</v>
      </c>
      <c r="AR49" s="64" t="n">
        <v>785613.72</v>
      </c>
      <c r="AS49" s="64" t="n">
        <v>805972.98</v>
      </c>
      <c r="AT49" s="64" t="n">
        <v>826332.24</v>
      </c>
      <c r="AU49" s="64" t="n">
        <v>846691.5</v>
      </c>
      <c r="AV49" s="64" t="n">
        <v>867050.76</v>
      </c>
      <c r="AW49" s="64" t="n">
        <v>896946.89</v>
      </c>
      <c r="AX49" s="64" t="n">
        <v>926843.02</v>
      </c>
      <c r="AY49" s="64" t="n">
        <v>956739.15</v>
      </c>
      <c r="AZ49" s="64" t="n">
        <v>986635.28</v>
      </c>
      <c r="BA49" s="64" t="n">
        <v>1015568.09</v>
      </c>
      <c r="BB49" s="64" t="n">
        <v>1015568.09</v>
      </c>
      <c r="BC49" s="64" t="n">
        <v>1015568.09</v>
      </c>
      <c r="BD49" s="64" t="n">
        <v>1015568.09</v>
      </c>
      <c r="BE49" s="64" t="n">
        <v>1015568.09</v>
      </c>
      <c r="BF49" s="64" t="n">
        <v>1015568.09</v>
      </c>
      <c r="BG49" s="64" t="n">
        <v>1015568.09</v>
      </c>
      <c r="BH49" s="64" t="n">
        <v>1015568.09</v>
      </c>
    </row>
    <row r="50">
      <c r="A50" s="52" t="n"/>
      <c r="B50" s="52" t="n"/>
      <c r="C50" s="55" t="n"/>
      <c r="D50" s="53" t="n"/>
      <c r="E50" s="98" t="inlineStr">
        <is>
          <t>% Semanal</t>
        </is>
      </c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100" t="n">
        <v>0.0327</v>
      </c>
      <c r="T50" s="100" t="n">
        <v>0.0327</v>
      </c>
      <c r="U50" s="100" t="n">
        <v>0.0327</v>
      </c>
      <c r="V50" s="100" t="n">
        <v>0.0327</v>
      </c>
      <c r="W50" s="100" t="n">
        <v>0.0327</v>
      </c>
      <c r="X50" s="100" t="n">
        <v>0.0305</v>
      </c>
      <c r="Y50" s="100" t="n">
        <v>0.0305</v>
      </c>
      <c r="Z50" s="100" t="n">
        <v>0.0305</v>
      </c>
      <c r="AA50" s="100" t="n">
        <v>0.0305</v>
      </c>
      <c r="AB50" s="100" t="n">
        <v>0.0306</v>
      </c>
      <c r="AC50" s="100" t="n">
        <v>0.0306</v>
      </c>
      <c r="AD50" s="100" t="n">
        <v>0.0306</v>
      </c>
      <c r="AE50" s="100" t="n">
        <v>0.0306</v>
      </c>
      <c r="AF50" s="100" t="n">
        <v>0.0306</v>
      </c>
      <c r="AG50" s="100" t="n">
        <v>0.0306</v>
      </c>
      <c r="AH50" s="100" t="n">
        <v>0.0306</v>
      </c>
      <c r="AI50" s="100" t="n">
        <v>0.0306</v>
      </c>
      <c r="AJ50" s="100" t="n">
        <v>0.0306</v>
      </c>
      <c r="AK50" s="100" t="n">
        <v>0.0274</v>
      </c>
      <c r="AL50" s="100" t="n">
        <v>0.0274</v>
      </c>
      <c r="AM50" s="100" t="n">
        <v>0.0274</v>
      </c>
      <c r="AN50" s="100" t="n">
        <v>0.0274</v>
      </c>
      <c r="AO50" s="100" t="n">
        <v>0.0257</v>
      </c>
      <c r="AP50" s="100" t="n">
        <v>0.0257</v>
      </c>
      <c r="AQ50" s="100" t="n">
        <v>0.0257</v>
      </c>
      <c r="AR50" s="100" t="n">
        <v>0.0257</v>
      </c>
      <c r="AS50" s="100" t="n">
        <v>0.02</v>
      </c>
      <c r="AT50" s="100" t="n">
        <v>0.02</v>
      </c>
      <c r="AU50" s="100" t="n">
        <v>0.02</v>
      </c>
      <c r="AV50" s="100" t="n">
        <v>0.02</v>
      </c>
      <c r="AW50" s="100" t="n">
        <v>0.0294</v>
      </c>
      <c r="AX50" s="100" t="n">
        <v>0.0294</v>
      </c>
      <c r="AY50" s="100" t="n">
        <v>0.0294</v>
      </c>
      <c r="AZ50" s="100" t="n">
        <v>0.0294</v>
      </c>
      <c r="BA50" s="100" t="n">
        <v>0.0285</v>
      </c>
      <c r="BB50" s="23" t="n"/>
      <c r="BC50" s="23" t="n"/>
      <c r="BD50" s="23" t="n"/>
      <c r="BE50" s="23" t="n"/>
      <c r="BF50" s="23" t="n"/>
      <c r="BG50" s="23" t="n"/>
      <c r="BH50" s="23" t="n"/>
    </row>
    <row r="51">
      <c r="A51" s="52" t="n"/>
      <c r="B51" s="52" t="n"/>
      <c r="C51" s="55" t="n"/>
      <c r="D51" s="53" t="n"/>
      <c r="E51" s="98" t="inlineStr">
        <is>
          <t>% Acumulado</t>
        </is>
      </c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100" t="n">
        <v>0.0327</v>
      </c>
      <c r="T51" s="100" t="n">
        <v>0.0654</v>
      </c>
      <c r="U51" s="100" t="n">
        <v>0.09810000000000001</v>
      </c>
      <c r="V51" s="100" t="n">
        <v>0.1308</v>
      </c>
      <c r="W51" s="100" t="n">
        <v>0.1635</v>
      </c>
      <c r="X51" s="100" t="n">
        <v>0.1941</v>
      </c>
      <c r="Y51" s="100" t="n">
        <v>0.2246</v>
      </c>
      <c r="Z51" s="100" t="n">
        <v>0.2551</v>
      </c>
      <c r="AA51" s="100" t="n">
        <v>0.2857</v>
      </c>
      <c r="AB51" s="100" t="n">
        <v>0.3163</v>
      </c>
      <c r="AC51" s="100" t="n">
        <v>0.3468</v>
      </c>
      <c r="AD51" s="100" t="n">
        <v>0.3774</v>
      </c>
      <c r="AE51" s="100" t="n">
        <v>0.408</v>
      </c>
      <c r="AF51" s="100" t="n">
        <v>0.4386</v>
      </c>
      <c r="AG51" s="100" t="n">
        <v>0.4692</v>
      </c>
      <c r="AH51" s="100" t="n">
        <v>0.4998</v>
      </c>
      <c r="AI51" s="100" t="n">
        <v>0.5304</v>
      </c>
      <c r="AJ51" s="100" t="n">
        <v>0.5610000000000001</v>
      </c>
      <c r="AK51" s="100" t="n">
        <v>0.5885</v>
      </c>
      <c r="AL51" s="100" t="n">
        <v>0.6159</v>
      </c>
      <c r="AM51" s="100" t="n">
        <v>0.6433</v>
      </c>
      <c r="AN51" s="100" t="n">
        <v>0.6708</v>
      </c>
      <c r="AO51" s="100" t="n">
        <v>0.6965</v>
      </c>
      <c r="AP51" s="100" t="n">
        <v>0.7222</v>
      </c>
      <c r="AQ51" s="100" t="n">
        <v>0.7479</v>
      </c>
      <c r="AR51" s="100" t="n">
        <v>0.7736</v>
      </c>
      <c r="AS51" s="100" t="n">
        <v>0.7936</v>
      </c>
      <c r="AT51" s="100" t="n">
        <v>0.8137</v>
      </c>
      <c r="AU51" s="100" t="n">
        <v>0.8337</v>
      </c>
      <c r="AV51" s="100" t="n">
        <v>0.8538</v>
      </c>
      <c r="AW51" s="100" t="n">
        <v>0.8832</v>
      </c>
      <c r="AX51" s="100" t="n">
        <v>0.9126</v>
      </c>
      <c r="AY51" s="100" t="n">
        <v>0.9421</v>
      </c>
      <c r="AZ51" s="100" t="n">
        <v>0.9715</v>
      </c>
      <c r="BA51" s="100" t="n">
        <v>1</v>
      </c>
      <c r="BB51" s="100" t="n">
        <v>1</v>
      </c>
      <c r="BC51" s="100" t="n">
        <v>1</v>
      </c>
      <c r="BD51" s="100" t="n">
        <v>1</v>
      </c>
      <c r="BE51" s="100" t="n">
        <v>1</v>
      </c>
      <c r="BF51" s="100" t="n">
        <v>1</v>
      </c>
      <c r="BG51" s="100" t="n">
        <v>1</v>
      </c>
      <c r="BH51" s="100" t="n">
        <v>1</v>
      </c>
    </row>
    <row r="52">
      <c r="A52" s="48" t="inlineStr">
        <is>
          <t>eap-1_8</t>
        </is>
      </c>
      <c r="B52" s="48" t="inlineStr">
        <is>
          <t>Compactacao aterros 100% Proctor Intermediario</t>
        </is>
      </c>
      <c r="C52" s="84" t="inlineStr">
        <is>
          <t>m3</t>
        </is>
      </c>
      <c r="D52" s="85" t="n">
        <v>29411</v>
      </c>
      <c r="E52" s="86" t="inlineStr">
        <is>
          <t>Dias Trabalhados</t>
        </is>
      </c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8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N52" s="88" t="n"/>
      <c r="AO52" s="88" t="n"/>
      <c r="AP52" s="88" t="n"/>
      <c r="AQ52" s="88" t="n"/>
      <c r="AR52" s="88" t="n"/>
      <c r="AS52" s="88" t="n"/>
      <c r="AT52" s="88" t="n"/>
      <c r="AU52" s="88" t="n"/>
      <c r="AV52" s="88" t="n"/>
      <c r="AW52" s="88" t="n"/>
      <c r="AX52" s="88" t="n"/>
      <c r="AY52" s="88" t="n"/>
      <c r="AZ52" s="88" t="n"/>
      <c r="BA52" s="88" t="n"/>
      <c r="BB52" s="87" t="n">
        <v>6</v>
      </c>
      <c r="BC52" s="87" t="n">
        <v>6</v>
      </c>
      <c r="BD52" s="87" t="n">
        <v>6</v>
      </c>
      <c r="BE52" s="88" t="n"/>
      <c r="BF52" s="88" t="n"/>
      <c r="BG52" s="88" t="n"/>
      <c r="BH52" s="88" t="n"/>
    </row>
    <row r="53">
      <c r="A53" s="43" t="n"/>
      <c r="B53" s="43" t="n"/>
      <c r="C53" s="46" t="n"/>
      <c r="D53" s="44" t="n"/>
      <c r="E53" s="89" t="inlineStr">
        <is>
          <t>Nº De Equipes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90" t="n">
        <v>1</v>
      </c>
      <c r="BC53" s="90" t="n">
        <v>1</v>
      </c>
      <c r="BD53" s="90" t="n">
        <v>1</v>
      </c>
      <c r="BE53" s="20" t="n"/>
      <c r="BF53" s="20" t="n"/>
      <c r="BG53" s="20" t="n"/>
      <c r="BH53" s="20" t="n"/>
    </row>
    <row r="54">
      <c r="A54" s="43" t="n"/>
      <c r="B54" s="43" t="n"/>
      <c r="C54" s="46" t="n"/>
      <c r="D54" s="44" t="n"/>
      <c r="E54" s="89" t="inlineStr">
        <is>
          <t>Qtd. Planejada</t>
        </is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61" t="n">
        <v>5532.03</v>
      </c>
      <c r="BC54" s="61" t="n">
        <v>5532.03</v>
      </c>
      <c r="BD54" s="61" t="n">
        <v>5532.03</v>
      </c>
      <c r="BE54" s="20" t="n"/>
      <c r="BF54" s="20" t="n"/>
      <c r="BG54" s="20" t="n"/>
      <c r="BH54" s="20" t="n"/>
    </row>
    <row r="55">
      <c r="A55" s="43" t="n"/>
      <c r="B55" s="43" t="n"/>
      <c r="C55" s="46" t="n"/>
      <c r="D55" s="44" t="n"/>
      <c r="E55" s="89" t="inlineStr">
        <is>
          <t>Qtd Plan. Acumulada</t>
        </is>
      </c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61" t="n">
        <v>5532.03</v>
      </c>
      <c r="BC55" s="61" t="n">
        <v>11064.06</v>
      </c>
      <c r="BD55" s="61" t="n">
        <v>16596.09</v>
      </c>
      <c r="BE55" s="61" t="n">
        <v>16596.09</v>
      </c>
      <c r="BF55" s="61" t="n">
        <v>16596.09</v>
      </c>
      <c r="BG55" s="61" t="n">
        <v>16596.09</v>
      </c>
      <c r="BH55" s="61" t="n">
        <v>16596.09</v>
      </c>
    </row>
    <row r="56">
      <c r="A56" s="43" t="n"/>
      <c r="B56" s="43" t="n"/>
      <c r="C56" s="46" t="n"/>
      <c r="D56" s="44" t="n"/>
      <c r="E56" s="89" t="inlineStr">
        <is>
          <t>% Semanal</t>
        </is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91" t="n">
        <v>0.3333</v>
      </c>
      <c r="BC56" s="91" t="n">
        <v>0.3333</v>
      </c>
      <c r="BD56" s="91" t="n">
        <v>0.3333</v>
      </c>
      <c r="BE56" s="20" t="n"/>
      <c r="BF56" s="20" t="n"/>
      <c r="BG56" s="20" t="n"/>
      <c r="BH56" s="20" t="n"/>
    </row>
    <row r="57">
      <c r="A57" s="43" t="n"/>
      <c r="B57" s="43" t="n"/>
      <c r="C57" s="46" t="n"/>
      <c r="D57" s="44" t="n"/>
      <c r="E57" s="89" t="inlineStr">
        <is>
          <t>% Acumulado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91" t="n">
        <v>0.3333</v>
      </c>
      <c r="BC57" s="91" t="n">
        <v>0.6667</v>
      </c>
      <c r="BD57" s="91" t="n">
        <v>1</v>
      </c>
      <c r="BE57" s="91" t="n">
        <v>1</v>
      </c>
      <c r="BF57" s="91" t="n">
        <v>1</v>
      </c>
      <c r="BG57" s="91" t="n">
        <v>1</v>
      </c>
      <c r="BH57" s="91" t="n">
        <v>1</v>
      </c>
    </row>
    <row r="58">
      <c r="A58" s="92" t="inlineStr">
        <is>
          <t>eap-1_9</t>
        </is>
      </c>
      <c r="B58" s="92" t="inlineStr">
        <is>
          <t>Construcao corpo aterro material 3a categoria</t>
        </is>
      </c>
      <c r="C58" s="93" t="inlineStr">
        <is>
          <t>m3</t>
        </is>
      </c>
      <c r="D58" s="94" t="n">
        <v>981153.5</v>
      </c>
      <c r="E58" s="95" t="inlineStr">
        <is>
          <t>Dias Trabalhados</t>
        </is>
      </c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7" t="n">
        <v>6</v>
      </c>
      <c r="AB58" s="97" t="n">
        <v>6</v>
      </c>
      <c r="AC58" s="97" t="n">
        <v>6</v>
      </c>
      <c r="AD58" s="97" t="n">
        <v>6</v>
      </c>
      <c r="AE58" s="97" t="n">
        <v>6</v>
      </c>
      <c r="AF58" s="97" t="n">
        <v>6</v>
      </c>
      <c r="AG58" s="97" t="n">
        <v>6</v>
      </c>
      <c r="AH58" s="97" t="n">
        <v>6</v>
      </c>
      <c r="AI58" s="97" t="n">
        <v>6</v>
      </c>
      <c r="AJ58" s="97" t="n">
        <v>6</v>
      </c>
      <c r="AK58" s="97" t="n">
        <v>6</v>
      </c>
      <c r="AL58" s="97" t="n">
        <v>6</v>
      </c>
      <c r="AM58" s="97" t="n">
        <v>6</v>
      </c>
      <c r="AN58" s="97" t="n">
        <v>6</v>
      </c>
      <c r="AO58" s="97" t="n">
        <v>6</v>
      </c>
      <c r="AP58" s="97" t="n">
        <v>6</v>
      </c>
      <c r="AQ58" s="97" t="n">
        <v>6</v>
      </c>
      <c r="AR58" s="97" t="n">
        <v>6</v>
      </c>
      <c r="AS58" s="97" t="n">
        <v>6</v>
      </c>
      <c r="AT58" s="97" t="n">
        <v>6</v>
      </c>
      <c r="AU58" s="97" t="n">
        <v>6</v>
      </c>
      <c r="AV58" s="97" t="n">
        <v>6</v>
      </c>
      <c r="AW58" s="97" t="n">
        <v>6</v>
      </c>
      <c r="AX58" s="97" t="n">
        <v>6</v>
      </c>
      <c r="AY58" s="97" t="n">
        <v>6</v>
      </c>
      <c r="AZ58" s="97" t="n">
        <v>6</v>
      </c>
      <c r="BA58" s="97" t="n">
        <v>6</v>
      </c>
      <c r="BB58" s="97" t="n">
        <v>6</v>
      </c>
      <c r="BC58" s="97" t="n">
        <v>6</v>
      </c>
      <c r="BD58" s="97" t="n">
        <v>6</v>
      </c>
      <c r="BE58" s="97" t="n">
        <v>6</v>
      </c>
      <c r="BF58" s="97" t="n">
        <v>6</v>
      </c>
      <c r="BG58" s="96" t="n"/>
      <c r="BH58" s="96" t="n"/>
    </row>
    <row r="59">
      <c r="A59" s="52" t="n"/>
      <c r="B59" s="52" t="n"/>
      <c r="C59" s="55" t="n"/>
      <c r="D59" s="53" t="n"/>
      <c r="E59" s="98" t="inlineStr">
        <is>
          <t>Nº De Equipes</t>
        </is>
      </c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99" t="n">
        <v>3</v>
      </c>
      <c r="AB59" s="99" t="n">
        <v>3</v>
      </c>
      <c r="AC59" s="99" t="n">
        <v>3</v>
      </c>
      <c r="AD59" s="99" t="n">
        <v>3</v>
      </c>
      <c r="AE59" s="99" t="n">
        <v>3</v>
      </c>
      <c r="AF59" s="99" t="n">
        <v>3</v>
      </c>
      <c r="AG59" s="99" t="n">
        <v>3</v>
      </c>
      <c r="AH59" s="99" t="n">
        <v>3</v>
      </c>
      <c r="AI59" s="99" t="n">
        <v>3</v>
      </c>
      <c r="AJ59" s="99" t="n">
        <v>3</v>
      </c>
      <c r="AK59" s="99" t="n">
        <v>3</v>
      </c>
      <c r="AL59" s="99" t="n">
        <v>3</v>
      </c>
      <c r="AM59" s="99" t="n">
        <v>3</v>
      </c>
      <c r="AN59" s="99" t="n">
        <v>3</v>
      </c>
      <c r="AO59" s="99" t="n">
        <v>3</v>
      </c>
      <c r="AP59" s="99" t="n">
        <v>3</v>
      </c>
      <c r="AQ59" s="99" t="n">
        <v>3</v>
      </c>
      <c r="AR59" s="99" t="n">
        <v>3</v>
      </c>
      <c r="AS59" s="99" t="n">
        <v>3</v>
      </c>
      <c r="AT59" s="99" t="n">
        <v>3</v>
      </c>
      <c r="AU59" s="99" t="n">
        <v>3</v>
      </c>
      <c r="AV59" s="99" t="n">
        <v>3</v>
      </c>
      <c r="AW59" s="99" t="n">
        <v>3</v>
      </c>
      <c r="AX59" s="99" t="n">
        <v>3</v>
      </c>
      <c r="AY59" s="99" t="n">
        <v>3</v>
      </c>
      <c r="AZ59" s="99" t="n">
        <v>3</v>
      </c>
      <c r="BA59" s="99" t="n">
        <v>3</v>
      </c>
      <c r="BB59" s="99" t="n">
        <v>3</v>
      </c>
      <c r="BC59" s="99" t="n">
        <v>3</v>
      </c>
      <c r="BD59" s="99" t="n">
        <v>3</v>
      </c>
      <c r="BE59" s="99" t="n">
        <v>3</v>
      </c>
      <c r="BF59" s="99" t="n">
        <v>3</v>
      </c>
      <c r="BG59" s="23" t="n"/>
      <c r="BH59" s="23" t="n"/>
    </row>
    <row r="60">
      <c r="A60" s="52" t="n"/>
      <c r="B60" s="52" t="n"/>
      <c r="C60" s="55" t="n"/>
      <c r="D60" s="53" t="n"/>
      <c r="E60" s="98" t="inlineStr">
        <is>
          <t>Qtd. Planejada</t>
        </is>
      </c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64" t="n">
        <v>28884.22</v>
      </c>
      <c r="AB60" s="64" t="n">
        <v>28952.3</v>
      </c>
      <c r="AC60" s="64" t="n">
        <v>28952.3</v>
      </c>
      <c r="AD60" s="64" t="n">
        <v>28952.3</v>
      </c>
      <c r="AE60" s="64" t="n">
        <v>28952.3</v>
      </c>
      <c r="AF60" s="64" t="n">
        <v>28952.3</v>
      </c>
      <c r="AG60" s="64" t="n">
        <v>28952.3</v>
      </c>
      <c r="AH60" s="64" t="n">
        <v>28952.3</v>
      </c>
      <c r="AI60" s="64" t="n">
        <v>28952.3</v>
      </c>
      <c r="AJ60" s="64" t="n">
        <v>28952.3</v>
      </c>
      <c r="AK60" s="64" t="n">
        <v>25956.49</v>
      </c>
      <c r="AL60" s="64" t="n">
        <v>25956.49</v>
      </c>
      <c r="AM60" s="64" t="n">
        <v>25956.49</v>
      </c>
      <c r="AN60" s="64" t="n">
        <v>25956.49</v>
      </c>
      <c r="AO60" s="64" t="n">
        <v>24316.22</v>
      </c>
      <c r="AP60" s="64" t="n">
        <v>24316.22</v>
      </c>
      <c r="AQ60" s="64" t="n">
        <v>24316.22</v>
      </c>
      <c r="AR60" s="64" t="n">
        <v>24316.22</v>
      </c>
      <c r="AS60" s="64" t="n">
        <v>18968.32</v>
      </c>
      <c r="AT60" s="64" t="n">
        <v>18968.32</v>
      </c>
      <c r="AU60" s="64" t="n">
        <v>18968.32</v>
      </c>
      <c r="AV60" s="64" t="n">
        <v>18968.32</v>
      </c>
      <c r="AW60" s="64" t="n">
        <v>27853.63</v>
      </c>
      <c r="AX60" s="64" t="n">
        <v>27853.63</v>
      </c>
      <c r="AY60" s="64" t="n">
        <v>27853.63</v>
      </c>
      <c r="AZ60" s="64" t="n">
        <v>27853.63</v>
      </c>
      <c r="BA60" s="64" t="n">
        <v>26956.13</v>
      </c>
      <c r="BB60" s="64" t="n">
        <v>26956.13</v>
      </c>
      <c r="BC60" s="64" t="n">
        <v>26956.13</v>
      </c>
      <c r="BD60" s="64" t="n">
        <v>26956.13</v>
      </c>
      <c r="BE60" s="64" t="n">
        <v>30948.48</v>
      </c>
      <c r="BF60" s="64" t="n">
        <v>30948.48</v>
      </c>
      <c r="BG60" s="23" t="n"/>
      <c r="BH60" s="23" t="n"/>
    </row>
    <row r="61">
      <c r="A61" s="52" t="n"/>
      <c r="B61" s="52" t="n"/>
      <c r="C61" s="55" t="n"/>
      <c r="D61" s="53" t="n"/>
      <c r="E61" s="98" t="inlineStr">
        <is>
          <t>Qtd Plan. Acumulada</t>
        </is>
      </c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64" t="n">
        <v>28884.22</v>
      </c>
      <c r="AB61" s="64" t="n">
        <v>57836.52</v>
      </c>
      <c r="AC61" s="64" t="n">
        <v>86788.82000000001</v>
      </c>
      <c r="AD61" s="64" t="n">
        <v>115741.12</v>
      </c>
      <c r="AE61" s="64" t="n">
        <v>144693.42</v>
      </c>
      <c r="AF61" s="64" t="n">
        <v>173645.72</v>
      </c>
      <c r="AG61" s="64" t="n">
        <v>202598.02</v>
      </c>
      <c r="AH61" s="64" t="n">
        <v>231550.32</v>
      </c>
      <c r="AI61" s="64" t="n">
        <v>260502.62</v>
      </c>
      <c r="AJ61" s="64" t="n">
        <v>289454.92</v>
      </c>
      <c r="AK61" s="64" t="n">
        <v>315411.41</v>
      </c>
      <c r="AL61" s="64" t="n">
        <v>341367.9</v>
      </c>
      <c r="AM61" s="64" t="n">
        <v>367324.39</v>
      </c>
      <c r="AN61" s="64" t="n">
        <v>393280.88</v>
      </c>
      <c r="AO61" s="64" t="n">
        <v>417597.1</v>
      </c>
      <c r="AP61" s="64" t="n">
        <v>441913.32</v>
      </c>
      <c r="AQ61" s="64" t="n">
        <v>466229.54</v>
      </c>
      <c r="AR61" s="64" t="n">
        <v>490545.76</v>
      </c>
      <c r="AS61" s="64" t="n">
        <v>509514.08</v>
      </c>
      <c r="AT61" s="64" t="n">
        <v>528482.4</v>
      </c>
      <c r="AU61" s="64" t="n">
        <v>547450.72</v>
      </c>
      <c r="AV61" s="64" t="n">
        <v>566419.04</v>
      </c>
      <c r="AW61" s="64" t="n">
        <v>594272.67</v>
      </c>
      <c r="AX61" s="64" t="n">
        <v>622126.3</v>
      </c>
      <c r="AY61" s="64" t="n">
        <v>649979.9300000001</v>
      </c>
      <c r="AZ61" s="64" t="n">
        <v>677833.5600000001</v>
      </c>
      <c r="BA61" s="64" t="n">
        <v>704789.6899999999</v>
      </c>
      <c r="BB61" s="64" t="n">
        <v>731745.8199999999</v>
      </c>
      <c r="BC61" s="64" t="n">
        <v>758701.95</v>
      </c>
      <c r="BD61" s="64" t="n">
        <v>785658.08</v>
      </c>
      <c r="BE61" s="64" t="n">
        <v>816606.5600000001</v>
      </c>
      <c r="BF61" s="64" t="n">
        <v>847555.04</v>
      </c>
      <c r="BG61" s="64" t="n">
        <v>847555.04</v>
      </c>
      <c r="BH61" s="64" t="n">
        <v>847555.04</v>
      </c>
    </row>
    <row r="62">
      <c r="A62" s="52" t="n"/>
      <c r="B62" s="52" t="n"/>
      <c r="C62" s="55" t="n"/>
      <c r="D62" s="53" t="n"/>
      <c r="E62" s="98" t="inlineStr">
        <is>
          <t>% Semanal</t>
        </is>
      </c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100" t="n">
        <v>0.0341</v>
      </c>
      <c r="AB62" s="100" t="n">
        <v>0.0342</v>
      </c>
      <c r="AC62" s="100" t="n">
        <v>0.0342</v>
      </c>
      <c r="AD62" s="100" t="n">
        <v>0.0342</v>
      </c>
      <c r="AE62" s="100" t="n">
        <v>0.0342</v>
      </c>
      <c r="AF62" s="100" t="n">
        <v>0.0342</v>
      </c>
      <c r="AG62" s="100" t="n">
        <v>0.0342</v>
      </c>
      <c r="AH62" s="100" t="n">
        <v>0.0342</v>
      </c>
      <c r="AI62" s="100" t="n">
        <v>0.0342</v>
      </c>
      <c r="AJ62" s="100" t="n">
        <v>0.0342</v>
      </c>
      <c r="AK62" s="100" t="n">
        <v>0.0306</v>
      </c>
      <c r="AL62" s="100" t="n">
        <v>0.0306</v>
      </c>
      <c r="AM62" s="100" t="n">
        <v>0.0306</v>
      </c>
      <c r="AN62" s="100" t="n">
        <v>0.0306</v>
      </c>
      <c r="AO62" s="100" t="n">
        <v>0.0287</v>
      </c>
      <c r="AP62" s="100" t="n">
        <v>0.0287</v>
      </c>
      <c r="AQ62" s="100" t="n">
        <v>0.0287</v>
      </c>
      <c r="AR62" s="100" t="n">
        <v>0.0287</v>
      </c>
      <c r="AS62" s="100" t="n">
        <v>0.0224</v>
      </c>
      <c r="AT62" s="100" t="n">
        <v>0.0224</v>
      </c>
      <c r="AU62" s="100" t="n">
        <v>0.0224</v>
      </c>
      <c r="AV62" s="100" t="n">
        <v>0.0224</v>
      </c>
      <c r="AW62" s="100" t="n">
        <v>0.0329</v>
      </c>
      <c r="AX62" s="100" t="n">
        <v>0.0329</v>
      </c>
      <c r="AY62" s="100" t="n">
        <v>0.0329</v>
      </c>
      <c r="AZ62" s="100" t="n">
        <v>0.0329</v>
      </c>
      <c r="BA62" s="100" t="n">
        <v>0.0318</v>
      </c>
      <c r="BB62" s="100" t="n">
        <v>0.0318</v>
      </c>
      <c r="BC62" s="100" t="n">
        <v>0.0318</v>
      </c>
      <c r="BD62" s="100" t="n">
        <v>0.0318</v>
      </c>
      <c r="BE62" s="100" t="n">
        <v>0.0365</v>
      </c>
      <c r="BF62" s="100" t="n">
        <v>0.0365</v>
      </c>
      <c r="BG62" s="23" t="n"/>
      <c r="BH62" s="23" t="n"/>
    </row>
    <row r="63">
      <c r="A63" s="52" t="n"/>
      <c r="B63" s="52" t="n"/>
      <c r="C63" s="55" t="n"/>
      <c r="D63" s="53" t="n"/>
      <c r="E63" s="98" t="inlineStr">
        <is>
          <t>% Acumulado</t>
        </is>
      </c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100" t="n">
        <v>0.0341</v>
      </c>
      <c r="AB63" s="100" t="n">
        <v>0.0682</v>
      </c>
      <c r="AC63" s="100" t="n">
        <v>0.1024</v>
      </c>
      <c r="AD63" s="100" t="n">
        <v>0.1366</v>
      </c>
      <c r="AE63" s="100" t="n">
        <v>0.1707</v>
      </c>
      <c r="AF63" s="100" t="n">
        <v>0.2049</v>
      </c>
      <c r="AG63" s="100" t="n">
        <v>0.239</v>
      </c>
      <c r="AH63" s="100" t="n">
        <v>0.2732</v>
      </c>
      <c r="AI63" s="100" t="n">
        <v>0.3074</v>
      </c>
      <c r="AJ63" s="100" t="n">
        <v>0.3415</v>
      </c>
      <c r="AK63" s="100" t="n">
        <v>0.3721</v>
      </c>
      <c r="AL63" s="100" t="n">
        <v>0.4028</v>
      </c>
      <c r="AM63" s="100" t="n">
        <v>0.4334</v>
      </c>
      <c r="AN63" s="100" t="n">
        <v>0.464</v>
      </c>
      <c r="AO63" s="100" t="n">
        <v>0.4927</v>
      </c>
      <c r="AP63" s="100" t="n">
        <v>0.5214</v>
      </c>
      <c r="AQ63" s="100" t="n">
        <v>0.5501</v>
      </c>
      <c r="AR63" s="100" t="n">
        <v>0.5788</v>
      </c>
      <c r="AS63" s="100" t="n">
        <v>0.6012</v>
      </c>
      <c r="AT63" s="100" t="n">
        <v>0.6235000000000001</v>
      </c>
      <c r="AU63" s="100" t="n">
        <v>0.6459</v>
      </c>
      <c r="AV63" s="100" t="n">
        <v>0.6683</v>
      </c>
      <c r="AW63" s="100" t="n">
        <v>0.7012</v>
      </c>
      <c r="AX63" s="100" t="n">
        <v>0.734</v>
      </c>
      <c r="AY63" s="100" t="n">
        <v>0.7669</v>
      </c>
      <c r="AZ63" s="100" t="n">
        <v>0.7998</v>
      </c>
      <c r="BA63" s="100" t="n">
        <v>0.8316</v>
      </c>
      <c r="BB63" s="100" t="n">
        <v>0.8633999999999999</v>
      </c>
      <c r="BC63" s="100" t="n">
        <v>0.8952</v>
      </c>
      <c r="BD63" s="100" t="n">
        <v>0.927</v>
      </c>
      <c r="BE63" s="100" t="n">
        <v>0.9635</v>
      </c>
      <c r="BF63" s="100" t="n">
        <v>1</v>
      </c>
      <c r="BG63" s="100" t="n">
        <v>1</v>
      </c>
      <c r="BH63" s="100" t="n">
        <v>1</v>
      </c>
    </row>
    <row r="64">
      <c r="A64" s="48" t="inlineStr">
        <is>
          <t>eap-1_10</t>
        </is>
      </c>
      <c r="B64" s="48" t="inlineStr">
        <is>
          <t>Compactacao camada final aterro sobre rocha</t>
        </is>
      </c>
      <c r="C64" s="84" t="inlineStr">
        <is>
          <t>m3</t>
        </is>
      </c>
      <c r="D64" s="85" t="n">
        <v>24721.17</v>
      </c>
      <c r="E64" s="86" t="inlineStr">
        <is>
          <t>Dias Trabalhados</t>
        </is>
      </c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8" t="n"/>
      <c r="AB64" s="88" t="n"/>
      <c r="AC64" s="88" t="n"/>
      <c r="AD64" s="88" t="n"/>
      <c r="AE64" s="88" t="n"/>
      <c r="AF64" s="88" t="n"/>
      <c r="AG64" s="88" t="n"/>
      <c r="AH64" s="88" t="n"/>
      <c r="AI64" s="88" t="n"/>
      <c r="AJ64" s="88" t="n"/>
      <c r="AK64" s="88" t="n"/>
      <c r="AL64" s="88" t="n"/>
      <c r="AM64" s="88" t="n"/>
      <c r="AN64" s="88" t="n"/>
      <c r="AO64" s="88" t="n"/>
      <c r="AP64" s="88" t="n"/>
      <c r="AQ64" s="88" t="n"/>
      <c r="AR64" s="88" t="n"/>
      <c r="AS64" s="88" t="n"/>
      <c r="AT64" s="88" t="n"/>
      <c r="AU64" s="88" t="n"/>
      <c r="AV64" s="88" t="n"/>
      <c r="AW64" s="88" t="n"/>
      <c r="AX64" s="88" t="n"/>
      <c r="AY64" s="88" t="n"/>
      <c r="AZ64" s="88" t="n"/>
      <c r="BA64" s="88" t="n"/>
      <c r="BB64" s="88" t="n"/>
      <c r="BC64" s="87" t="n">
        <v>6</v>
      </c>
      <c r="BD64" s="87" t="n">
        <v>6</v>
      </c>
      <c r="BE64" s="87" t="n">
        <v>6</v>
      </c>
      <c r="BF64" s="87" t="n">
        <v>6</v>
      </c>
      <c r="BG64" s="87" t="n">
        <v>6</v>
      </c>
      <c r="BH64" s="87" t="n">
        <v>6</v>
      </c>
    </row>
    <row r="65">
      <c r="A65" s="43" t="n"/>
      <c r="B65" s="43" t="n"/>
      <c r="C65" s="46" t="n"/>
      <c r="D65" s="44" t="n"/>
      <c r="E65" s="89" t="inlineStr">
        <is>
          <t>Nº De Equipes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90" t="n">
        <v>1</v>
      </c>
      <c r="BD65" s="90" t="n">
        <v>1</v>
      </c>
      <c r="BE65" s="90" t="n">
        <v>1</v>
      </c>
      <c r="BF65" s="90" t="n">
        <v>1</v>
      </c>
      <c r="BG65" s="90" t="n">
        <v>1</v>
      </c>
      <c r="BH65" s="90" t="n">
        <v>1</v>
      </c>
    </row>
    <row r="66">
      <c r="A66" s="43" t="n"/>
      <c r="B66" s="43" t="n"/>
      <c r="C66" s="46" t="n"/>
      <c r="D66" s="44" t="n"/>
      <c r="E66" s="89" t="inlineStr">
        <is>
          <t>Qtd. Planejada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  <c r="BA66" s="20" t="n"/>
      <c r="BB66" s="20" t="n"/>
      <c r="BC66" s="61" t="n">
        <v>4180.8</v>
      </c>
      <c r="BD66" s="61" t="n">
        <v>4180.8</v>
      </c>
      <c r="BE66" s="61" t="n">
        <v>4800</v>
      </c>
      <c r="BF66" s="61" t="n">
        <v>4800</v>
      </c>
      <c r="BG66" s="61" t="n">
        <v>4800</v>
      </c>
      <c r="BH66" s="61" t="n">
        <v>1959.57</v>
      </c>
    </row>
    <row r="67">
      <c r="A67" s="43" t="n"/>
      <c r="B67" s="43" t="n"/>
      <c r="C67" s="46" t="n"/>
      <c r="D67" s="44" t="n"/>
      <c r="E67" s="89" t="inlineStr">
        <is>
          <t>Qtd Plan. Acumulada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61" t="n">
        <v>4180.8</v>
      </c>
      <c r="BD67" s="61" t="n">
        <v>8361.6</v>
      </c>
      <c r="BE67" s="61" t="n">
        <v>13161.6</v>
      </c>
      <c r="BF67" s="61" t="n">
        <v>17961.6</v>
      </c>
      <c r="BG67" s="61" t="n">
        <v>22761.6</v>
      </c>
      <c r="BH67" s="61" t="n">
        <v>24721.17</v>
      </c>
    </row>
    <row r="68">
      <c r="A68" s="43" t="n"/>
      <c r="B68" s="43" t="n"/>
      <c r="C68" s="46" t="n"/>
      <c r="D68" s="44" t="n"/>
      <c r="E68" s="89" t="inlineStr">
        <is>
          <t>% Semanal</t>
        </is>
      </c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91" t="n">
        <v>0.1691</v>
      </c>
      <c r="BD68" s="91" t="n">
        <v>0.1691</v>
      </c>
      <c r="BE68" s="91" t="n">
        <v>0.1942</v>
      </c>
      <c r="BF68" s="91" t="n">
        <v>0.1942</v>
      </c>
      <c r="BG68" s="91" t="n">
        <v>0.1942</v>
      </c>
      <c r="BH68" s="91" t="n">
        <v>0.0793</v>
      </c>
    </row>
    <row r="69">
      <c r="A69" s="43" t="n"/>
      <c r="B69" s="43" t="n"/>
      <c r="C69" s="46" t="n"/>
      <c r="D69" s="44" t="n"/>
      <c r="E69" s="89" t="inlineStr">
        <is>
          <t>% Acumulado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91" t="n">
        <v>0.1691</v>
      </c>
      <c r="BD69" s="91" t="n">
        <v>0.3382</v>
      </c>
      <c r="BE69" s="91" t="n">
        <v>0.5324</v>
      </c>
      <c r="BF69" s="91" t="n">
        <v>0.7266</v>
      </c>
      <c r="BG69" s="91" t="n">
        <v>0.9207</v>
      </c>
      <c r="BH69" s="91" t="n">
        <v>1</v>
      </c>
    </row>
  </sheetData>
  <mergeCells count="1">
    <mergeCell ref="A1:B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CRONOGRAMA RESUMIDO — PRODUÇÃO MENSAL POR EAP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Total Qtd</t>
        </is>
      </c>
      <c r="E2" s="4" t="inlineStr">
        <is>
          <t>Jun/26</t>
        </is>
      </c>
      <c r="F2" s="4" t="inlineStr">
        <is>
          <t>Jul/26</t>
        </is>
      </c>
      <c r="G2" s="4" t="inlineStr">
        <is>
          <t>Ago/26</t>
        </is>
      </c>
      <c r="H2" s="4" t="inlineStr">
        <is>
          <t>Set/26</t>
        </is>
      </c>
      <c r="I2" s="4" t="inlineStr">
        <is>
          <t>Out/26</t>
        </is>
      </c>
      <c r="J2" s="4" t="inlineStr">
        <is>
          <t>Nov/26</t>
        </is>
      </c>
      <c r="K2" s="4" t="inlineStr">
        <is>
          <t>Dez/26</t>
        </is>
      </c>
      <c r="L2" s="4" t="inlineStr">
        <is>
          <t>Jan/27</t>
        </is>
      </c>
      <c r="M2" s="4" t="inlineStr">
        <is>
          <t>Fev/27</t>
        </is>
      </c>
      <c r="N2" s="4" t="inlineStr">
        <is>
          <t>Mar/27</t>
        </is>
      </c>
      <c r="O2" s="4" t="inlineStr">
        <is>
          <t>Abr/27</t>
        </is>
      </c>
      <c r="P2" s="4" t="inlineStr">
        <is>
          <t>Mai/27</t>
        </is>
      </c>
      <c r="Q2" s="4" t="inlineStr">
        <is>
          <t>Jun/27</t>
        </is>
      </c>
    </row>
    <row r="3">
      <c r="A3" s="43" t="inlineStr">
        <is>
          <t>eap-1_0</t>
        </is>
      </c>
      <c r="B3" s="101" t="inlineStr">
        <is>
          <t>Desmatamento e limpeza de area vegetada</t>
        </is>
      </c>
      <c r="C3" s="46" t="inlineStr">
        <is>
          <t>m2</t>
        </is>
      </c>
      <c r="D3" s="60" t="n">
        <v>2400000</v>
      </c>
      <c r="E3" s="60" t="n">
        <v>354240</v>
      </c>
      <c r="F3" s="60" t="n">
        <v>283392</v>
      </c>
      <c r="G3" s="60" t="n">
        <v>354240</v>
      </c>
      <c r="H3" s="60" t="n">
        <v>283392</v>
      </c>
      <c r="I3" s="60" t="n">
        <v>264489.76</v>
      </c>
      <c r="J3" s="60" t="n">
        <v>331391.5</v>
      </c>
      <c r="K3" s="60" t="n">
        <v>265113.2</v>
      </c>
      <c r="L3" s="60" t="n">
        <v>178260.66</v>
      </c>
      <c r="M3" s="19" t="n"/>
      <c r="N3" s="19" t="n"/>
      <c r="O3" s="19" t="n"/>
      <c r="P3" s="19" t="n"/>
      <c r="Q3" s="19" t="n"/>
    </row>
    <row r="4">
      <c r="A4" s="52" t="inlineStr">
        <is>
          <t>eap-1_1</t>
        </is>
      </c>
      <c r="B4" s="102" t="inlineStr">
        <is>
          <t>Esc/carg/transp 1aCat DMT&lt;=2000m</t>
        </is>
      </c>
      <c r="C4" s="55" t="inlineStr">
        <is>
          <t>m3</t>
        </is>
      </c>
      <c r="D4" s="63" t="n">
        <v>107463.1053</v>
      </c>
      <c r="E4" s="22" t="n"/>
      <c r="F4" s="22" t="n"/>
      <c r="G4" s="63" t="n">
        <v>22259.52</v>
      </c>
      <c r="H4" s="63" t="n">
        <v>44519.04</v>
      </c>
      <c r="I4" s="63" t="n">
        <v>40684.55</v>
      </c>
      <c r="J4" s="22" t="n"/>
      <c r="K4" s="22" t="n"/>
      <c r="L4" s="22" t="n"/>
      <c r="M4" s="22" t="n"/>
      <c r="N4" s="22" t="n"/>
      <c r="O4" s="22" t="n"/>
      <c r="P4" s="22" t="n"/>
      <c r="Q4" s="22" t="n"/>
    </row>
    <row r="5">
      <c r="A5" s="43" t="inlineStr">
        <is>
          <t>eap-1_2</t>
        </is>
      </c>
      <c r="B5" s="101" t="inlineStr">
        <is>
          <t>Esc/carg/transp 1aCat DMT&lt;=3000m</t>
        </is>
      </c>
      <c r="C5" s="46" t="inlineStr">
        <is>
          <t>m3</t>
        </is>
      </c>
      <c r="D5" s="60" t="n">
        <v>336915.0947</v>
      </c>
      <c r="E5" s="19" t="n"/>
      <c r="F5" s="19" t="n"/>
      <c r="G5" s="60" t="n">
        <v>11083.68</v>
      </c>
      <c r="H5" s="60" t="n">
        <v>44334.72</v>
      </c>
      <c r="I5" s="60" t="n">
        <v>41377.6</v>
      </c>
      <c r="J5" s="60" t="n">
        <v>51843.9</v>
      </c>
      <c r="K5" s="60" t="n">
        <v>41475.12</v>
      </c>
      <c r="L5" s="60" t="n">
        <v>37183.52</v>
      </c>
      <c r="M5" s="60" t="n">
        <v>34833.8</v>
      </c>
      <c r="N5" s="60" t="n">
        <v>37148.07</v>
      </c>
      <c r="O5" s="19" t="n"/>
      <c r="P5" s="19" t="n"/>
      <c r="Q5" s="19" t="n"/>
    </row>
    <row r="6">
      <c r="A6" s="52" t="inlineStr">
        <is>
          <t>eap-1_3</t>
        </is>
      </c>
      <c r="B6" s="102" t="inlineStr">
        <is>
          <t>Esc/carg/transp 2aCat DMT&lt;=2000m</t>
        </is>
      </c>
      <c r="C6" s="55" t="inlineStr">
        <is>
          <t>m3</t>
        </is>
      </c>
      <c r="D6" s="63" t="n">
        <v>105311.3323</v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63" t="n">
        <v>32301.27</v>
      </c>
      <c r="O6" s="63" t="n">
        <v>54260.91</v>
      </c>
      <c r="P6" s="22" t="n"/>
      <c r="Q6" s="22" t="n"/>
    </row>
    <row r="7">
      <c r="A7" s="43" t="inlineStr">
        <is>
          <t>eap-1_4</t>
        </is>
      </c>
      <c r="B7" s="101" t="inlineStr">
        <is>
          <t>Esc/carg/transp 2aCat DMT&lt;=3000m</t>
        </is>
      </c>
      <c r="C7" s="46" t="inlineStr">
        <is>
          <t>m3</t>
        </is>
      </c>
      <c r="D7" s="60" t="n">
        <v>585945.7677</v>
      </c>
      <c r="E7" s="60" t="n">
        <v>45728.64</v>
      </c>
      <c r="F7" s="60" t="n">
        <v>60971.52</v>
      </c>
      <c r="G7" s="60" t="n">
        <v>76214.39999999999</v>
      </c>
      <c r="H7" s="60" t="n">
        <v>60971.52</v>
      </c>
      <c r="I7" s="60" t="n">
        <v>56904.72</v>
      </c>
      <c r="J7" s="60" t="n">
        <v>71298.55</v>
      </c>
      <c r="K7" s="60" t="n">
        <v>57038.84</v>
      </c>
      <c r="L7" s="60" t="n">
        <v>51136.8</v>
      </c>
      <c r="M7" s="60" t="n">
        <v>47905.32</v>
      </c>
      <c r="N7" s="60" t="n">
        <v>18684.72</v>
      </c>
      <c r="O7" s="19" t="n"/>
      <c r="P7" s="19" t="n"/>
      <c r="Q7" s="19" t="n"/>
    </row>
    <row r="8">
      <c r="A8" s="52" t="inlineStr">
        <is>
          <t>eap-1_5</t>
        </is>
      </c>
      <c r="B8" s="102" t="inlineStr">
        <is>
          <t>Esc/carg/transp 3aCat DMT&lt;=2000m</t>
        </is>
      </c>
      <c r="C8" s="55" t="inlineStr">
        <is>
          <t>m3</t>
        </is>
      </c>
      <c r="D8" s="63" t="n">
        <v>304634.4556</v>
      </c>
      <c r="E8" s="63" t="n">
        <v>61352.64</v>
      </c>
      <c r="F8" s="63" t="n">
        <v>81803.52</v>
      </c>
      <c r="G8" s="63" t="n">
        <v>102254.4</v>
      </c>
      <c r="H8" s="63" t="n">
        <v>59223.9</v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>
      <c r="A9" s="43" t="inlineStr">
        <is>
          <t>eap-1_6</t>
        </is>
      </c>
      <c r="B9" s="101" t="inlineStr">
        <is>
          <t>Esc/carg/transp 3aCat DMT&lt;=3000m</t>
        </is>
      </c>
      <c r="C9" s="46" t="inlineStr">
        <is>
          <t>m3</t>
        </is>
      </c>
      <c r="D9" s="60" t="n">
        <v>676519.0444</v>
      </c>
      <c r="E9" s="60" t="n">
        <v>61413.12</v>
      </c>
      <c r="F9" s="60" t="n">
        <v>81884.16</v>
      </c>
      <c r="G9" s="60" t="n">
        <v>102355.2</v>
      </c>
      <c r="H9" s="60" t="n">
        <v>81884.16</v>
      </c>
      <c r="I9" s="60" t="n">
        <v>76422.48</v>
      </c>
      <c r="J9" s="60" t="n">
        <v>95753.3</v>
      </c>
      <c r="K9" s="60" t="n">
        <v>76602.64</v>
      </c>
      <c r="L9" s="60" t="n">
        <v>68676.24000000001</v>
      </c>
      <c r="M9" s="60" t="n">
        <v>16084.1</v>
      </c>
      <c r="N9" s="19" t="n"/>
      <c r="O9" s="19" t="n"/>
      <c r="P9" s="19" t="n"/>
      <c r="Q9" s="19" t="n"/>
    </row>
    <row r="10">
      <c r="A10" s="52" t="inlineStr">
        <is>
          <t>eap-1_7</t>
        </is>
      </c>
      <c r="B10" s="102" t="inlineStr">
        <is>
          <t>Compactacao aterros 100% Proctor Normal</t>
        </is>
      </c>
      <c r="C10" s="55" t="inlineStr">
        <is>
          <t>m3</t>
        </is>
      </c>
      <c r="D10" s="63" t="n">
        <v>1135635.3</v>
      </c>
      <c r="E10" s="22" t="n"/>
      <c r="F10" s="22" t="n"/>
      <c r="G10" s="63" t="n">
        <v>33217.92</v>
      </c>
      <c r="H10" s="63" t="n">
        <v>132871.68</v>
      </c>
      <c r="I10" s="63" t="n">
        <v>124009.12</v>
      </c>
      <c r="J10" s="63" t="n">
        <v>155376.8</v>
      </c>
      <c r="K10" s="63" t="n">
        <v>124301.44</v>
      </c>
      <c r="L10" s="63" t="n">
        <v>111439.48</v>
      </c>
      <c r="M10" s="63" t="n">
        <v>104397.28</v>
      </c>
      <c r="N10" s="63" t="n">
        <v>111333.17</v>
      </c>
      <c r="O10" s="63" t="n">
        <v>118621.2</v>
      </c>
      <c r="P10" s="22" t="n"/>
      <c r="Q10" s="22" t="n"/>
    </row>
    <row r="11">
      <c r="A11" s="43" t="inlineStr">
        <is>
          <t>eap-1_8</t>
        </is>
      </c>
      <c r="B11" s="101" t="inlineStr">
        <is>
          <t>Compactacao aterros 100% Proctor Intermediario</t>
        </is>
      </c>
      <c r="C11" s="46" t="inlineStr">
        <is>
          <t>m3</t>
        </is>
      </c>
      <c r="D11" s="60" t="n">
        <v>29411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60" t="n">
        <v>16596.09</v>
      </c>
      <c r="Q11" s="19" t="n"/>
    </row>
    <row r="12">
      <c r="A12" s="52" t="inlineStr">
        <is>
          <t>eap-1_9</t>
        </is>
      </c>
      <c r="B12" s="102" t="inlineStr">
        <is>
          <t>Construcao corpo aterro material 3a categoria</t>
        </is>
      </c>
      <c r="C12" s="55" t="inlineStr">
        <is>
          <t>m3</t>
        </is>
      </c>
      <c r="D12" s="63" t="n">
        <v>981153.5</v>
      </c>
      <c r="E12" s="22" t="n"/>
      <c r="F12" s="22" t="n"/>
      <c r="G12" s="22" t="n"/>
      <c r="H12" s="22" t="n"/>
      <c r="I12" s="63" t="n">
        <v>28884.22</v>
      </c>
      <c r="J12" s="63" t="n">
        <v>144761.5</v>
      </c>
      <c r="K12" s="63" t="n">
        <v>115809.2</v>
      </c>
      <c r="L12" s="63" t="n">
        <v>103825.96</v>
      </c>
      <c r="M12" s="63" t="n">
        <v>97264.88</v>
      </c>
      <c r="N12" s="63" t="n">
        <v>103726.91</v>
      </c>
      <c r="O12" s="63" t="n">
        <v>110517.02</v>
      </c>
      <c r="P12" s="63" t="n">
        <v>142765.35</v>
      </c>
      <c r="Q12" s="22" t="n"/>
    </row>
    <row r="13">
      <c r="A13" s="43" t="inlineStr">
        <is>
          <t>eap-1_10</t>
        </is>
      </c>
      <c r="B13" s="101" t="inlineStr">
        <is>
          <t>Compactacao camada final aterro sobre rocha</t>
        </is>
      </c>
      <c r="C13" s="46" t="inlineStr">
        <is>
          <t>m3</t>
        </is>
      </c>
      <c r="D13" s="60" t="n">
        <v>24721.17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60" t="n">
        <v>17961.6</v>
      </c>
      <c r="Q13" s="60" t="n">
        <v>6759.57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Nome / Tipo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Nº Eq.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eap-1_0</t>
        </is>
      </c>
      <c r="B4" s="43" t="inlineStr">
        <is>
          <t>CPU-TERRA-ATI-003</t>
        </is>
      </c>
      <c r="C4" s="43" t="inlineStr">
        <is>
          <t>Operador de Trator de Esteiras</t>
        </is>
      </c>
      <c r="D4" s="31" t="inlineStr">
        <is>
          <t>DIRETO</t>
        </is>
      </c>
      <c r="E4" s="44" t="n">
        <v>1</v>
      </c>
      <c r="F4" s="45" t="n">
        <v>9394</v>
      </c>
      <c r="G4" s="44" t="n">
        <v>7.82</v>
      </c>
      <c r="H4" s="44" t="n">
        <v>1</v>
      </c>
      <c r="I4" s="45" t="n">
        <v>73461.08</v>
      </c>
    </row>
    <row r="5">
      <c r="A5" s="43" t="inlineStr">
        <is>
          <t>eap-1_0</t>
        </is>
      </c>
      <c r="B5" s="43" t="inlineStr">
        <is>
          <t>CPU-TERRA-ATI-003</t>
        </is>
      </c>
      <c r="C5" s="43" t="inlineStr">
        <is>
          <t>Operador de Escavadeira</t>
        </is>
      </c>
      <c r="D5" s="31" t="inlineStr">
        <is>
          <t>DIRETO</t>
        </is>
      </c>
      <c r="E5" s="44" t="n">
        <v>1</v>
      </c>
      <c r="F5" s="45" t="n">
        <v>9394</v>
      </c>
      <c r="G5" s="44" t="n">
        <v>7.82</v>
      </c>
      <c r="H5" s="44" t="n">
        <v>1</v>
      </c>
      <c r="I5" s="45" t="n">
        <v>73461.08</v>
      </c>
    </row>
    <row r="6">
      <c r="A6" s="43" t="inlineStr">
        <is>
          <t>eap-1_0</t>
        </is>
      </c>
      <c r="B6" s="43" t="inlineStr">
        <is>
          <t>CPU-TERRA-ATI-003</t>
        </is>
      </c>
      <c r="C6" s="43" t="inlineStr">
        <is>
          <t>Operador de Motosserra</t>
        </is>
      </c>
      <c r="D6" s="31" t="inlineStr">
        <is>
          <t>DIRETO</t>
        </is>
      </c>
      <c r="E6" s="44" t="n">
        <v>1</v>
      </c>
      <c r="F6" s="45" t="n">
        <v>9394</v>
      </c>
      <c r="G6" s="44" t="n">
        <v>7.82</v>
      </c>
      <c r="H6" s="44" t="n">
        <v>1</v>
      </c>
      <c r="I6" s="45" t="n">
        <v>73461.08</v>
      </c>
    </row>
    <row r="7">
      <c r="A7" s="43" t="inlineStr">
        <is>
          <t>eap-1_0</t>
        </is>
      </c>
      <c r="B7" s="43" t="inlineStr">
        <is>
          <t>CPU-TERRA-ATI-003</t>
        </is>
      </c>
      <c r="C7" s="43" t="inlineStr">
        <is>
          <t>Ajudante</t>
        </is>
      </c>
      <c r="D7" s="31" t="inlineStr">
        <is>
          <t>DIRETO</t>
        </is>
      </c>
      <c r="E7" s="44" t="n">
        <v>1</v>
      </c>
      <c r="F7" s="45" t="n">
        <v>4279</v>
      </c>
      <c r="G7" s="44" t="n">
        <v>7.82</v>
      </c>
      <c r="H7" s="44" t="n">
        <v>1</v>
      </c>
      <c r="I7" s="45" t="n">
        <v>33461.78</v>
      </c>
    </row>
    <row r="8">
      <c r="A8" s="43" t="inlineStr">
        <is>
          <t>eap-1_0</t>
        </is>
      </c>
      <c r="B8" s="43" t="inlineStr">
        <is>
          <t>CPU-TERRA-ATI-003</t>
        </is>
      </c>
      <c r="C8" s="43" t="inlineStr">
        <is>
          <t>Encarregado de Frente</t>
        </is>
      </c>
      <c r="D8" s="31" t="inlineStr">
        <is>
          <t>DIRETO</t>
        </is>
      </c>
      <c r="E8" s="44" t="n">
        <v>1</v>
      </c>
      <c r="F8" s="45" t="n">
        <v>7499.8</v>
      </c>
      <c r="G8" s="44" t="n">
        <v>7.82</v>
      </c>
      <c r="H8" s="44" t="n">
        <v>1</v>
      </c>
      <c r="I8" s="45" t="n">
        <v>58648.44</v>
      </c>
    </row>
    <row r="9">
      <c r="A9" s="43" t="inlineStr">
        <is>
          <t>eap-1_0</t>
        </is>
      </c>
      <c r="B9" s="43" t="inlineStr">
        <is>
          <t>CPU-TERRA-ATI-003</t>
        </is>
      </c>
      <c r="C9" s="43" t="inlineStr">
        <is>
          <t>Apontador</t>
        </is>
      </c>
      <c r="D9" s="31" t="inlineStr">
        <is>
          <t>DIRETO</t>
        </is>
      </c>
      <c r="E9" s="44" t="n">
        <v>1</v>
      </c>
      <c r="F9" s="45" t="n">
        <v>6448.2</v>
      </c>
      <c r="G9" s="44" t="n">
        <v>7.82</v>
      </c>
      <c r="H9" s="44" t="n">
        <v>1</v>
      </c>
      <c r="I9" s="45" t="n">
        <v>50424.92</v>
      </c>
    </row>
    <row r="10">
      <c r="A10" s="43" t="inlineStr">
        <is>
          <t>eap-1_0</t>
        </is>
      </c>
      <c r="B10" s="43" t="inlineStr">
        <is>
          <t>CPU-TERRA-ATI-003</t>
        </is>
      </c>
      <c r="C10" s="43" t="inlineStr">
        <is>
          <t>Sinaleiro</t>
        </is>
      </c>
      <c r="D10" s="31" t="inlineStr">
        <is>
          <t>DIRETO</t>
        </is>
      </c>
      <c r="E10" s="44" t="n">
        <v>1</v>
      </c>
      <c r="F10" s="45" t="n">
        <v>4279</v>
      </c>
      <c r="G10" s="44" t="n">
        <v>7.82</v>
      </c>
      <c r="H10" s="44" t="n">
        <v>1</v>
      </c>
      <c r="I10" s="45" t="n">
        <v>33461.78</v>
      </c>
    </row>
    <row r="11">
      <c r="A11" s="43" t="inlineStr">
        <is>
          <t>eap-1_0</t>
        </is>
      </c>
      <c r="B11" s="43" t="inlineStr">
        <is>
          <t>AGIS-TRAT-EST-20T</t>
        </is>
      </c>
      <c r="C11" s="43" t="inlineStr">
        <is>
          <t>Trator de Esteiras 20T [EQ]</t>
        </is>
      </c>
      <c r="D11" s="103" t="inlineStr">
        <is>
          <t>EQ</t>
        </is>
      </c>
      <c r="E11" s="44" t="n">
        <v>1</v>
      </c>
      <c r="F11" s="45" t="n">
        <v>52470</v>
      </c>
      <c r="G11" s="44" t="n">
        <v>7.82</v>
      </c>
      <c r="H11" s="44" t="n">
        <v>1</v>
      </c>
      <c r="I11" s="45" t="n">
        <v>410315.4</v>
      </c>
    </row>
    <row r="12">
      <c r="A12" s="43" t="inlineStr">
        <is>
          <t>eap-1_0</t>
        </is>
      </c>
      <c r="B12" s="43" t="inlineStr">
        <is>
          <t>AGIS-TRAT-EST-20T</t>
        </is>
      </c>
      <c r="C12" s="47" t="inlineStr">
        <is>
          <t>Diesel — Trator de Esteiras 20T</t>
        </is>
      </c>
      <c r="D12" s="104" t="inlineStr">
        <is>
          <t>COMB</t>
        </is>
      </c>
      <c r="E12" s="44" t="n">
        <v>1</v>
      </c>
      <c r="F12" s="45" t="n">
        <v>33161.14</v>
      </c>
      <c r="G12" s="44" t="n">
        <v>7.82</v>
      </c>
      <c r="H12" s="44" t="n">
        <v>1</v>
      </c>
      <c r="I12" s="45" t="n">
        <v>259320.11</v>
      </c>
    </row>
    <row r="13">
      <c r="A13" s="43" t="inlineStr">
        <is>
          <t>eap-1_0</t>
        </is>
      </c>
      <c r="B13" s="43" t="inlineStr">
        <is>
          <t>AGIS-ESCAV-22T</t>
        </is>
      </c>
      <c r="C13" s="43" t="inlineStr">
        <is>
          <t>Escavadeira Hidráulica sobre esteira 22T [EQ]</t>
        </is>
      </c>
      <c r="D13" s="103" t="inlineStr">
        <is>
          <t>EQ</t>
        </is>
      </c>
      <c r="E13" s="44" t="n">
        <v>1</v>
      </c>
      <c r="F13" s="45" t="n">
        <v>42416</v>
      </c>
      <c r="G13" s="44" t="n">
        <v>7.82</v>
      </c>
      <c r="H13" s="44" t="n">
        <v>1</v>
      </c>
      <c r="I13" s="45" t="n">
        <v>331693.12</v>
      </c>
    </row>
    <row r="14">
      <c r="A14" s="43" t="inlineStr">
        <is>
          <t>eap-1_0</t>
        </is>
      </c>
      <c r="B14" s="43" t="inlineStr">
        <is>
          <t>AGIS-ESCAV-22T</t>
        </is>
      </c>
      <c r="C14" s="47" t="inlineStr">
        <is>
          <t>Diesel — Escavadeira Hidráulica sobre esteira 22T</t>
        </is>
      </c>
      <c r="D14" s="104" t="inlineStr">
        <is>
          <t>COMB</t>
        </is>
      </c>
      <c r="E14" s="44" t="n">
        <v>1</v>
      </c>
      <c r="F14" s="45" t="n">
        <v>28059.43</v>
      </c>
      <c r="G14" s="44" t="n">
        <v>7.82</v>
      </c>
      <c r="H14" s="44" t="n">
        <v>1</v>
      </c>
      <c r="I14" s="45" t="n">
        <v>219424.74</v>
      </c>
    </row>
    <row r="15">
      <c r="A15" s="43" t="inlineStr">
        <is>
          <t>eap-1_0</t>
        </is>
      </c>
      <c r="B15" s="43" t="inlineStr">
        <is>
          <t>AGIS-MOTOSSERRA</t>
        </is>
      </c>
      <c r="C15" s="43" t="inlineStr">
        <is>
          <t>Motosserra a Gasolina [EQ]</t>
        </is>
      </c>
      <c r="D15" s="103" t="inlineStr">
        <is>
          <t>EQ</t>
        </is>
      </c>
      <c r="E15" s="44" t="n">
        <v>1</v>
      </c>
      <c r="F15" s="45" t="n">
        <v>3300</v>
      </c>
      <c r="G15" s="44" t="n">
        <v>7.82</v>
      </c>
      <c r="H15" s="44" t="n">
        <v>1</v>
      </c>
      <c r="I15" s="45" t="n">
        <v>25806</v>
      </c>
    </row>
    <row r="16">
      <c r="A16" s="43" t="inlineStr">
        <is>
          <t>eap-1_0</t>
        </is>
      </c>
      <c r="B16" s="43" t="inlineStr">
        <is>
          <t>AGIS-MOTOSSERRA</t>
        </is>
      </c>
      <c r="C16" s="47" t="inlineStr">
        <is>
          <t>Diesel — Motosserra a Gasolina</t>
        </is>
      </c>
      <c r="D16" s="104" t="inlineStr">
        <is>
          <t>COMB</t>
        </is>
      </c>
      <c r="E16" s="44" t="n">
        <v>1</v>
      </c>
      <c r="F16" s="45" t="n">
        <v>1913.14</v>
      </c>
      <c r="G16" s="44" t="n">
        <v>7.82</v>
      </c>
      <c r="H16" s="44" t="n">
        <v>1</v>
      </c>
      <c r="I16" s="45" t="n">
        <v>14960.75</v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49" t="n"/>
      <c r="H17" s="49" t="n"/>
      <c r="I17" s="50" t="n">
        <v>2097750.46</v>
      </c>
    </row>
    <row r="18">
      <c r="A18" s="3" t="inlineStr">
        <is>
          <t>eap-1_1 — Esc/carg/transp 1aCat DMT&lt;=2000m</t>
        </is>
      </c>
    </row>
    <row r="19">
      <c r="A19" s="52" t="inlineStr">
        <is>
          <t>eap-1_1</t>
        </is>
      </c>
      <c r="B19" s="52" t="inlineStr">
        <is>
          <t>CPU-TERRA-ESCO-CARGA-1CAT-DMT2000</t>
        </is>
      </c>
      <c r="C19" s="52" t="inlineStr">
        <is>
          <t>Operador de Escavadeira</t>
        </is>
      </c>
      <c r="D19" s="32" t="inlineStr">
        <is>
          <t>DIRETO</t>
        </is>
      </c>
      <c r="E19" s="53" t="n">
        <v>1</v>
      </c>
      <c r="F19" s="54" t="n">
        <v>9394</v>
      </c>
      <c r="G19" s="53" t="n">
        <v>2.3</v>
      </c>
      <c r="H19" s="53" t="n">
        <v>1</v>
      </c>
      <c r="I19" s="54" t="n">
        <v>21606.2</v>
      </c>
    </row>
    <row r="20">
      <c r="A20" s="52" t="inlineStr">
        <is>
          <t>eap-1_1</t>
        </is>
      </c>
      <c r="B20" s="52" t="inlineStr">
        <is>
          <t>CPU-TERRA-ESCO-CARGA-1CAT-DMT2000</t>
        </is>
      </c>
      <c r="C20" s="52" t="inlineStr">
        <is>
          <t>Ajudante</t>
        </is>
      </c>
      <c r="D20" s="32" t="inlineStr">
        <is>
          <t>DIRETO</t>
        </is>
      </c>
      <c r="E20" s="53" t="n">
        <v>1</v>
      </c>
      <c r="F20" s="54" t="n">
        <v>4279</v>
      </c>
      <c r="G20" s="53" t="n">
        <v>2.3</v>
      </c>
      <c r="H20" s="53" t="n">
        <v>1</v>
      </c>
      <c r="I20" s="54" t="n">
        <v>9841.700000000001</v>
      </c>
    </row>
    <row r="21">
      <c r="A21" s="52" t="inlineStr">
        <is>
          <t>eap-1_1</t>
        </is>
      </c>
      <c r="B21" s="52" t="inlineStr">
        <is>
          <t>CPU-TERRA-ESCO-CARGA-1CAT-DMT2000</t>
        </is>
      </c>
      <c r="C21" s="52" t="inlineStr">
        <is>
          <t>Encarregado de Frente</t>
        </is>
      </c>
      <c r="D21" s="32" t="inlineStr">
        <is>
          <t>DIRETO</t>
        </is>
      </c>
      <c r="E21" s="53" t="n">
        <v>1</v>
      </c>
      <c r="F21" s="54" t="n">
        <v>7499.8</v>
      </c>
      <c r="G21" s="53" t="n">
        <v>2.3</v>
      </c>
      <c r="H21" s="53" t="n">
        <v>1</v>
      </c>
      <c r="I21" s="54" t="n">
        <v>17249.54</v>
      </c>
    </row>
    <row r="22">
      <c r="A22" s="52" t="inlineStr">
        <is>
          <t>eap-1_1</t>
        </is>
      </c>
      <c r="B22" s="52" t="inlineStr">
        <is>
          <t>CPU-TERRA-ESCO-CARGA-1CAT-DMT2000</t>
        </is>
      </c>
      <c r="C22" s="52" t="inlineStr">
        <is>
          <t>Motorista de Caminhão Basculante</t>
        </is>
      </c>
      <c r="D22" s="32" t="inlineStr">
        <is>
          <t>DIRETO</t>
        </is>
      </c>
      <c r="E22" s="53" t="n">
        <v>7</v>
      </c>
      <c r="F22" s="54" t="n">
        <v>58674</v>
      </c>
      <c r="G22" s="53" t="n">
        <v>2.3</v>
      </c>
      <c r="H22" s="53" t="n">
        <v>1</v>
      </c>
      <c r="I22" s="54" t="n">
        <v>134950.2</v>
      </c>
    </row>
    <row r="23">
      <c r="A23" s="52" t="inlineStr">
        <is>
          <t>eap-1_1</t>
        </is>
      </c>
      <c r="B23" s="52" t="inlineStr">
        <is>
          <t>AGIS-E0015</t>
        </is>
      </c>
      <c r="C23" s="52" t="inlineStr">
        <is>
          <t>Escavadeira Hidráulica sobre esteira 38T [EQ]</t>
        </is>
      </c>
      <c r="D23" s="105" t="inlineStr">
        <is>
          <t>EQ</t>
        </is>
      </c>
      <c r="E23" s="53" t="n">
        <v>1</v>
      </c>
      <c r="F23" s="54" t="n">
        <v>59048</v>
      </c>
      <c r="G23" s="53" t="n">
        <v>2.3</v>
      </c>
      <c r="H23" s="53" t="n">
        <v>1</v>
      </c>
      <c r="I23" s="54" t="n">
        <v>135810.4</v>
      </c>
    </row>
    <row r="24">
      <c r="A24" s="52" t="inlineStr">
        <is>
          <t>eap-1_1</t>
        </is>
      </c>
      <c r="B24" s="52" t="inlineStr">
        <is>
          <t>AGIS-E0015</t>
        </is>
      </c>
      <c r="C24" s="56" t="inlineStr">
        <is>
          <t>Diesel — Escavadeira Hidráulica sobre esteira 38T</t>
        </is>
      </c>
      <c r="D24" s="106" t="inlineStr">
        <is>
          <t>COMB</t>
        </is>
      </c>
      <c r="E24" s="53" t="n">
        <v>1</v>
      </c>
      <c r="F24" s="54" t="n">
        <v>33161.14</v>
      </c>
      <c r="G24" s="53" t="n">
        <v>2.3</v>
      </c>
      <c r="H24" s="53" t="n">
        <v>1</v>
      </c>
      <c r="I24" s="54" t="n">
        <v>76270.62</v>
      </c>
    </row>
    <row r="25">
      <c r="A25" s="52" t="inlineStr">
        <is>
          <t>eap-1_1</t>
        </is>
      </c>
      <c r="B25" s="52" t="inlineStr">
        <is>
          <t>AGIS-E0002</t>
        </is>
      </c>
      <c r="C25" s="52" t="inlineStr">
        <is>
          <t>Caminhão Basculante 14 m³ [EQ]</t>
        </is>
      </c>
      <c r="D25" s="105" t="inlineStr">
        <is>
          <t>EQ</t>
        </is>
      </c>
      <c r="E25" s="53" t="n">
        <v>7</v>
      </c>
      <c r="F25" s="54" t="n">
        <v>26945.6</v>
      </c>
      <c r="G25" s="53" t="n">
        <v>2.3</v>
      </c>
      <c r="H25" s="53" t="n">
        <v>1</v>
      </c>
      <c r="I25" s="54" t="n">
        <v>61974.88</v>
      </c>
    </row>
    <row r="26">
      <c r="A26" s="52" t="inlineStr">
        <is>
          <t>eap-1_1</t>
        </is>
      </c>
      <c r="B26" s="52" t="inlineStr">
        <is>
          <t>AGIS-E0002</t>
        </is>
      </c>
      <c r="C26" s="56" t="inlineStr">
        <is>
          <t>Diesel — Caminhão Basculante 14 m³</t>
        </is>
      </c>
      <c r="D26" s="106" t="inlineStr">
        <is>
          <t>COMB</t>
        </is>
      </c>
      <c r="E26" s="53" t="n">
        <v>7</v>
      </c>
      <c r="F26" s="54" t="n">
        <v>3188.57</v>
      </c>
      <c r="G26" s="53" t="n">
        <v>2.3</v>
      </c>
      <c r="H26" s="53" t="n">
        <v>1</v>
      </c>
      <c r="I26" s="54" t="n">
        <v>7333.71</v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>
        <v>938899.8100000001</v>
      </c>
    </row>
    <row r="28">
      <c r="A28" s="3" t="inlineStr">
        <is>
          <t>eap-1_2 — Esc/carg/transp 1aCat DMT&lt;=3000m</t>
        </is>
      </c>
    </row>
    <row r="29">
      <c r="A29" s="43" t="inlineStr">
        <is>
          <t>eap-1_2</t>
        </is>
      </c>
      <c r="B29" s="43" t="inlineStr">
        <is>
          <t>CPU-TERRA-ESCO-CARGA-1CAT-DMT3000</t>
        </is>
      </c>
      <c r="C29" s="43" t="inlineStr">
        <is>
          <t>Operador de Escavadeira</t>
        </is>
      </c>
      <c r="D29" s="31" t="inlineStr">
        <is>
          <t>DIRETO</t>
        </is>
      </c>
      <c r="E29" s="44" t="n">
        <v>1</v>
      </c>
      <c r="F29" s="45" t="n">
        <v>9394</v>
      </c>
      <c r="G29" s="44" t="n">
        <v>7.13</v>
      </c>
      <c r="H29" s="44" t="n">
        <v>1</v>
      </c>
      <c r="I29" s="45" t="n">
        <v>66979.22</v>
      </c>
    </row>
    <row r="30">
      <c r="A30" s="43" t="inlineStr">
        <is>
          <t>eap-1_2</t>
        </is>
      </c>
      <c r="B30" s="43" t="inlineStr">
        <is>
          <t>CPU-TERRA-ESCO-CARGA-1CAT-DMT3000</t>
        </is>
      </c>
      <c r="C30" s="43" t="inlineStr">
        <is>
          <t>Ajudante</t>
        </is>
      </c>
      <c r="D30" s="31" t="inlineStr">
        <is>
          <t>DIRETO</t>
        </is>
      </c>
      <c r="E30" s="44" t="n">
        <v>1</v>
      </c>
      <c r="F30" s="45" t="n">
        <v>4279</v>
      </c>
      <c r="G30" s="44" t="n">
        <v>7.13</v>
      </c>
      <c r="H30" s="44" t="n">
        <v>1</v>
      </c>
      <c r="I30" s="45" t="n">
        <v>30509.27</v>
      </c>
    </row>
    <row r="31">
      <c r="A31" s="43" t="inlineStr">
        <is>
          <t>eap-1_2</t>
        </is>
      </c>
      <c r="B31" s="43" t="inlineStr">
        <is>
          <t>CPU-TERRA-ESCO-CARGA-1CAT-DMT3000</t>
        </is>
      </c>
      <c r="C31" s="43" t="inlineStr">
        <is>
          <t>Encarregado de Frente</t>
        </is>
      </c>
      <c r="D31" s="31" t="inlineStr">
        <is>
          <t>DIRETO</t>
        </is>
      </c>
      <c r="E31" s="44" t="n">
        <v>1</v>
      </c>
      <c r="F31" s="45" t="n">
        <v>7499.8</v>
      </c>
      <c r="G31" s="44" t="n">
        <v>7.13</v>
      </c>
      <c r="H31" s="44" t="n">
        <v>1</v>
      </c>
      <c r="I31" s="45" t="n">
        <v>53473.57</v>
      </c>
    </row>
    <row r="32">
      <c r="A32" s="43" t="inlineStr">
        <is>
          <t>eap-1_2</t>
        </is>
      </c>
      <c r="B32" s="43" t="inlineStr">
        <is>
          <t>CPU-TERRA-ESCO-CARGA-1CAT-DMT3000</t>
        </is>
      </c>
      <c r="C32" s="43" t="inlineStr">
        <is>
          <t>Motorista de Caminhão Basculante</t>
        </is>
      </c>
      <c r="D32" s="31" t="inlineStr">
        <is>
          <t>DIRETO</t>
        </is>
      </c>
      <c r="E32" s="44" t="n">
        <v>8</v>
      </c>
      <c r="F32" s="45" t="n">
        <v>67056</v>
      </c>
      <c r="G32" s="44" t="n">
        <v>7.13</v>
      </c>
      <c r="H32" s="44" t="n">
        <v>1</v>
      </c>
      <c r="I32" s="45" t="n">
        <v>478109.28</v>
      </c>
    </row>
    <row r="33">
      <c r="A33" s="43" t="inlineStr">
        <is>
          <t>eap-1_2</t>
        </is>
      </c>
      <c r="B33" s="43" t="inlineStr">
        <is>
          <t>AGIS-E0015</t>
        </is>
      </c>
      <c r="C33" s="43" t="inlineStr">
        <is>
          <t>Escavadeira Hidráulica sobre esteira 38T [EQ]</t>
        </is>
      </c>
      <c r="D33" s="103" t="inlineStr">
        <is>
          <t>EQ</t>
        </is>
      </c>
      <c r="E33" s="44" t="n">
        <v>1</v>
      </c>
      <c r="F33" s="45" t="n">
        <v>59048</v>
      </c>
      <c r="G33" s="44" t="n">
        <v>7.13</v>
      </c>
      <c r="H33" s="44" t="n">
        <v>1</v>
      </c>
      <c r="I33" s="45" t="n">
        <v>421012.24</v>
      </c>
    </row>
    <row r="34">
      <c r="A34" s="43" t="inlineStr">
        <is>
          <t>eap-1_2</t>
        </is>
      </c>
      <c r="B34" s="43" t="inlineStr">
        <is>
          <t>AGIS-E0015</t>
        </is>
      </c>
      <c r="C34" s="47" t="inlineStr">
        <is>
          <t>Diesel — Escavadeira Hidráulica sobre esteira 38T</t>
        </is>
      </c>
      <c r="D34" s="104" t="inlineStr">
        <is>
          <t>COMB</t>
        </is>
      </c>
      <c r="E34" s="44" t="n">
        <v>1</v>
      </c>
      <c r="F34" s="45" t="n">
        <v>33161.14</v>
      </c>
      <c r="G34" s="44" t="n">
        <v>7.13</v>
      </c>
      <c r="H34" s="44" t="n">
        <v>1</v>
      </c>
      <c r="I34" s="45" t="n">
        <v>236438.93</v>
      </c>
    </row>
    <row r="35">
      <c r="A35" s="43" t="inlineStr">
        <is>
          <t>eap-1_2</t>
        </is>
      </c>
      <c r="B35" s="43" t="inlineStr">
        <is>
          <t>AGIS-E0002</t>
        </is>
      </c>
      <c r="C35" s="43" t="inlineStr">
        <is>
          <t>Caminhão Basculante 14 m³ [EQ]</t>
        </is>
      </c>
      <c r="D35" s="103" t="inlineStr">
        <is>
          <t>EQ</t>
        </is>
      </c>
      <c r="E35" s="44" t="n">
        <v>8</v>
      </c>
      <c r="F35" s="45" t="n">
        <v>26945.6</v>
      </c>
      <c r="G35" s="44" t="n">
        <v>7.13</v>
      </c>
      <c r="H35" s="44" t="n">
        <v>1</v>
      </c>
      <c r="I35" s="45" t="n">
        <v>192122.13</v>
      </c>
    </row>
    <row r="36">
      <c r="A36" s="43" t="inlineStr">
        <is>
          <t>eap-1_2</t>
        </is>
      </c>
      <c r="B36" s="43" t="inlineStr">
        <is>
          <t>AGIS-E0002</t>
        </is>
      </c>
      <c r="C36" s="47" t="inlineStr">
        <is>
          <t>Diesel — Caminhão Basculante 14 m³</t>
        </is>
      </c>
      <c r="D36" s="104" t="inlineStr">
        <is>
          <t>COMB</t>
        </is>
      </c>
      <c r="E36" s="44" t="n">
        <v>8</v>
      </c>
      <c r="F36" s="45" t="n">
        <v>3188.57</v>
      </c>
      <c r="G36" s="44" t="n">
        <v>7.13</v>
      </c>
      <c r="H36" s="44" t="n">
        <v>1</v>
      </c>
      <c r="I36" s="45" t="n">
        <v>22734.5</v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>
        <v>2910596.34</v>
      </c>
    </row>
    <row r="38">
      <c r="A38" s="3" t="inlineStr">
        <is>
          <t>eap-1_3 — Esc/carg/transp 2aCat DMT&lt;=2000m</t>
        </is>
      </c>
    </row>
    <row r="39">
      <c r="A39" s="52" t="inlineStr">
        <is>
          <t>eap-1_3</t>
        </is>
      </c>
      <c r="B39" s="52" t="inlineStr">
        <is>
          <t>CPU-TERRA-ESCO-CARGA-2CAT-DMT2000</t>
        </is>
      </c>
      <c r="C39" s="52" t="inlineStr">
        <is>
          <t>Operador de Escavadeira</t>
        </is>
      </c>
      <c r="D39" s="32" t="inlineStr">
        <is>
          <t>DIRETO</t>
        </is>
      </c>
      <c r="E39" s="53" t="n">
        <v>1</v>
      </c>
      <c r="F39" s="54" t="n">
        <v>9394</v>
      </c>
      <c r="G39" s="53" t="n">
        <v>1.61</v>
      </c>
      <c r="H39" s="53" t="n">
        <v>1</v>
      </c>
      <c r="I39" s="54" t="n">
        <v>15124.34</v>
      </c>
    </row>
    <row r="40">
      <c r="A40" s="52" t="inlineStr">
        <is>
          <t>eap-1_3</t>
        </is>
      </c>
      <c r="B40" s="52" t="inlineStr">
        <is>
          <t>CPU-TERRA-ESCO-CARGA-2CAT-DMT2000</t>
        </is>
      </c>
      <c r="C40" s="52" t="inlineStr">
        <is>
          <t>Ajudante</t>
        </is>
      </c>
      <c r="D40" s="32" t="inlineStr">
        <is>
          <t>DIRETO</t>
        </is>
      </c>
      <c r="E40" s="53" t="n">
        <v>1</v>
      </c>
      <c r="F40" s="54" t="n">
        <v>4279</v>
      </c>
      <c r="G40" s="53" t="n">
        <v>1.61</v>
      </c>
      <c r="H40" s="53" t="n">
        <v>1</v>
      </c>
      <c r="I40" s="54" t="n">
        <v>6889.19</v>
      </c>
    </row>
    <row r="41">
      <c r="A41" s="52" t="inlineStr">
        <is>
          <t>eap-1_3</t>
        </is>
      </c>
      <c r="B41" s="52" t="inlineStr">
        <is>
          <t>CPU-TERRA-ESCO-CARGA-2CAT-DMT2000</t>
        </is>
      </c>
      <c r="C41" s="52" t="inlineStr">
        <is>
          <t>Encarregado de Frente</t>
        </is>
      </c>
      <c r="D41" s="32" t="inlineStr">
        <is>
          <t>DIRETO</t>
        </is>
      </c>
      <c r="E41" s="53" t="n">
        <v>1</v>
      </c>
      <c r="F41" s="54" t="n">
        <v>7499.8</v>
      </c>
      <c r="G41" s="53" t="n">
        <v>1.61</v>
      </c>
      <c r="H41" s="53" t="n">
        <v>1</v>
      </c>
      <c r="I41" s="54" t="n">
        <v>12074.68</v>
      </c>
    </row>
    <row r="42">
      <c r="A42" s="52" t="inlineStr">
        <is>
          <t>eap-1_3</t>
        </is>
      </c>
      <c r="B42" s="52" t="inlineStr">
        <is>
          <t>CPU-TERRA-ESCO-CARGA-2CAT-DMT2000</t>
        </is>
      </c>
      <c r="C42" s="52" t="inlineStr">
        <is>
          <t>Motorista de Caminhão Basculante</t>
        </is>
      </c>
      <c r="D42" s="32" t="inlineStr">
        <is>
          <t>DIRETO</t>
        </is>
      </c>
      <c r="E42" s="53" t="n">
        <v>6</v>
      </c>
      <c r="F42" s="54" t="n">
        <v>50292</v>
      </c>
      <c r="G42" s="53" t="n">
        <v>1.61</v>
      </c>
      <c r="H42" s="53" t="n">
        <v>1</v>
      </c>
      <c r="I42" s="54" t="n">
        <v>80970.12</v>
      </c>
    </row>
    <row r="43">
      <c r="A43" s="52" t="inlineStr">
        <is>
          <t>eap-1_3</t>
        </is>
      </c>
      <c r="B43" s="52" t="inlineStr">
        <is>
          <t>AGIS-E0015</t>
        </is>
      </c>
      <c r="C43" s="52" t="inlineStr">
        <is>
          <t>Escavadeira Hidráulica sobre esteira 38T [EQ]</t>
        </is>
      </c>
      <c r="D43" s="105" t="inlineStr">
        <is>
          <t>EQ</t>
        </is>
      </c>
      <c r="E43" s="53" t="n">
        <v>1</v>
      </c>
      <c r="F43" s="54" t="n">
        <v>59048</v>
      </c>
      <c r="G43" s="53" t="n">
        <v>1.61</v>
      </c>
      <c r="H43" s="53" t="n">
        <v>1</v>
      </c>
      <c r="I43" s="54" t="n">
        <v>95067.28</v>
      </c>
    </row>
    <row r="44">
      <c r="A44" s="52" t="inlineStr">
        <is>
          <t>eap-1_3</t>
        </is>
      </c>
      <c r="B44" s="52" t="inlineStr">
        <is>
          <t>AGIS-E0015</t>
        </is>
      </c>
      <c r="C44" s="56" t="inlineStr">
        <is>
          <t>Diesel — Escavadeira Hidráulica sobre esteira 38T</t>
        </is>
      </c>
      <c r="D44" s="106" t="inlineStr">
        <is>
          <t>COMB</t>
        </is>
      </c>
      <c r="E44" s="53" t="n">
        <v>1</v>
      </c>
      <c r="F44" s="54" t="n">
        <v>33161.14</v>
      </c>
      <c r="G44" s="53" t="n">
        <v>1.61</v>
      </c>
      <c r="H44" s="53" t="n">
        <v>1</v>
      </c>
      <c r="I44" s="54" t="n">
        <v>53389.44</v>
      </c>
    </row>
    <row r="45">
      <c r="A45" s="52" t="inlineStr">
        <is>
          <t>eap-1_3</t>
        </is>
      </c>
      <c r="B45" s="52" t="inlineStr">
        <is>
          <t>AGIS-E0002</t>
        </is>
      </c>
      <c r="C45" s="52" t="inlineStr">
        <is>
          <t>Caminhão Basculante 14 m³ [EQ]</t>
        </is>
      </c>
      <c r="D45" s="105" t="inlineStr">
        <is>
          <t>EQ</t>
        </is>
      </c>
      <c r="E45" s="53" t="n">
        <v>6</v>
      </c>
      <c r="F45" s="54" t="n">
        <v>26945.6</v>
      </c>
      <c r="G45" s="53" t="n">
        <v>1.61</v>
      </c>
      <c r="H45" s="53" t="n">
        <v>1</v>
      </c>
      <c r="I45" s="54" t="n">
        <v>43382.42</v>
      </c>
    </row>
    <row r="46">
      <c r="A46" s="52" t="inlineStr">
        <is>
          <t>eap-1_3</t>
        </is>
      </c>
      <c r="B46" s="52" t="inlineStr">
        <is>
          <t>AGIS-E0002</t>
        </is>
      </c>
      <c r="C46" s="56" t="inlineStr">
        <is>
          <t>Diesel — Caminhão Basculante 14 m³</t>
        </is>
      </c>
      <c r="D46" s="106" t="inlineStr">
        <is>
          <t>COMB</t>
        </is>
      </c>
      <c r="E46" s="53" t="n">
        <v>6</v>
      </c>
      <c r="F46" s="54" t="n">
        <v>3188.57</v>
      </c>
      <c r="G46" s="53" t="n">
        <v>1.61</v>
      </c>
      <c r="H46" s="53" t="n">
        <v>1</v>
      </c>
      <c r="I46" s="54" t="n">
        <v>5133.6</v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49" t="n"/>
      <c r="H47" s="49" t="n"/>
      <c r="I47" s="50" t="n">
        <v>1162236.94</v>
      </c>
    </row>
    <row r="48">
      <c r="A48" s="3" t="inlineStr">
        <is>
          <t>eap-1_4 — Esc/carg/transp 2aCat DMT&lt;=3000m</t>
        </is>
      </c>
    </row>
    <row r="49">
      <c r="A49" s="43" t="inlineStr">
        <is>
          <t>eap-1_4</t>
        </is>
      </c>
      <c r="B49" s="43" t="inlineStr">
        <is>
          <t>CPU-TERRA-ESCO-CARGA-2CAT-DMT3000</t>
        </is>
      </c>
      <c r="C49" s="43" t="inlineStr">
        <is>
          <t>Operador de Escavadeira</t>
        </is>
      </c>
      <c r="D49" s="31" t="inlineStr">
        <is>
          <t>DIRETO</t>
        </is>
      </c>
      <c r="E49" s="44" t="n">
        <v>1</v>
      </c>
      <c r="F49" s="45" t="n">
        <v>9394</v>
      </c>
      <c r="G49" s="44" t="n">
        <v>8.970000000000001</v>
      </c>
      <c r="H49" s="44" t="n">
        <v>1</v>
      </c>
      <c r="I49" s="45" t="n">
        <v>84264.17999999999</v>
      </c>
    </row>
    <row r="50">
      <c r="A50" s="43" t="inlineStr">
        <is>
          <t>eap-1_4</t>
        </is>
      </c>
      <c r="B50" s="43" t="inlineStr">
        <is>
          <t>CPU-TERRA-ESCO-CARGA-2CAT-DMT3000</t>
        </is>
      </c>
      <c r="C50" s="43" t="inlineStr">
        <is>
          <t>Ajudante</t>
        </is>
      </c>
      <c r="D50" s="31" t="inlineStr">
        <is>
          <t>DIRETO</t>
        </is>
      </c>
      <c r="E50" s="44" t="n">
        <v>1</v>
      </c>
      <c r="F50" s="45" t="n">
        <v>4279</v>
      </c>
      <c r="G50" s="44" t="n">
        <v>8.970000000000001</v>
      </c>
      <c r="H50" s="44" t="n">
        <v>1</v>
      </c>
      <c r="I50" s="45" t="n">
        <v>38382.63</v>
      </c>
    </row>
    <row r="51">
      <c r="A51" s="43" t="inlineStr">
        <is>
          <t>eap-1_4</t>
        </is>
      </c>
      <c r="B51" s="43" t="inlineStr">
        <is>
          <t>CPU-TERRA-ESCO-CARGA-2CAT-DMT3000</t>
        </is>
      </c>
      <c r="C51" s="43" t="inlineStr">
        <is>
          <t>Encarregado de Frente</t>
        </is>
      </c>
      <c r="D51" s="31" t="inlineStr">
        <is>
          <t>DIRETO</t>
        </is>
      </c>
      <c r="E51" s="44" t="n">
        <v>1</v>
      </c>
      <c r="F51" s="45" t="n">
        <v>7499.8</v>
      </c>
      <c r="G51" s="44" t="n">
        <v>8.970000000000001</v>
      </c>
      <c r="H51" s="44" t="n">
        <v>1</v>
      </c>
      <c r="I51" s="45" t="n">
        <v>67273.21000000001</v>
      </c>
    </row>
    <row r="52">
      <c r="A52" s="43" t="inlineStr">
        <is>
          <t>eap-1_4</t>
        </is>
      </c>
      <c r="B52" s="43" t="inlineStr">
        <is>
          <t>CPU-TERRA-ESCO-CARGA-2CAT-DMT3000</t>
        </is>
      </c>
      <c r="C52" s="43" t="inlineStr">
        <is>
          <t>Motorista de Caminhão Basculante</t>
        </is>
      </c>
      <c r="D52" s="31" t="inlineStr">
        <is>
          <t>DIRETO</t>
        </is>
      </c>
      <c r="E52" s="44" t="n">
        <v>7</v>
      </c>
      <c r="F52" s="45" t="n">
        <v>58674</v>
      </c>
      <c r="G52" s="44" t="n">
        <v>8.970000000000001</v>
      </c>
      <c r="H52" s="44" t="n">
        <v>1</v>
      </c>
      <c r="I52" s="45" t="n">
        <v>526305.78</v>
      </c>
    </row>
    <row r="53">
      <c r="A53" s="43" t="inlineStr">
        <is>
          <t>eap-1_4</t>
        </is>
      </c>
      <c r="B53" s="43" t="inlineStr">
        <is>
          <t>AGIS-E0015</t>
        </is>
      </c>
      <c r="C53" s="43" t="inlineStr">
        <is>
          <t>Escavadeira Hidráulica sobre esteira 38T [EQ]</t>
        </is>
      </c>
      <c r="D53" s="103" t="inlineStr">
        <is>
          <t>EQ</t>
        </is>
      </c>
      <c r="E53" s="44" t="n">
        <v>1</v>
      </c>
      <c r="F53" s="45" t="n">
        <v>59048</v>
      </c>
      <c r="G53" s="44" t="n">
        <v>8.970000000000001</v>
      </c>
      <c r="H53" s="44" t="n">
        <v>1</v>
      </c>
      <c r="I53" s="45" t="n">
        <v>529660.5600000001</v>
      </c>
    </row>
    <row r="54">
      <c r="A54" s="43" t="inlineStr">
        <is>
          <t>eap-1_4</t>
        </is>
      </c>
      <c r="B54" s="43" t="inlineStr">
        <is>
          <t>AGIS-E0015</t>
        </is>
      </c>
      <c r="C54" s="47" t="inlineStr">
        <is>
          <t>Diesel — Escavadeira Hidráulica sobre esteira 38T</t>
        </is>
      </c>
      <c r="D54" s="104" t="inlineStr">
        <is>
          <t>COMB</t>
        </is>
      </c>
      <c r="E54" s="44" t="n">
        <v>1</v>
      </c>
      <c r="F54" s="45" t="n">
        <v>33161.14</v>
      </c>
      <c r="G54" s="44" t="n">
        <v>8.970000000000001</v>
      </c>
      <c r="H54" s="44" t="n">
        <v>1</v>
      </c>
      <c r="I54" s="45" t="n">
        <v>297455.43</v>
      </c>
    </row>
    <row r="55">
      <c r="A55" s="43" t="inlineStr">
        <is>
          <t>eap-1_4</t>
        </is>
      </c>
      <c r="B55" s="43" t="inlineStr">
        <is>
          <t>AGIS-E0002</t>
        </is>
      </c>
      <c r="C55" s="43" t="inlineStr">
        <is>
          <t>Caminhão Basculante 14 m³ [EQ]</t>
        </is>
      </c>
      <c r="D55" s="103" t="inlineStr">
        <is>
          <t>EQ</t>
        </is>
      </c>
      <c r="E55" s="44" t="n">
        <v>7</v>
      </c>
      <c r="F55" s="45" t="n">
        <v>26945.6</v>
      </c>
      <c r="G55" s="44" t="n">
        <v>8.970000000000001</v>
      </c>
      <c r="H55" s="44" t="n">
        <v>1</v>
      </c>
      <c r="I55" s="45" t="n">
        <v>241702.03</v>
      </c>
    </row>
    <row r="56">
      <c r="A56" s="43" t="inlineStr">
        <is>
          <t>eap-1_4</t>
        </is>
      </c>
      <c r="B56" s="43" t="inlineStr">
        <is>
          <t>AGIS-E0002</t>
        </is>
      </c>
      <c r="C56" s="47" t="inlineStr">
        <is>
          <t>Diesel — Caminhão Basculante 14 m³</t>
        </is>
      </c>
      <c r="D56" s="104" t="inlineStr">
        <is>
          <t>COMB</t>
        </is>
      </c>
      <c r="E56" s="44" t="n">
        <v>7</v>
      </c>
      <c r="F56" s="45" t="n">
        <v>3188.57</v>
      </c>
      <c r="G56" s="44" t="n">
        <v>8.970000000000001</v>
      </c>
      <c r="H56" s="44" t="n">
        <v>1</v>
      </c>
      <c r="I56" s="45" t="n">
        <v>28601.47</v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49" t="n"/>
      <c r="H57" s="49" t="n"/>
      <c r="I57" s="50" t="n">
        <v>6475315.7</v>
      </c>
    </row>
    <row r="58">
      <c r="A58" s="3" t="inlineStr">
        <is>
          <t>eap-1_5 — Esc/carg/transp 3aCat DMT&lt;=2000m</t>
        </is>
      </c>
    </row>
    <row r="59">
      <c r="A59" s="52" t="inlineStr">
        <is>
          <t>eap-1_5</t>
        </is>
      </c>
      <c r="B59" s="52" t="inlineStr">
        <is>
          <t>CPU-TERRA-ESCO-CARGA-3CAT-DMT2000</t>
        </is>
      </c>
      <c r="C59" s="52" t="inlineStr">
        <is>
          <t>Operador de Escavadeira</t>
        </is>
      </c>
      <c r="D59" s="32" t="inlineStr">
        <is>
          <t>DIRETO</t>
        </is>
      </c>
      <c r="E59" s="53" t="n">
        <v>1</v>
      </c>
      <c r="F59" s="54" t="n">
        <v>9394</v>
      </c>
      <c r="G59" s="53" t="n">
        <v>3.45</v>
      </c>
      <c r="H59" s="53" t="n">
        <v>1</v>
      </c>
      <c r="I59" s="54" t="n">
        <v>32409.3</v>
      </c>
    </row>
    <row r="60">
      <c r="A60" s="52" t="inlineStr">
        <is>
          <t>eap-1_5</t>
        </is>
      </c>
      <c r="B60" s="52" t="inlineStr">
        <is>
          <t>CPU-TERRA-ESCO-CARGA-3CAT-DMT2000</t>
        </is>
      </c>
      <c r="C60" s="52" t="inlineStr">
        <is>
          <t>Ajudante</t>
        </is>
      </c>
      <c r="D60" s="32" t="inlineStr">
        <is>
          <t>DIRETO</t>
        </is>
      </c>
      <c r="E60" s="53" t="n">
        <v>1</v>
      </c>
      <c r="F60" s="54" t="n">
        <v>4279</v>
      </c>
      <c r="G60" s="53" t="n">
        <v>3.45</v>
      </c>
      <c r="H60" s="53" t="n">
        <v>1</v>
      </c>
      <c r="I60" s="54" t="n">
        <v>14762.55</v>
      </c>
    </row>
    <row r="61">
      <c r="A61" s="52" t="inlineStr">
        <is>
          <t>eap-1_5</t>
        </is>
      </c>
      <c r="B61" s="52" t="inlineStr">
        <is>
          <t>CPU-TERRA-ESCO-CARGA-3CAT-DMT2000</t>
        </is>
      </c>
      <c r="C61" s="52" t="inlineStr">
        <is>
          <t>Motorista de Caminhão Basculante</t>
        </is>
      </c>
      <c r="D61" s="32" t="inlineStr">
        <is>
          <t>DIRETO</t>
        </is>
      </c>
      <c r="E61" s="53" t="n">
        <v>6</v>
      </c>
      <c r="F61" s="54" t="n">
        <v>50292</v>
      </c>
      <c r="G61" s="53" t="n">
        <v>3.45</v>
      </c>
      <c r="H61" s="53" t="n">
        <v>1</v>
      </c>
      <c r="I61" s="54" t="n">
        <v>173507.4</v>
      </c>
    </row>
    <row r="62">
      <c r="A62" s="52" t="inlineStr">
        <is>
          <t>eap-1_5</t>
        </is>
      </c>
      <c r="B62" s="52" t="inlineStr">
        <is>
          <t>AGIS-E0016</t>
        </is>
      </c>
      <c r="C62" s="52" t="inlineStr">
        <is>
          <t>Escavadeira Hidráulica sobre esteira 48T [EQ]</t>
        </is>
      </c>
      <c r="D62" s="105" t="inlineStr">
        <is>
          <t>EQ</t>
        </is>
      </c>
      <c r="E62" s="53" t="n">
        <v>1</v>
      </c>
      <c r="F62" s="54" t="n">
        <v>82401</v>
      </c>
      <c r="G62" s="53" t="n">
        <v>3.45</v>
      </c>
      <c r="H62" s="53" t="n">
        <v>1</v>
      </c>
      <c r="I62" s="54" t="n">
        <v>284283.45</v>
      </c>
    </row>
    <row r="63">
      <c r="A63" s="52" t="inlineStr">
        <is>
          <t>eap-1_5</t>
        </is>
      </c>
      <c r="B63" s="52" t="inlineStr">
        <is>
          <t>AGIS-E0016</t>
        </is>
      </c>
      <c r="C63" s="56" t="inlineStr">
        <is>
          <t>Diesel — Escavadeira Hidráulica sobre esteira 48T</t>
        </is>
      </c>
      <c r="D63" s="106" t="inlineStr">
        <is>
          <t>COMB</t>
        </is>
      </c>
      <c r="E63" s="53" t="n">
        <v>1</v>
      </c>
      <c r="F63" s="54" t="n">
        <v>38262.86</v>
      </c>
      <c r="G63" s="53" t="n">
        <v>3.45</v>
      </c>
      <c r="H63" s="53" t="n">
        <v>1</v>
      </c>
      <c r="I63" s="54" t="n">
        <v>132006.87</v>
      </c>
    </row>
    <row r="64">
      <c r="A64" s="52" t="inlineStr">
        <is>
          <t>eap-1_5</t>
        </is>
      </c>
      <c r="B64" s="52" t="inlineStr">
        <is>
          <t>AGIS-E0004</t>
        </is>
      </c>
      <c r="C64" s="52" t="inlineStr">
        <is>
          <t>Caminhão Basculante 14 m³ - Rochas [EQ]</t>
        </is>
      </c>
      <c r="D64" s="105" t="inlineStr">
        <is>
          <t>EQ</t>
        </is>
      </c>
      <c r="E64" s="53" t="n">
        <v>6</v>
      </c>
      <c r="F64" s="54" t="n">
        <v>40744</v>
      </c>
      <c r="G64" s="53" t="n">
        <v>3.45</v>
      </c>
      <c r="H64" s="53" t="n">
        <v>1</v>
      </c>
      <c r="I64" s="54" t="n">
        <v>140566.8</v>
      </c>
    </row>
    <row r="65">
      <c r="A65" s="52" t="inlineStr">
        <is>
          <t>eap-1_5</t>
        </is>
      </c>
      <c r="B65" s="52" t="inlineStr">
        <is>
          <t>AGIS-E0004</t>
        </is>
      </c>
      <c r="C65" s="56" t="inlineStr">
        <is>
          <t>Diesel — Caminhão Basculante 14 m³ - Rochas</t>
        </is>
      </c>
      <c r="D65" s="106" t="inlineStr">
        <is>
          <t>COMB</t>
        </is>
      </c>
      <c r="E65" s="53" t="n">
        <v>6</v>
      </c>
      <c r="F65" s="54" t="n">
        <v>3826.29</v>
      </c>
      <c r="G65" s="53" t="n">
        <v>3.45</v>
      </c>
      <c r="H65" s="53" t="n">
        <v>1</v>
      </c>
      <c r="I65" s="54" t="n">
        <v>13200.7</v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49" t="n"/>
      <c r="H66" s="49" t="n"/>
      <c r="I66" s="50" t="n">
        <v>4406341.89</v>
      </c>
    </row>
    <row r="67">
      <c r="A67" s="3" t="inlineStr">
        <is>
          <t>eap-1_6 — Esc/carg/transp 3aCat DMT&lt;=3000m</t>
        </is>
      </c>
    </row>
    <row r="68">
      <c r="A68" s="43" t="inlineStr">
        <is>
          <t>eap-1_6</t>
        </is>
      </c>
      <c r="B68" s="43" t="inlineStr">
        <is>
          <t>CPU-TERRA-ESCO-CARGA-3CAT-DMT3000</t>
        </is>
      </c>
      <c r="C68" s="43" t="inlineStr">
        <is>
          <t>Operador de Escavadeira</t>
        </is>
      </c>
      <c r="D68" s="31" t="inlineStr">
        <is>
          <t>DIRETO</t>
        </is>
      </c>
      <c r="E68" s="44" t="n">
        <v>1</v>
      </c>
      <c r="F68" s="45" t="n">
        <v>9394</v>
      </c>
      <c r="G68" s="44" t="n">
        <v>7.82</v>
      </c>
      <c r="H68" s="44" t="n">
        <v>1</v>
      </c>
      <c r="I68" s="45" t="n">
        <v>73461.08</v>
      </c>
    </row>
    <row r="69">
      <c r="A69" s="43" t="inlineStr">
        <is>
          <t>eap-1_6</t>
        </is>
      </c>
      <c r="B69" s="43" t="inlineStr">
        <is>
          <t>CPU-TERRA-ESCO-CARGA-3CAT-DMT3000</t>
        </is>
      </c>
      <c r="C69" s="43" t="inlineStr">
        <is>
          <t>Ajudante</t>
        </is>
      </c>
      <c r="D69" s="31" t="inlineStr">
        <is>
          <t>DIRETO</t>
        </is>
      </c>
      <c r="E69" s="44" t="n">
        <v>1</v>
      </c>
      <c r="F69" s="45" t="n">
        <v>4279</v>
      </c>
      <c r="G69" s="44" t="n">
        <v>7.82</v>
      </c>
      <c r="H69" s="44" t="n">
        <v>1</v>
      </c>
      <c r="I69" s="45" t="n">
        <v>33461.78</v>
      </c>
    </row>
    <row r="70">
      <c r="A70" s="43" t="inlineStr">
        <is>
          <t>eap-1_6</t>
        </is>
      </c>
      <c r="B70" s="43" t="inlineStr">
        <is>
          <t>CPU-TERRA-ESCO-CARGA-3CAT-DMT3000</t>
        </is>
      </c>
      <c r="C70" s="43" t="inlineStr">
        <is>
          <t>Motorista de Caminhão Basculante</t>
        </is>
      </c>
      <c r="D70" s="31" t="inlineStr">
        <is>
          <t>DIRETO</t>
        </is>
      </c>
      <c r="E70" s="44" t="n">
        <v>8</v>
      </c>
      <c r="F70" s="45" t="n">
        <v>67056</v>
      </c>
      <c r="G70" s="44" t="n">
        <v>7.82</v>
      </c>
      <c r="H70" s="44" t="n">
        <v>1</v>
      </c>
      <c r="I70" s="45" t="n">
        <v>524377.92</v>
      </c>
    </row>
    <row r="71">
      <c r="A71" s="43" t="inlineStr">
        <is>
          <t>eap-1_6</t>
        </is>
      </c>
      <c r="B71" s="43" t="inlineStr">
        <is>
          <t>AGIS-E0016</t>
        </is>
      </c>
      <c r="C71" s="43" t="inlineStr">
        <is>
          <t>Escavadeira Hidráulica sobre esteira 48T [EQ]</t>
        </is>
      </c>
      <c r="D71" s="103" t="inlineStr">
        <is>
          <t>EQ</t>
        </is>
      </c>
      <c r="E71" s="44" t="n">
        <v>1</v>
      </c>
      <c r="F71" s="45" t="n">
        <v>82401</v>
      </c>
      <c r="G71" s="44" t="n">
        <v>7.82</v>
      </c>
      <c r="H71" s="44" t="n">
        <v>1</v>
      </c>
      <c r="I71" s="45" t="n">
        <v>644375.8199999999</v>
      </c>
    </row>
    <row r="72">
      <c r="A72" s="43" t="inlineStr">
        <is>
          <t>eap-1_6</t>
        </is>
      </c>
      <c r="B72" s="43" t="inlineStr">
        <is>
          <t>AGIS-E0016</t>
        </is>
      </c>
      <c r="C72" s="47" t="inlineStr">
        <is>
          <t>Diesel — Escavadeira Hidráulica sobre esteira 48T</t>
        </is>
      </c>
      <c r="D72" s="104" t="inlineStr">
        <is>
          <t>COMB</t>
        </is>
      </c>
      <c r="E72" s="44" t="n">
        <v>1</v>
      </c>
      <c r="F72" s="45" t="n">
        <v>38262.86</v>
      </c>
      <c r="G72" s="44" t="n">
        <v>7.82</v>
      </c>
      <c r="H72" s="44" t="n">
        <v>1</v>
      </c>
      <c r="I72" s="45" t="n">
        <v>299215.57</v>
      </c>
    </row>
    <row r="73">
      <c r="A73" s="43" t="inlineStr">
        <is>
          <t>eap-1_6</t>
        </is>
      </c>
      <c r="B73" s="43" t="inlineStr">
        <is>
          <t>AGIS-E0004</t>
        </is>
      </c>
      <c r="C73" s="43" t="inlineStr">
        <is>
          <t>Caminhão Basculante 14 m³ - Rochas [EQ]</t>
        </is>
      </c>
      <c r="D73" s="103" t="inlineStr">
        <is>
          <t>EQ</t>
        </is>
      </c>
      <c r="E73" s="44" t="n">
        <v>8</v>
      </c>
      <c r="F73" s="45" t="n">
        <v>40744</v>
      </c>
      <c r="G73" s="44" t="n">
        <v>7.82</v>
      </c>
      <c r="H73" s="44" t="n">
        <v>1</v>
      </c>
      <c r="I73" s="45" t="n">
        <v>318618.08</v>
      </c>
    </row>
    <row r="74">
      <c r="A74" s="43" t="inlineStr">
        <is>
          <t>eap-1_6</t>
        </is>
      </c>
      <c r="B74" s="43" t="inlineStr">
        <is>
          <t>AGIS-E0004</t>
        </is>
      </c>
      <c r="C74" s="47" t="inlineStr">
        <is>
          <t>Diesel — Caminhão Basculante 14 m³ - Rochas</t>
        </is>
      </c>
      <c r="D74" s="104" t="inlineStr">
        <is>
          <t>COMB</t>
        </is>
      </c>
      <c r="E74" s="44" t="n">
        <v>8</v>
      </c>
      <c r="F74" s="45" t="n">
        <v>3826.29</v>
      </c>
      <c r="G74" s="44" t="n">
        <v>7.82</v>
      </c>
      <c r="H74" s="44" t="n">
        <v>1</v>
      </c>
      <c r="I74" s="45" t="n">
        <v>29921.59</v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49" t="n"/>
      <c r="H75" s="49" t="n"/>
      <c r="I75" s="50" t="n">
        <v>9987716.210000001</v>
      </c>
    </row>
    <row r="76">
      <c r="A76" s="3" t="inlineStr">
        <is>
          <t>eap-1_7 — Compactacao aterros 100% Proctor Normal</t>
        </is>
      </c>
    </row>
    <row r="77">
      <c r="A77" s="52" t="inlineStr">
        <is>
          <t>eap-1_7</t>
        </is>
      </c>
      <c r="B77" s="52" t="inlineStr">
        <is>
          <t>CPU-TERRA-COMPAC-PN</t>
        </is>
      </c>
      <c r="C77" s="52" t="inlineStr">
        <is>
          <t>Operador de Rolo Compactador</t>
        </is>
      </c>
      <c r="D77" s="32" t="inlineStr">
        <is>
          <t>DIRETO</t>
        </is>
      </c>
      <c r="E77" s="53" t="n">
        <v>2</v>
      </c>
      <c r="F77" s="54" t="n">
        <v>16764</v>
      </c>
      <c r="G77" s="53" t="n">
        <v>8.050000000000001</v>
      </c>
      <c r="H77" s="53" t="n">
        <v>1</v>
      </c>
      <c r="I77" s="54" t="n">
        <v>134950.2</v>
      </c>
    </row>
    <row r="78">
      <c r="A78" s="52" t="inlineStr">
        <is>
          <t>eap-1_7</t>
        </is>
      </c>
      <c r="B78" s="52" t="inlineStr">
        <is>
          <t>CPU-TERRA-COMPAC-PN</t>
        </is>
      </c>
      <c r="C78" s="52" t="inlineStr">
        <is>
          <t>Operador de Trator de Pneus</t>
        </is>
      </c>
      <c r="D78" s="32" t="inlineStr">
        <is>
          <t>DIRETO</t>
        </is>
      </c>
      <c r="E78" s="53" t="n">
        <v>1</v>
      </c>
      <c r="F78" s="54" t="n">
        <v>9394</v>
      </c>
      <c r="G78" s="53" t="n">
        <v>8.050000000000001</v>
      </c>
      <c r="H78" s="53" t="n">
        <v>1</v>
      </c>
      <c r="I78" s="54" t="n">
        <v>75621.7</v>
      </c>
    </row>
    <row r="79">
      <c r="A79" s="52" t="inlineStr">
        <is>
          <t>eap-1_7</t>
        </is>
      </c>
      <c r="B79" s="52" t="inlineStr">
        <is>
          <t>CPU-TERRA-COMPAC-PN</t>
        </is>
      </c>
      <c r="C79" s="52" t="inlineStr">
        <is>
          <t>Operador de Motoniveladora</t>
        </is>
      </c>
      <c r="D79" s="32" t="inlineStr">
        <is>
          <t>DIRETO</t>
        </is>
      </c>
      <c r="E79" s="53" t="n">
        <v>1</v>
      </c>
      <c r="F79" s="54" t="n">
        <v>9394</v>
      </c>
      <c r="G79" s="53" t="n">
        <v>8.050000000000001</v>
      </c>
      <c r="H79" s="53" t="n">
        <v>1</v>
      </c>
      <c r="I79" s="54" t="n">
        <v>75621.7</v>
      </c>
    </row>
    <row r="80">
      <c r="A80" s="52" t="inlineStr">
        <is>
          <t>eap-1_7</t>
        </is>
      </c>
      <c r="B80" s="52" t="inlineStr">
        <is>
          <t>CPU-TERRA-COMPAC-PN</t>
        </is>
      </c>
      <c r="C80" s="52" t="inlineStr">
        <is>
          <t>Motorista de Caminhão Pipa</t>
        </is>
      </c>
      <c r="D80" s="32" t="inlineStr">
        <is>
          <t>DIRETO</t>
        </is>
      </c>
      <c r="E80" s="53" t="n">
        <v>1</v>
      </c>
      <c r="F80" s="54" t="n">
        <v>8382</v>
      </c>
      <c r="G80" s="53" t="n">
        <v>8.050000000000001</v>
      </c>
      <c r="H80" s="53" t="n">
        <v>1</v>
      </c>
      <c r="I80" s="54" t="n">
        <v>67475.10000000001</v>
      </c>
    </row>
    <row r="81">
      <c r="A81" s="52" t="inlineStr">
        <is>
          <t>eap-1_7</t>
        </is>
      </c>
      <c r="B81" s="52" t="inlineStr">
        <is>
          <t>CPU-TERRA-COMPAC-PN</t>
        </is>
      </c>
      <c r="C81" s="52" t="inlineStr">
        <is>
          <t>Ajudante</t>
        </is>
      </c>
      <c r="D81" s="32" t="inlineStr">
        <is>
          <t>DIRETO</t>
        </is>
      </c>
      <c r="E81" s="53" t="n">
        <v>2</v>
      </c>
      <c r="F81" s="54" t="n">
        <v>8558</v>
      </c>
      <c r="G81" s="53" t="n">
        <v>8.050000000000001</v>
      </c>
      <c r="H81" s="53" t="n">
        <v>1</v>
      </c>
      <c r="I81" s="54" t="n">
        <v>68891.89999999999</v>
      </c>
    </row>
    <row r="82">
      <c r="A82" s="52" t="inlineStr">
        <is>
          <t>eap-1_7</t>
        </is>
      </c>
      <c r="B82" s="52" t="inlineStr">
        <is>
          <t>CPU-TERRA-COMPAC-PN</t>
        </is>
      </c>
      <c r="C82" s="52" t="inlineStr">
        <is>
          <t>Gredista</t>
        </is>
      </c>
      <c r="D82" s="32" t="inlineStr">
        <is>
          <t>DIRETO</t>
        </is>
      </c>
      <c r="E82" s="53" t="n">
        <v>1</v>
      </c>
      <c r="F82" s="54" t="n">
        <v>6448.2</v>
      </c>
      <c r="G82" s="53" t="n">
        <v>8.050000000000001</v>
      </c>
      <c r="H82" s="53" t="n">
        <v>1</v>
      </c>
      <c r="I82" s="54" t="n">
        <v>51908.01</v>
      </c>
    </row>
    <row r="83">
      <c r="A83" s="52" t="inlineStr">
        <is>
          <t>eap-1_7</t>
        </is>
      </c>
      <c r="B83" s="52" t="inlineStr">
        <is>
          <t>CPU-TERRA-COMPAC-PN</t>
        </is>
      </c>
      <c r="C83" s="52" t="inlineStr">
        <is>
          <t>Encarregado de Frente</t>
        </is>
      </c>
      <c r="D83" s="32" t="inlineStr">
        <is>
          <t>DIRETO</t>
        </is>
      </c>
      <c r="E83" s="53" t="n">
        <v>1</v>
      </c>
      <c r="F83" s="54" t="n">
        <v>7499.8</v>
      </c>
      <c r="G83" s="53" t="n">
        <v>8.050000000000001</v>
      </c>
      <c r="H83" s="53" t="n">
        <v>1</v>
      </c>
      <c r="I83" s="54" t="n">
        <v>60373.39</v>
      </c>
    </row>
    <row r="84">
      <c r="A84" s="52" t="inlineStr">
        <is>
          <t>eap-1_7</t>
        </is>
      </c>
      <c r="B84" s="52" t="inlineStr">
        <is>
          <t>AGIS-ROLO-PC-10T</t>
        </is>
      </c>
      <c r="C84" s="52" t="inlineStr">
        <is>
          <t>Rolo Compactador Pé de Carneiro 10T [EQ]</t>
        </is>
      </c>
      <c r="D84" s="105" t="inlineStr">
        <is>
          <t>EQ</t>
        </is>
      </c>
      <c r="E84" s="53" t="n">
        <v>2</v>
      </c>
      <c r="F84" s="54" t="n">
        <v>24200</v>
      </c>
      <c r="G84" s="53" t="n">
        <v>8.050000000000001</v>
      </c>
      <c r="H84" s="53" t="n">
        <v>1</v>
      </c>
      <c r="I84" s="54" t="n">
        <v>194810</v>
      </c>
    </row>
    <row r="85">
      <c r="A85" s="52" t="inlineStr">
        <is>
          <t>eap-1_7</t>
        </is>
      </c>
      <c r="B85" s="52" t="inlineStr">
        <is>
          <t>AGIS-ROLO-PC-10T</t>
        </is>
      </c>
      <c r="C85" s="56" t="inlineStr">
        <is>
          <t>Diesel — Rolo Compactador Pé de Carneiro 10T</t>
        </is>
      </c>
      <c r="D85" s="106" t="inlineStr">
        <is>
          <t>COMB</t>
        </is>
      </c>
      <c r="E85" s="53" t="n">
        <v>2</v>
      </c>
      <c r="F85" s="54" t="n">
        <v>20406.86</v>
      </c>
      <c r="G85" s="53" t="n">
        <v>8.050000000000001</v>
      </c>
      <c r="H85" s="53" t="n">
        <v>1</v>
      </c>
      <c r="I85" s="54" t="n">
        <v>164275.22</v>
      </c>
    </row>
    <row r="86">
      <c r="A86" s="52" t="inlineStr">
        <is>
          <t>eap-1_7</t>
        </is>
      </c>
      <c r="B86" s="52" t="inlineStr">
        <is>
          <t>AGIS-TRATOR-PNEU-GRADE</t>
        </is>
      </c>
      <c r="C86" s="52" t="inlineStr">
        <is>
          <t>Trator de Pneus com Grade [EQ]</t>
        </is>
      </c>
      <c r="D86" s="105" t="inlineStr">
        <is>
          <t>EQ</t>
        </is>
      </c>
      <c r="E86" s="53" t="n">
        <v>1</v>
      </c>
      <c r="F86" s="54" t="n">
        <v>33660</v>
      </c>
      <c r="G86" s="53" t="n">
        <v>8.050000000000001</v>
      </c>
      <c r="H86" s="53" t="n">
        <v>1</v>
      </c>
      <c r="I86" s="54" t="n">
        <v>270963</v>
      </c>
    </row>
    <row r="87">
      <c r="A87" s="52" t="inlineStr">
        <is>
          <t>eap-1_7</t>
        </is>
      </c>
      <c r="B87" s="52" t="inlineStr">
        <is>
          <t>AGIS-TRATOR-PNEU-GRADE</t>
        </is>
      </c>
      <c r="C87" s="56" t="inlineStr">
        <is>
          <t>Diesel — Trator de Pneus com Grade</t>
        </is>
      </c>
      <c r="D87" s="106" t="inlineStr">
        <is>
          <t>COMB</t>
        </is>
      </c>
      <c r="E87" s="53" t="n">
        <v>1</v>
      </c>
      <c r="F87" s="54" t="n">
        <v>22957.71</v>
      </c>
      <c r="G87" s="53" t="n">
        <v>8.050000000000001</v>
      </c>
      <c r="H87" s="53" t="n">
        <v>1</v>
      </c>
      <c r="I87" s="54" t="n">
        <v>184809.57</v>
      </c>
    </row>
    <row r="88">
      <c r="A88" s="52" t="inlineStr">
        <is>
          <t>eap-1_7</t>
        </is>
      </c>
      <c r="B88" s="52" t="inlineStr">
        <is>
          <t>AGIS-MOTON-140K</t>
        </is>
      </c>
      <c r="C88" s="52" t="inlineStr">
        <is>
          <t>Motoniveladora 140K [EQ]</t>
        </is>
      </c>
      <c r="D88" s="105" t="inlineStr">
        <is>
          <t>EQ</t>
        </is>
      </c>
      <c r="E88" s="53" t="n">
        <v>1</v>
      </c>
      <c r="F88" s="54" t="n">
        <v>56020.8</v>
      </c>
      <c r="G88" s="53" t="n">
        <v>8.050000000000001</v>
      </c>
      <c r="H88" s="53" t="n">
        <v>1</v>
      </c>
      <c r="I88" s="54" t="n">
        <v>450967.44</v>
      </c>
    </row>
    <row r="89">
      <c r="A89" s="52" t="inlineStr">
        <is>
          <t>eap-1_7</t>
        </is>
      </c>
      <c r="B89" s="52" t="inlineStr">
        <is>
          <t>AGIS-MOTON-140K</t>
        </is>
      </c>
      <c r="C89" s="56" t="inlineStr">
        <is>
          <t>Diesel — Motoniveladora 140K</t>
        </is>
      </c>
      <c r="D89" s="106" t="inlineStr">
        <is>
          <t>COMB</t>
        </is>
      </c>
      <c r="E89" s="53" t="n">
        <v>1</v>
      </c>
      <c r="F89" s="54" t="n">
        <v>28059.43</v>
      </c>
      <c r="G89" s="53" t="n">
        <v>8.050000000000001</v>
      </c>
      <c r="H89" s="53" t="n">
        <v>1</v>
      </c>
      <c r="I89" s="54" t="n">
        <v>225878.41</v>
      </c>
    </row>
    <row r="90">
      <c r="A90" s="52" t="inlineStr">
        <is>
          <t>eap-1_7</t>
        </is>
      </c>
      <c r="B90" s="52" t="inlineStr">
        <is>
          <t>AGIS-CAM-PIPA-18K</t>
        </is>
      </c>
      <c r="C90" s="52" t="inlineStr">
        <is>
          <t>Caminhão Pipa 18.000 L [EQ]</t>
        </is>
      </c>
      <c r="D90" s="105" t="inlineStr">
        <is>
          <t>EQ</t>
        </is>
      </c>
      <c r="E90" s="53" t="n">
        <v>1</v>
      </c>
      <c r="F90" s="54" t="n">
        <v>25300</v>
      </c>
      <c r="G90" s="53" t="n">
        <v>8.050000000000001</v>
      </c>
      <c r="H90" s="53" t="n">
        <v>1</v>
      </c>
      <c r="I90" s="54" t="n">
        <v>203665</v>
      </c>
    </row>
    <row r="91">
      <c r="A91" s="52" t="inlineStr">
        <is>
          <t>eap-1_7</t>
        </is>
      </c>
      <c r="B91" s="52" t="inlineStr">
        <is>
          <t>AGIS-CAM-PIPA-18K</t>
        </is>
      </c>
      <c r="C91" s="56" t="inlineStr">
        <is>
          <t>Diesel — Caminhão Pipa 18.000 L</t>
        </is>
      </c>
      <c r="D91" s="106" t="inlineStr">
        <is>
          <t>COMB</t>
        </is>
      </c>
      <c r="E91" s="53" t="n">
        <v>1</v>
      </c>
      <c r="F91" s="54" t="n">
        <v>8928</v>
      </c>
      <c r="G91" s="53" t="n">
        <v>8.050000000000001</v>
      </c>
      <c r="H91" s="53" t="n">
        <v>1</v>
      </c>
      <c r="I91" s="54" t="n">
        <v>71870.39999999999</v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49" t="n"/>
      <c r="H92" s="49" t="n"/>
      <c r="I92" s="50" t="n">
        <v>10490750.56</v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eap-1_8</t>
        </is>
      </c>
      <c r="B94" s="43" t="inlineStr">
        <is>
          <t>CPU-TERRA-COMPAC-PI</t>
        </is>
      </c>
      <c r="C94" s="43" t="inlineStr">
        <is>
          <t>Operador de Rolo Compactador</t>
        </is>
      </c>
      <c r="D94" s="31" t="inlineStr">
        <is>
          <t>DIRETO</t>
        </is>
      </c>
      <c r="E94" s="44" t="n">
        <v>2</v>
      </c>
      <c r="F94" s="45" t="n">
        <v>16764</v>
      </c>
      <c r="G94" s="44" t="n">
        <v>0.6899999999999999</v>
      </c>
      <c r="H94" s="44" t="n">
        <v>1</v>
      </c>
      <c r="I94" s="45" t="n">
        <v>11567.16</v>
      </c>
    </row>
    <row r="95">
      <c r="A95" s="43" t="inlineStr">
        <is>
          <t>eap-1_8</t>
        </is>
      </c>
      <c r="B95" s="43" t="inlineStr">
        <is>
          <t>CPU-TERRA-COMPAC-PI</t>
        </is>
      </c>
      <c r="C95" s="43" t="inlineStr">
        <is>
          <t>Operador de Trator de Pneus</t>
        </is>
      </c>
      <c r="D95" s="31" t="inlineStr">
        <is>
          <t>DIRETO</t>
        </is>
      </c>
      <c r="E95" s="44" t="n">
        <v>1</v>
      </c>
      <c r="F95" s="45" t="n">
        <v>9394</v>
      </c>
      <c r="G95" s="44" t="n">
        <v>0.6899999999999999</v>
      </c>
      <c r="H95" s="44" t="n">
        <v>1</v>
      </c>
      <c r="I95" s="45" t="n">
        <v>6481.86</v>
      </c>
    </row>
    <row r="96">
      <c r="A96" s="43" t="inlineStr">
        <is>
          <t>eap-1_8</t>
        </is>
      </c>
      <c r="B96" s="43" t="inlineStr">
        <is>
          <t>CPU-TERRA-COMPAC-PI</t>
        </is>
      </c>
      <c r="C96" s="43" t="inlineStr">
        <is>
          <t>Operador de Motoniveladora</t>
        </is>
      </c>
      <c r="D96" s="31" t="inlineStr">
        <is>
          <t>DIRETO</t>
        </is>
      </c>
      <c r="E96" s="44" t="n">
        <v>1</v>
      </c>
      <c r="F96" s="45" t="n">
        <v>9394</v>
      </c>
      <c r="G96" s="44" t="n">
        <v>0.6899999999999999</v>
      </c>
      <c r="H96" s="44" t="n">
        <v>1</v>
      </c>
      <c r="I96" s="45" t="n">
        <v>6481.86</v>
      </c>
    </row>
    <row r="97">
      <c r="A97" s="43" t="inlineStr">
        <is>
          <t>eap-1_8</t>
        </is>
      </c>
      <c r="B97" s="43" t="inlineStr">
        <is>
          <t>CPU-TERRA-COMPAC-PI</t>
        </is>
      </c>
      <c r="C97" s="43" t="inlineStr">
        <is>
          <t>Motorista de Caminhão Pipa</t>
        </is>
      </c>
      <c r="D97" s="31" t="inlineStr">
        <is>
          <t>DIRETO</t>
        </is>
      </c>
      <c r="E97" s="44" t="n">
        <v>1</v>
      </c>
      <c r="F97" s="45" t="n">
        <v>8382</v>
      </c>
      <c r="G97" s="44" t="n">
        <v>0.6899999999999999</v>
      </c>
      <c r="H97" s="44" t="n">
        <v>1</v>
      </c>
      <c r="I97" s="45" t="n">
        <v>5783.58</v>
      </c>
    </row>
    <row r="98">
      <c r="A98" s="43" t="inlineStr">
        <is>
          <t>eap-1_8</t>
        </is>
      </c>
      <c r="B98" s="43" t="inlineStr">
        <is>
          <t>CPU-TERRA-COMPAC-PI</t>
        </is>
      </c>
      <c r="C98" s="43" t="inlineStr">
        <is>
          <t>Ajudante</t>
        </is>
      </c>
      <c r="D98" s="31" t="inlineStr">
        <is>
          <t>DIRETO</t>
        </is>
      </c>
      <c r="E98" s="44" t="n">
        <v>2</v>
      </c>
      <c r="F98" s="45" t="n">
        <v>8558</v>
      </c>
      <c r="G98" s="44" t="n">
        <v>0.6899999999999999</v>
      </c>
      <c r="H98" s="44" t="n">
        <v>1</v>
      </c>
      <c r="I98" s="45" t="n">
        <v>5905.02</v>
      </c>
    </row>
    <row r="99">
      <c r="A99" s="43" t="inlineStr">
        <is>
          <t>eap-1_8</t>
        </is>
      </c>
      <c r="B99" s="43" t="inlineStr">
        <is>
          <t>CPU-TERRA-COMPAC-PI</t>
        </is>
      </c>
      <c r="C99" s="43" t="inlineStr">
        <is>
          <t>Gredista</t>
        </is>
      </c>
      <c r="D99" s="31" t="inlineStr">
        <is>
          <t>DIRETO</t>
        </is>
      </c>
      <c r="E99" s="44" t="n">
        <v>1</v>
      </c>
      <c r="F99" s="45" t="n">
        <v>6448.2</v>
      </c>
      <c r="G99" s="44" t="n">
        <v>0.6899999999999999</v>
      </c>
      <c r="H99" s="44" t="n">
        <v>1</v>
      </c>
      <c r="I99" s="45" t="n">
        <v>4449.26</v>
      </c>
    </row>
    <row r="100">
      <c r="A100" s="43" t="inlineStr">
        <is>
          <t>eap-1_8</t>
        </is>
      </c>
      <c r="B100" s="43" t="inlineStr">
        <is>
          <t>CPU-TERRA-COMPAC-PI</t>
        </is>
      </c>
      <c r="C100" s="43" t="inlineStr">
        <is>
          <t>Encarregado de Frente</t>
        </is>
      </c>
      <c r="D100" s="31" t="inlineStr">
        <is>
          <t>DIRETO</t>
        </is>
      </c>
      <c r="E100" s="44" t="n">
        <v>1</v>
      </c>
      <c r="F100" s="45" t="n">
        <v>7499.8</v>
      </c>
      <c r="G100" s="44" t="n">
        <v>0.6899999999999999</v>
      </c>
      <c r="H100" s="44" t="n">
        <v>1</v>
      </c>
      <c r="I100" s="45" t="n">
        <v>5174.86</v>
      </c>
    </row>
    <row r="101">
      <c r="A101" s="43" t="inlineStr">
        <is>
          <t>eap-1_8</t>
        </is>
      </c>
      <c r="B101" s="43" t="inlineStr">
        <is>
          <t>AGIS-ROLO-PC-10T</t>
        </is>
      </c>
      <c r="C101" s="43" t="inlineStr">
        <is>
          <t>Rolo Compactador Pé de Carneiro 10T [EQ]</t>
        </is>
      </c>
      <c r="D101" s="103" t="inlineStr">
        <is>
          <t>EQ</t>
        </is>
      </c>
      <c r="E101" s="44" t="n">
        <v>2</v>
      </c>
      <c r="F101" s="45" t="n">
        <v>24200</v>
      </c>
      <c r="G101" s="44" t="n">
        <v>0.6899999999999999</v>
      </c>
      <c r="H101" s="44" t="n">
        <v>1</v>
      </c>
      <c r="I101" s="45" t="n">
        <v>16698</v>
      </c>
    </row>
    <row r="102">
      <c r="A102" s="43" t="inlineStr">
        <is>
          <t>eap-1_8</t>
        </is>
      </c>
      <c r="B102" s="43" t="inlineStr">
        <is>
          <t>AGIS-ROLO-PC-10T</t>
        </is>
      </c>
      <c r="C102" s="47" t="inlineStr">
        <is>
          <t>Diesel — Rolo Compactador Pé de Carneiro 10T</t>
        </is>
      </c>
      <c r="D102" s="104" t="inlineStr">
        <is>
          <t>COMB</t>
        </is>
      </c>
      <c r="E102" s="44" t="n">
        <v>2</v>
      </c>
      <c r="F102" s="45" t="n">
        <v>20406.86</v>
      </c>
      <c r="G102" s="44" t="n">
        <v>0.6899999999999999</v>
      </c>
      <c r="H102" s="44" t="n">
        <v>1</v>
      </c>
      <c r="I102" s="45" t="n">
        <v>14080.73</v>
      </c>
    </row>
    <row r="103">
      <c r="A103" s="43" t="inlineStr">
        <is>
          <t>eap-1_8</t>
        </is>
      </c>
      <c r="B103" s="43" t="inlineStr">
        <is>
          <t>AGIS-TRATOR-PNEU-GRADE</t>
        </is>
      </c>
      <c r="C103" s="43" t="inlineStr">
        <is>
          <t>Trator de Pneus com Grade [EQ]</t>
        </is>
      </c>
      <c r="D103" s="103" t="inlineStr">
        <is>
          <t>EQ</t>
        </is>
      </c>
      <c r="E103" s="44" t="n">
        <v>1</v>
      </c>
      <c r="F103" s="45" t="n">
        <v>33660</v>
      </c>
      <c r="G103" s="44" t="n">
        <v>0.6899999999999999</v>
      </c>
      <c r="H103" s="44" t="n">
        <v>1</v>
      </c>
      <c r="I103" s="45" t="n">
        <v>23225.4</v>
      </c>
    </row>
    <row r="104">
      <c r="A104" s="43" t="inlineStr">
        <is>
          <t>eap-1_8</t>
        </is>
      </c>
      <c r="B104" s="43" t="inlineStr">
        <is>
          <t>AGIS-TRATOR-PNEU-GRADE</t>
        </is>
      </c>
      <c r="C104" s="47" t="inlineStr">
        <is>
          <t>Diesel — Trator de Pneus com Grade</t>
        </is>
      </c>
      <c r="D104" s="104" t="inlineStr">
        <is>
          <t>COMB</t>
        </is>
      </c>
      <c r="E104" s="44" t="n">
        <v>1</v>
      </c>
      <c r="F104" s="45" t="n">
        <v>22957.71</v>
      </c>
      <c r="G104" s="44" t="n">
        <v>0.6899999999999999</v>
      </c>
      <c r="H104" s="44" t="n">
        <v>1</v>
      </c>
      <c r="I104" s="45" t="n">
        <v>15840.82</v>
      </c>
    </row>
    <row r="105">
      <c r="A105" s="43" t="inlineStr">
        <is>
          <t>eap-1_8</t>
        </is>
      </c>
      <c r="B105" s="43" t="inlineStr">
        <is>
          <t>AGIS-MOTON-140K</t>
        </is>
      </c>
      <c r="C105" s="43" t="inlineStr">
        <is>
          <t>Motoniveladora 140K [EQ]</t>
        </is>
      </c>
      <c r="D105" s="103" t="inlineStr">
        <is>
          <t>EQ</t>
        </is>
      </c>
      <c r="E105" s="44" t="n">
        <v>1</v>
      </c>
      <c r="F105" s="45" t="n">
        <v>56020.8</v>
      </c>
      <c r="G105" s="44" t="n">
        <v>0.6899999999999999</v>
      </c>
      <c r="H105" s="44" t="n">
        <v>1</v>
      </c>
      <c r="I105" s="45" t="n">
        <v>38654.35</v>
      </c>
    </row>
    <row r="106">
      <c r="A106" s="43" t="inlineStr">
        <is>
          <t>eap-1_8</t>
        </is>
      </c>
      <c r="B106" s="43" t="inlineStr">
        <is>
          <t>AGIS-MOTON-140K</t>
        </is>
      </c>
      <c r="C106" s="47" t="inlineStr">
        <is>
          <t>Diesel — Motoniveladora 140K</t>
        </is>
      </c>
      <c r="D106" s="104" t="inlineStr">
        <is>
          <t>COMB</t>
        </is>
      </c>
      <c r="E106" s="44" t="n">
        <v>1</v>
      </c>
      <c r="F106" s="45" t="n">
        <v>28059.43</v>
      </c>
      <c r="G106" s="44" t="n">
        <v>0.6899999999999999</v>
      </c>
      <c r="H106" s="44" t="n">
        <v>1</v>
      </c>
      <c r="I106" s="45" t="n">
        <v>19361.01</v>
      </c>
    </row>
    <row r="107">
      <c r="A107" s="43" t="inlineStr">
        <is>
          <t>eap-1_8</t>
        </is>
      </c>
      <c r="B107" s="43" t="inlineStr">
        <is>
          <t>AGIS-CAM-PIPA-18K</t>
        </is>
      </c>
      <c r="C107" s="43" t="inlineStr">
        <is>
          <t>Caminhão Pipa 18.000 L [EQ]</t>
        </is>
      </c>
      <c r="D107" s="103" t="inlineStr">
        <is>
          <t>EQ</t>
        </is>
      </c>
      <c r="E107" s="44" t="n">
        <v>1</v>
      </c>
      <c r="F107" s="45" t="n">
        <v>25300</v>
      </c>
      <c r="G107" s="44" t="n">
        <v>0.6899999999999999</v>
      </c>
      <c r="H107" s="44" t="n">
        <v>1</v>
      </c>
      <c r="I107" s="45" t="n">
        <v>17457</v>
      </c>
    </row>
    <row r="108">
      <c r="A108" s="43" t="inlineStr">
        <is>
          <t>eap-1_8</t>
        </is>
      </c>
      <c r="B108" s="43" t="inlineStr">
        <is>
          <t>AGIS-CAM-PIPA-18K</t>
        </is>
      </c>
      <c r="C108" s="47" t="inlineStr">
        <is>
          <t>Diesel — Caminhão Pipa 18.000 L</t>
        </is>
      </c>
      <c r="D108" s="104" t="inlineStr">
        <is>
          <t>COMB</t>
        </is>
      </c>
      <c r="E108" s="44" t="n">
        <v>1</v>
      </c>
      <c r="F108" s="45" t="n">
        <v>8928</v>
      </c>
      <c r="G108" s="44" t="n">
        <v>0.6899999999999999</v>
      </c>
      <c r="H108" s="44" t="n">
        <v>1</v>
      </c>
      <c r="I108" s="45" t="n">
        <v>6160.32</v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49" t="n"/>
      <c r="H109" s="49" t="n"/>
      <c r="I109" s="50" t="n">
        <v>224799.33</v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eap-1_9</t>
        </is>
      </c>
      <c r="B111" s="52" t="inlineStr">
        <is>
          <t>CPU-TERRA-CORPO-ATERRO-3CAT</t>
        </is>
      </c>
      <c r="C111" s="52" t="inlineStr">
        <is>
          <t>Operador de Rolo Compactador</t>
        </is>
      </c>
      <c r="D111" s="32" t="inlineStr">
        <is>
          <t>DIRETO</t>
        </is>
      </c>
      <c r="E111" s="53" t="n">
        <v>2</v>
      </c>
      <c r="F111" s="54" t="n">
        <v>16764</v>
      </c>
      <c r="G111" s="53" t="n">
        <v>7.36</v>
      </c>
      <c r="H111" s="53" t="n">
        <v>1</v>
      </c>
      <c r="I111" s="54" t="n">
        <v>123383.04</v>
      </c>
    </row>
    <row r="112">
      <c r="A112" s="52" t="inlineStr">
        <is>
          <t>eap-1_9</t>
        </is>
      </c>
      <c r="B112" s="52" t="inlineStr">
        <is>
          <t>CPU-TERRA-CORPO-ATERRO-3CAT</t>
        </is>
      </c>
      <c r="C112" s="52" t="inlineStr">
        <is>
          <t>Operador de Trator de Esteiras</t>
        </is>
      </c>
      <c r="D112" s="32" t="inlineStr">
        <is>
          <t>DIRETO</t>
        </is>
      </c>
      <c r="E112" s="53" t="n">
        <v>1</v>
      </c>
      <c r="F112" s="54" t="n">
        <v>9394</v>
      </c>
      <c r="G112" s="53" t="n">
        <v>7.36</v>
      </c>
      <c r="H112" s="53" t="n">
        <v>1</v>
      </c>
      <c r="I112" s="54" t="n">
        <v>69139.84</v>
      </c>
    </row>
    <row r="113">
      <c r="A113" s="52" t="inlineStr">
        <is>
          <t>eap-1_9</t>
        </is>
      </c>
      <c r="B113" s="52" t="inlineStr">
        <is>
          <t>CPU-TERRA-CORPO-ATERRO-3CAT</t>
        </is>
      </c>
      <c r="C113" s="52" t="inlineStr">
        <is>
          <t>Ajudante</t>
        </is>
      </c>
      <c r="D113" s="32" t="inlineStr">
        <is>
          <t>DIRETO</t>
        </is>
      </c>
      <c r="E113" s="53" t="n">
        <v>2</v>
      </c>
      <c r="F113" s="54" t="n">
        <v>8558</v>
      </c>
      <c r="G113" s="53" t="n">
        <v>7.36</v>
      </c>
      <c r="H113" s="53" t="n">
        <v>1</v>
      </c>
      <c r="I113" s="54" t="n">
        <v>62986.88</v>
      </c>
    </row>
    <row r="114">
      <c r="A114" s="52" t="inlineStr">
        <is>
          <t>eap-1_9</t>
        </is>
      </c>
      <c r="B114" s="52" t="inlineStr">
        <is>
          <t>CPU-TERRA-CORPO-ATERRO-3CAT</t>
        </is>
      </c>
      <c r="C114" s="52" t="inlineStr">
        <is>
          <t>Gredista</t>
        </is>
      </c>
      <c r="D114" s="32" t="inlineStr">
        <is>
          <t>DIRETO</t>
        </is>
      </c>
      <c r="E114" s="53" t="n">
        <v>1</v>
      </c>
      <c r="F114" s="54" t="n">
        <v>6448.2</v>
      </c>
      <c r="G114" s="53" t="n">
        <v>7.36</v>
      </c>
      <c r="H114" s="53" t="n">
        <v>1</v>
      </c>
      <c r="I114" s="54" t="n">
        <v>47458.75</v>
      </c>
    </row>
    <row r="115">
      <c r="A115" s="52" t="inlineStr">
        <is>
          <t>eap-1_9</t>
        </is>
      </c>
      <c r="B115" s="52" t="inlineStr">
        <is>
          <t>CPU-TERRA-CORPO-ATERRO-3CAT</t>
        </is>
      </c>
      <c r="C115" s="52" t="inlineStr">
        <is>
          <t>Encarregado de Frente</t>
        </is>
      </c>
      <c r="D115" s="32" t="inlineStr">
        <is>
          <t>DIRETO</t>
        </is>
      </c>
      <c r="E115" s="53" t="n">
        <v>1</v>
      </c>
      <c r="F115" s="54" t="n">
        <v>7499.8</v>
      </c>
      <c r="G115" s="53" t="n">
        <v>7.36</v>
      </c>
      <c r="H115" s="53" t="n">
        <v>1</v>
      </c>
      <c r="I115" s="54" t="n">
        <v>55198.53</v>
      </c>
    </row>
    <row r="116">
      <c r="A116" s="52" t="inlineStr">
        <is>
          <t>eap-1_9</t>
        </is>
      </c>
      <c r="B116" s="52" t="inlineStr">
        <is>
          <t>AGIS-ROLO-PC-10T</t>
        </is>
      </c>
      <c r="C116" s="52" t="inlineStr">
        <is>
          <t>Rolo Compactador Pé de Carneiro 10T [EQ]</t>
        </is>
      </c>
      <c r="D116" s="105" t="inlineStr">
        <is>
          <t>EQ</t>
        </is>
      </c>
      <c r="E116" s="53" t="n">
        <v>2</v>
      </c>
      <c r="F116" s="54" t="n">
        <v>24200</v>
      </c>
      <c r="G116" s="53" t="n">
        <v>7.36</v>
      </c>
      <c r="H116" s="53" t="n">
        <v>1</v>
      </c>
      <c r="I116" s="54" t="n">
        <v>178112</v>
      </c>
    </row>
    <row r="117">
      <c r="A117" s="52" t="inlineStr">
        <is>
          <t>eap-1_9</t>
        </is>
      </c>
      <c r="B117" s="52" t="inlineStr">
        <is>
          <t>AGIS-ROLO-PC-10T</t>
        </is>
      </c>
      <c r="C117" s="56" t="inlineStr">
        <is>
          <t>Diesel — Rolo Compactador Pé de Carneiro 10T</t>
        </is>
      </c>
      <c r="D117" s="106" t="inlineStr">
        <is>
          <t>COMB</t>
        </is>
      </c>
      <c r="E117" s="53" t="n">
        <v>2</v>
      </c>
      <c r="F117" s="54" t="n">
        <v>20406.86</v>
      </c>
      <c r="G117" s="53" t="n">
        <v>7.36</v>
      </c>
      <c r="H117" s="53" t="n">
        <v>1</v>
      </c>
      <c r="I117" s="54" t="n">
        <v>150194.49</v>
      </c>
    </row>
    <row r="118">
      <c r="A118" s="52" t="inlineStr">
        <is>
          <t>eap-1_9</t>
        </is>
      </c>
      <c r="B118" s="52" t="inlineStr">
        <is>
          <t>AGIS-TRAT-EST-40T</t>
        </is>
      </c>
      <c r="C118" s="52" t="inlineStr">
        <is>
          <t>Trator de Esteiras 40T [EQ]</t>
        </is>
      </c>
      <c r="D118" s="105" t="inlineStr">
        <is>
          <t>EQ</t>
        </is>
      </c>
      <c r="E118" s="53" t="n">
        <v>1</v>
      </c>
      <c r="F118" s="54" t="n">
        <v>85954</v>
      </c>
      <c r="G118" s="53" t="n">
        <v>7.36</v>
      </c>
      <c r="H118" s="53" t="n">
        <v>1</v>
      </c>
      <c r="I118" s="54" t="n">
        <v>632621.4399999999</v>
      </c>
    </row>
    <row r="119">
      <c r="A119" s="52" t="inlineStr">
        <is>
          <t>eap-1_9</t>
        </is>
      </c>
      <c r="B119" s="52" t="inlineStr">
        <is>
          <t>AGIS-TRAT-EST-40T</t>
        </is>
      </c>
      <c r="C119" s="56" t="inlineStr">
        <is>
          <t>Diesel — Trator de Esteiras 40T</t>
        </is>
      </c>
      <c r="D119" s="106" t="inlineStr">
        <is>
          <t>COMB</t>
        </is>
      </c>
      <c r="E119" s="53" t="n">
        <v>1</v>
      </c>
      <c r="F119" s="54" t="n">
        <v>40813.71</v>
      </c>
      <c r="G119" s="53" t="n">
        <v>7.36</v>
      </c>
      <c r="H119" s="53" t="n">
        <v>1</v>
      </c>
      <c r="I119" s="54" t="n">
        <v>300388.91</v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49" t="n"/>
      <c r="H120" s="49" t="n"/>
      <c r="I120" s="50" t="n">
        <v>9400211.890000001</v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eap-1_10</t>
        </is>
      </c>
      <c r="B122" s="43" t="inlineStr">
        <is>
          <t>CPU-TERRA-COMPAC-FINAL-ROCHA</t>
        </is>
      </c>
      <c r="C122" s="43" t="inlineStr">
        <is>
          <t>Operador de Trator de Esteiras</t>
        </is>
      </c>
      <c r="D122" s="31" t="inlineStr">
        <is>
          <t>DIRETO</t>
        </is>
      </c>
      <c r="E122" s="44" t="n">
        <v>1</v>
      </c>
      <c r="F122" s="45" t="n">
        <v>9394</v>
      </c>
      <c r="G122" s="44" t="n">
        <v>1.38</v>
      </c>
      <c r="H122" s="44" t="n">
        <v>1</v>
      </c>
      <c r="I122" s="45" t="n">
        <v>12963.72</v>
      </c>
    </row>
    <row r="123">
      <c r="A123" s="43" t="inlineStr">
        <is>
          <t>eap-1_10</t>
        </is>
      </c>
      <c r="B123" s="43" t="inlineStr">
        <is>
          <t>CPU-TERRA-COMPAC-FINAL-ROCHA</t>
        </is>
      </c>
      <c r="C123" s="43" t="inlineStr">
        <is>
          <t>Operador de Rolo Compactador</t>
        </is>
      </c>
      <c r="D123" s="31" t="inlineStr">
        <is>
          <t>DIRETO</t>
        </is>
      </c>
      <c r="E123" s="44" t="n">
        <v>3</v>
      </c>
      <c r="F123" s="45" t="n">
        <v>25146</v>
      </c>
      <c r="G123" s="44" t="n">
        <v>1.38</v>
      </c>
      <c r="H123" s="44" t="n">
        <v>1</v>
      </c>
      <c r="I123" s="45" t="n">
        <v>34701.48</v>
      </c>
    </row>
    <row r="124">
      <c r="A124" s="43" t="inlineStr">
        <is>
          <t>eap-1_10</t>
        </is>
      </c>
      <c r="B124" s="43" t="inlineStr">
        <is>
          <t>CPU-TERRA-COMPAC-FINAL-ROCHA</t>
        </is>
      </c>
      <c r="C124" s="43" t="inlineStr">
        <is>
          <t>Motorista de Caminhão Pipa</t>
        </is>
      </c>
      <c r="D124" s="31" t="inlineStr">
        <is>
          <t>DIRETO</t>
        </is>
      </c>
      <c r="E124" s="44" t="n">
        <v>1</v>
      </c>
      <c r="F124" s="45" t="n">
        <v>8382</v>
      </c>
      <c r="G124" s="44" t="n">
        <v>1.38</v>
      </c>
      <c r="H124" s="44" t="n">
        <v>1</v>
      </c>
      <c r="I124" s="45" t="n">
        <v>11567.16</v>
      </c>
    </row>
    <row r="125">
      <c r="A125" s="43" t="inlineStr">
        <is>
          <t>eap-1_10</t>
        </is>
      </c>
      <c r="B125" s="43" t="inlineStr">
        <is>
          <t>CPU-TERRA-COMPAC-FINAL-ROCHA</t>
        </is>
      </c>
      <c r="C125" s="43" t="inlineStr">
        <is>
          <t>Ajudante</t>
        </is>
      </c>
      <c r="D125" s="31" t="inlineStr">
        <is>
          <t>DIRETO</t>
        </is>
      </c>
      <c r="E125" s="44" t="n">
        <v>2</v>
      </c>
      <c r="F125" s="45" t="n">
        <v>8558</v>
      </c>
      <c r="G125" s="44" t="n">
        <v>1.38</v>
      </c>
      <c r="H125" s="44" t="n">
        <v>1</v>
      </c>
      <c r="I125" s="45" t="n">
        <v>11810.04</v>
      </c>
    </row>
    <row r="126">
      <c r="A126" s="43" t="inlineStr">
        <is>
          <t>eap-1_10</t>
        </is>
      </c>
      <c r="B126" s="43" t="inlineStr">
        <is>
          <t>AGIS-TRAT-EST-20T</t>
        </is>
      </c>
      <c r="C126" s="43" t="inlineStr">
        <is>
          <t>Trator de Esteiras 20T [EQ]</t>
        </is>
      </c>
      <c r="D126" s="103" t="inlineStr">
        <is>
          <t>EQ</t>
        </is>
      </c>
      <c r="E126" s="44" t="n">
        <v>1</v>
      </c>
      <c r="F126" s="45" t="n">
        <v>52470</v>
      </c>
      <c r="G126" s="44" t="n">
        <v>1.38</v>
      </c>
      <c r="H126" s="44" t="n">
        <v>1</v>
      </c>
      <c r="I126" s="45" t="n">
        <v>72408.60000000001</v>
      </c>
    </row>
    <row r="127">
      <c r="A127" s="43" t="inlineStr">
        <is>
          <t>eap-1_10</t>
        </is>
      </c>
      <c r="B127" s="43" t="inlineStr">
        <is>
          <t>AGIS-TRAT-EST-20T</t>
        </is>
      </c>
      <c r="C127" s="47" t="inlineStr">
        <is>
          <t>Diesel — Trator de Esteiras 20T</t>
        </is>
      </c>
      <c r="D127" s="104" t="inlineStr">
        <is>
          <t>COMB</t>
        </is>
      </c>
      <c r="E127" s="44" t="n">
        <v>1</v>
      </c>
      <c r="F127" s="45" t="n">
        <v>33161.14</v>
      </c>
      <c r="G127" s="44" t="n">
        <v>1.38</v>
      </c>
      <c r="H127" s="44" t="n">
        <v>1</v>
      </c>
      <c r="I127" s="45" t="n">
        <v>45762.37</v>
      </c>
    </row>
    <row r="128">
      <c r="A128" s="43" t="inlineStr">
        <is>
          <t>eap-1_10</t>
        </is>
      </c>
      <c r="B128" s="43" t="inlineStr">
        <is>
          <t>AGIS-ROLO-LISO</t>
        </is>
      </c>
      <c r="C128" s="43" t="inlineStr">
        <is>
          <t>Rolo Compactador Liso [EQ]</t>
        </is>
      </c>
      <c r="D128" s="103" t="inlineStr">
        <is>
          <t>EQ</t>
        </is>
      </c>
      <c r="E128" s="44" t="n">
        <v>2</v>
      </c>
      <c r="F128" s="45" t="n">
        <v>19800</v>
      </c>
      <c r="G128" s="44" t="n">
        <v>1.38</v>
      </c>
      <c r="H128" s="44" t="n">
        <v>1</v>
      </c>
      <c r="I128" s="45" t="n">
        <v>27324</v>
      </c>
    </row>
    <row r="129">
      <c r="A129" s="43" t="inlineStr">
        <is>
          <t>eap-1_10</t>
        </is>
      </c>
      <c r="B129" s="43" t="inlineStr">
        <is>
          <t>AGIS-ROLO-LISO</t>
        </is>
      </c>
      <c r="C129" s="47" t="inlineStr">
        <is>
          <t>Diesel — Rolo Compactador Liso</t>
        </is>
      </c>
      <c r="D129" s="104" t="inlineStr">
        <is>
          <t>COMB</t>
        </is>
      </c>
      <c r="E129" s="44" t="n">
        <v>2</v>
      </c>
      <c r="F129" s="45" t="n">
        <v>20406.86</v>
      </c>
      <c r="G129" s="44" t="n">
        <v>1.38</v>
      </c>
      <c r="H129" s="44" t="n">
        <v>1</v>
      </c>
      <c r="I129" s="45" t="n">
        <v>28161.47</v>
      </c>
    </row>
    <row r="130">
      <c r="A130" s="43" t="inlineStr">
        <is>
          <t>eap-1_10</t>
        </is>
      </c>
      <c r="B130" s="43" t="inlineStr">
        <is>
          <t>AGIS-CAM-PIPA-18K</t>
        </is>
      </c>
      <c r="C130" s="43" t="inlineStr">
        <is>
          <t>Caminhão Pipa 18.000 L [EQ]</t>
        </is>
      </c>
      <c r="D130" s="103" t="inlineStr">
        <is>
          <t>EQ</t>
        </is>
      </c>
      <c r="E130" s="44" t="n">
        <v>1</v>
      </c>
      <c r="F130" s="45" t="n">
        <v>25300</v>
      </c>
      <c r="G130" s="44" t="n">
        <v>1.38</v>
      </c>
      <c r="H130" s="44" t="n">
        <v>1</v>
      </c>
      <c r="I130" s="45" t="n">
        <v>34914</v>
      </c>
    </row>
    <row r="131">
      <c r="A131" s="43" t="inlineStr">
        <is>
          <t>eap-1_10</t>
        </is>
      </c>
      <c r="B131" s="43" t="inlineStr">
        <is>
          <t>AGIS-CAM-PIPA-18K</t>
        </is>
      </c>
      <c r="C131" s="47" t="inlineStr">
        <is>
          <t>Diesel — Caminhão Pipa 18.000 L</t>
        </is>
      </c>
      <c r="D131" s="104" t="inlineStr">
        <is>
          <t>COMB</t>
        </is>
      </c>
      <c r="E131" s="44" t="n">
        <v>1</v>
      </c>
      <c r="F131" s="45" t="n">
        <v>8928</v>
      </c>
      <c r="G131" s="44" t="n">
        <v>1.38</v>
      </c>
      <c r="H131" s="44" t="n">
        <v>1</v>
      </c>
      <c r="I131" s="45" t="n">
        <v>12320.64</v>
      </c>
    </row>
    <row r="132">
      <c r="A132" s="43" t="inlineStr">
        <is>
          <t>eap-1_10</t>
        </is>
      </c>
      <c r="B132" s="43" t="inlineStr">
        <is>
          <t>AGIS-ROLO-PC-10T</t>
        </is>
      </c>
      <c r="C132" s="43" t="inlineStr">
        <is>
          <t>Rolo Compactador Pé de Carneiro 10T [EQ]</t>
        </is>
      </c>
      <c r="D132" s="103" t="inlineStr">
        <is>
          <t>EQ</t>
        </is>
      </c>
      <c r="E132" s="44" t="n">
        <v>1</v>
      </c>
      <c r="F132" s="45" t="n">
        <v>24200</v>
      </c>
      <c r="G132" s="44" t="n">
        <v>1.38</v>
      </c>
      <c r="H132" s="44" t="n">
        <v>1</v>
      </c>
      <c r="I132" s="45" t="n">
        <v>33396</v>
      </c>
    </row>
    <row r="133">
      <c r="A133" s="43" t="inlineStr">
        <is>
          <t>eap-1_10</t>
        </is>
      </c>
      <c r="B133" s="43" t="inlineStr">
        <is>
          <t>AGIS-ROLO-PC-10T</t>
        </is>
      </c>
      <c r="C133" s="47" t="inlineStr">
        <is>
          <t>Diesel — Rolo Compactador Pé de Carneiro 10T</t>
        </is>
      </c>
      <c r="D133" s="104" t="inlineStr">
        <is>
          <t>COMB</t>
        </is>
      </c>
      <c r="E133" s="44" t="n">
        <v>1</v>
      </c>
      <c r="F133" s="45" t="n">
        <v>20406.86</v>
      </c>
      <c r="G133" s="44" t="n">
        <v>1.38</v>
      </c>
      <c r="H133" s="44" t="n">
        <v>1</v>
      </c>
      <c r="I133" s="45" t="n">
        <v>28161.47</v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49" t="n"/>
      <c r="H134" s="49" t="n"/>
      <c r="I134" s="50" t="n">
        <v>449598.65</v>
      </c>
    </row>
    <row r="136">
      <c r="A136" s="57" t="inlineStr">
        <is>
          <t>TOTAL EQUIPES DIRETAS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Custo Fixo Equipe (R$)</t>
        </is>
      </c>
      <c r="D2" s="4" t="inlineStr">
        <is>
          <t>Preço Venda CPU (R$)</t>
        </is>
      </c>
      <c r="E2" s="4" t="inlineStr">
        <is>
          <t>Delta (R$)</t>
        </is>
      </c>
      <c r="F2" s="4" t="inlineStr">
        <is>
          <t>Status</t>
        </is>
      </c>
    </row>
    <row r="3">
      <c r="A3" s="43" t="inlineStr">
        <is>
          <t>eap-1_0</t>
        </is>
      </c>
      <c r="B3" s="43" t="inlineStr">
        <is>
          <t>CPU-TERRA-ATI-003</t>
        </is>
      </c>
      <c r="C3" s="45" t="n">
        <v>2097749.92</v>
      </c>
      <c r="D3" s="45" t="n">
        <v>2477673.16</v>
      </c>
      <c r="E3" s="107" t="n">
        <v>379923.24</v>
      </c>
      <c r="F3" s="31" t="inlineStr">
        <is>
          <t>OK</t>
        </is>
      </c>
    </row>
    <row r="4">
      <c r="A4" s="52" t="inlineStr">
        <is>
          <t>eap-1_1</t>
        </is>
      </c>
      <c r="B4" s="52" t="inlineStr">
        <is>
          <t>CPU-TERRA-ESCO-CARGA-1CAT-DMT2000</t>
        </is>
      </c>
      <c r="C4" s="54" t="n">
        <v>871125.3</v>
      </c>
      <c r="D4" s="54" t="n">
        <v>992406.46</v>
      </c>
      <c r="E4" s="108" t="n">
        <v>121281.16</v>
      </c>
      <c r="F4" s="32" t="inlineStr">
        <is>
          <t>OK</t>
        </is>
      </c>
    </row>
    <row r="5">
      <c r="A5" s="43" t="inlineStr">
        <is>
          <t>eap-1_2</t>
        </is>
      </c>
      <c r="B5" s="43" t="inlineStr">
        <is>
          <t>CPU-TERRA-ESCO-CARGA-1CAT-DMT3000</t>
        </is>
      </c>
      <c r="C5" s="45" t="n">
        <v>2978388.13</v>
      </c>
      <c r="D5" s="45" t="n">
        <v>3441418.84</v>
      </c>
      <c r="E5" s="107" t="n">
        <v>463030.71</v>
      </c>
      <c r="F5" s="31" t="inlineStr">
        <is>
          <t>OK</t>
        </is>
      </c>
    </row>
    <row r="6">
      <c r="A6" s="52" t="inlineStr">
        <is>
          <t>eap-1_3</t>
        </is>
      </c>
      <c r="B6" s="52" t="inlineStr">
        <is>
          <t>CPU-TERRA-ESCO-CARGA-2CAT-DMT2000</t>
        </is>
      </c>
      <c r="C6" s="54" t="n">
        <v>1097045.35</v>
      </c>
      <c r="D6" s="54" t="n">
        <v>1280091.96</v>
      </c>
      <c r="E6" s="108" t="n">
        <v>183046.61</v>
      </c>
      <c r="F6" s="32" t="inlineStr">
        <is>
          <t>OK</t>
        </is>
      </c>
    </row>
    <row r="7">
      <c r="A7" s="43" t="inlineStr">
        <is>
          <t>eap-1_4</t>
        </is>
      </c>
      <c r="B7" s="43" t="inlineStr">
        <is>
          <t>CPU-TERRA-ESCO-CARGA-2CAT-DMT3000</t>
        </is>
      </c>
      <c r="C7" s="45" t="n">
        <v>6540503.7</v>
      </c>
      <c r="D7" s="45" t="n">
        <v>7597204.52</v>
      </c>
      <c r="E7" s="107" t="n">
        <v>1056700.82</v>
      </c>
      <c r="F7" s="31" t="inlineStr">
        <is>
          <t>OK</t>
        </is>
      </c>
    </row>
    <row r="8">
      <c r="A8" s="52" t="inlineStr">
        <is>
          <t>eap-1_5</t>
        </is>
      </c>
      <c r="B8" s="52" t="inlineStr">
        <is>
          <t>CPU-TERRA-ESCO-CARGA-3CAT-DMT2000</t>
        </is>
      </c>
      <c r="C8" s="54" t="n">
        <v>4673919.84</v>
      </c>
      <c r="D8" s="54" t="n">
        <v>5452981.76</v>
      </c>
      <c r="E8" s="108" t="n">
        <v>779061.92</v>
      </c>
      <c r="F8" s="32" t="inlineStr">
        <is>
          <t>OK</t>
        </is>
      </c>
    </row>
    <row r="9">
      <c r="A9" s="43" t="inlineStr">
        <is>
          <t>eap-1_6</t>
        </is>
      </c>
      <c r="B9" s="43" t="inlineStr">
        <is>
          <t>CPU-TERRA-ESCO-CARGA-3CAT-DMT3000</t>
        </is>
      </c>
      <c r="C9" s="45" t="n">
        <v>13038268.64</v>
      </c>
      <c r="D9" s="45" t="n">
        <v>14870246.89</v>
      </c>
      <c r="E9" s="107" t="n">
        <v>1831978.25</v>
      </c>
      <c r="F9" s="31" t="inlineStr">
        <is>
          <t>OK</t>
        </is>
      </c>
    </row>
    <row r="10">
      <c r="A10" s="52" t="inlineStr">
        <is>
          <t>eap-1_7</t>
        </is>
      </c>
      <c r="B10" s="52" t="inlineStr">
        <is>
          <t>CPU-TERRA-COMPAC-PN</t>
        </is>
      </c>
      <c r="C10" s="54" t="n">
        <v>10522970.47</v>
      </c>
      <c r="D10" s="54" t="n">
        <v>12156798.29</v>
      </c>
      <c r="E10" s="108" t="n">
        <v>1633827.82</v>
      </c>
      <c r="F10" s="32" t="inlineStr">
        <is>
          <t>OK</t>
        </is>
      </c>
    </row>
    <row r="11">
      <c r="A11" s="43" t="inlineStr">
        <is>
          <t>eap-1_8</t>
        </is>
      </c>
      <c r="B11" s="43" t="inlineStr">
        <is>
          <t>CPU-TERRA-COMPAC-PI</t>
        </is>
      </c>
      <c r="C11" s="45" t="n">
        <v>225479.85</v>
      </c>
      <c r="D11" s="45" t="n">
        <v>411657.26</v>
      </c>
      <c r="E11" s="107" t="n">
        <v>186177.41</v>
      </c>
      <c r="F11" s="31" t="inlineStr">
        <is>
          <t>OK</t>
        </is>
      </c>
    </row>
    <row r="12">
      <c r="A12" s="52" t="inlineStr">
        <is>
          <t>eap-1_9</t>
        </is>
      </c>
      <c r="B12" s="52" t="inlineStr">
        <is>
          <t>CPU-TERRA-CORPO-ATERRO-3CAT</t>
        </is>
      </c>
      <c r="C12" s="54" t="n">
        <v>5760051.51</v>
      </c>
      <c r="D12" s="54" t="n">
        <v>6741771.1</v>
      </c>
      <c r="E12" s="108" t="n">
        <v>981719.59</v>
      </c>
      <c r="F12" s="32" t="inlineStr">
        <is>
          <t>OK</t>
        </is>
      </c>
    </row>
    <row r="13">
      <c r="A13" s="43" t="inlineStr">
        <is>
          <t>eap-1_10</t>
        </is>
      </c>
      <c r="B13" s="43" t="inlineStr">
        <is>
          <t>CPU-TERRA-COMPAC-FINAL-ROCHA</t>
        </is>
      </c>
      <c r="C13" s="45" t="n">
        <v>394885.9</v>
      </c>
      <c r="D13" s="45" t="n">
        <v>415123.69</v>
      </c>
      <c r="E13" s="107" t="n">
        <v>20237.79</v>
      </c>
      <c r="F13" s="31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38" customWidth="1" min="7" max="7"/>
  </cols>
  <sheetData>
    <row r="1">
      <c r="A1" s="1" t="inlineStr">
        <is>
          <t>CALENDARIO OPERACIONAL</t>
        </is>
      </c>
    </row>
    <row r="3">
      <c r="A3" s="4" t="inlineStr">
        <is>
          <t>Semana ISO</t>
        </is>
      </c>
      <c r="B3" s="4" t="inlineStr">
        <is>
          <t>Dias úteis base</t>
        </is>
      </c>
      <c r="C3" s="4" t="inlineStr">
        <is>
          <t>Dias úteis efetivos</t>
        </is>
      </c>
      <c r="D3" s="4" t="inlineStr">
        <is>
          <t>Fator calendário</t>
        </is>
      </c>
      <c r="E3" s="4" t="inlineStr">
        <is>
          <t>Fator clima</t>
        </is>
      </c>
      <c r="F3" s="4" t="inlineStr">
        <is>
          <t>Fator total</t>
        </is>
      </c>
      <c r="G3" s="4" t="inlineStr">
        <is>
          <t>Eventos aplicados</t>
        </is>
      </c>
    </row>
    <row r="4">
      <c r="A4" s="43" t="inlineStr">
        <is>
          <t>2026-W23</t>
        </is>
      </c>
      <c r="B4" s="44" t="n">
        <v>6</v>
      </c>
      <c r="C4" s="44" t="n">
        <v>6</v>
      </c>
      <c r="D4" s="44" t="n">
        <v>1</v>
      </c>
      <c r="E4" s="44" t="n">
        <v>1</v>
      </c>
      <c r="F4" s="44" t="n">
        <v>1</v>
      </c>
      <c r="G4" s="43" t="inlineStr"/>
    </row>
    <row r="5">
      <c r="A5" s="52" t="inlineStr">
        <is>
          <t>2026-W24</t>
        </is>
      </c>
      <c r="B5" s="53" t="n">
        <v>6</v>
      </c>
      <c r="C5" s="53" t="n">
        <v>6</v>
      </c>
      <c r="D5" s="53" t="n">
        <v>1</v>
      </c>
      <c r="E5" s="53" t="n">
        <v>1</v>
      </c>
      <c r="F5" s="53" t="n">
        <v>1</v>
      </c>
      <c r="G5" s="52" t="inlineStr"/>
    </row>
    <row r="6">
      <c r="A6" s="43" t="inlineStr">
        <is>
          <t>2026-W25</t>
        </is>
      </c>
      <c r="B6" s="44" t="n">
        <v>6</v>
      </c>
      <c r="C6" s="44" t="n">
        <v>6</v>
      </c>
      <c r="D6" s="44" t="n">
        <v>1</v>
      </c>
      <c r="E6" s="44" t="n">
        <v>1</v>
      </c>
      <c r="F6" s="44" t="n">
        <v>1</v>
      </c>
      <c r="G6" s="43" t="inlineStr"/>
    </row>
    <row r="7">
      <c r="A7" s="52" t="inlineStr">
        <is>
          <t>2026-W26</t>
        </is>
      </c>
      <c r="B7" s="53" t="n">
        <v>6</v>
      </c>
      <c r="C7" s="53" t="n">
        <v>6</v>
      </c>
      <c r="D7" s="53" t="n">
        <v>1</v>
      </c>
      <c r="E7" s="53" t="n">
        <v>1</v>
      </c>
      <c r="F7" s="53" t="n">
        <v>1</v>
      </c>
      <c r="G7" s="52" t="inlineStr"/>
    </row>
    <row r="8">
      <c r="A8" s="43" t="inlineStr">
        <is>
          <t>2026-W27</t>
        </is>
      </c>
      <c r="B8" s="44" t="n">
        <v>6</v>
      </c>
      <c r="C8" s="44" t="n">
        <v>6</v>
      </c>
      <c r="D8" s="44" t="n">
        <v>1</v>
      </c>
      <c r="E8" s="44" t="n">
        <v>1</v>
      </c>
      <c r="F8" s="44" t="n">
        <v>1</v>
      </c>
      <c r="G8" s="43" t="inlineStr"/>
    </row>
    <row r="9">
      <c r="A9" s="52" t="inlineStr">
        <is>
          <t>2026-W28</t>
        </is>
      </c>
      <c r="B9" s="53" t="n">
        <v>6</v>
      </c>
      <c r="C9" s="53" t="n">
        <v>6</v>
      </c>
      <c r="D9" s="53" t="n">
        <v>1</v>
      </c>
      <c r="E9" s="53" t="n">
        <v>1</v>
      </c>
      <c r="F9" s="53" t="n">
        <v>1</v>
      </c>
      <c r="G9" s="52" t="inlineStr"/>
    </row>
    <row r="10">
      <c r="A10" s="43" t="inlineStr">
        <is>
          <t>2026-W29</t>
        </is>
      </c>
      <c r="B10" s="44" t="n">
        <v>6</v>
      </c>
      <c r="C10" s="44" t="n">
        <v>6</v>
      </c>
      <c r="D10" s="44" t="n">
        <v>1</v>
      </c>
      <c r="E10" s="44" t="n">
        <v>1</v>
      </c>
      <c r="F10" s="44" t="n">
        <v>1</v>
      </c>
      <c r="G10" s="43" t="inlineStr"/>
    </row>
    <row r="11">
      <c r="A11" s="52" t="inlineStr">
        <is>
          <t>2026-W30</t>
        </is>
      </c>
      <c r="B11" s="53" t="n">
        <v>6</v>
      </c>
      <c r="C11" s="53" t="n">
        <v>6</v>
      </c>
      <c r="D11" s="53" t="n">
        <v>1</v>
      </c>
      <c r="E11" s="53" t="n">
        <v>1</v>
      </c>
      <c r="F11" s="53" t="n">
        <v>1</v>
      </c>
      <c r="G11" s="52" t="inlineStr"/>
    </row>
    <row r="12">
      <c r="A12" s="43" t="inlineStr">
        <is>
          <t>2026-W31</t>
        </is>
      </c>
      <c r="B12" s="44" t="n">
        <v>6</v>
      </c>
      <c r="C12" s="44" t="n">
        <v>6</v>
      </c>
      <c r="D12" s="44" t="n">
        <v>1</v>
      </c>
      <c r="E12" s="44" t="n">
        <v>1</v>
      </c>
      <c r="F12" s="44" t="n">
        <v>1</v>
      </c>
      <c r="G12" s="43" t="inlineStr"/>
    </row>
    <row r="13">
      <c r="A13" s="52" t="inlineStr">
        <is>
          <t>2026-W32</t>
        </is>
      </c>
      <c r="B13" s="53" t="n">
        <v>6</v>
      </c>
      <c r="C13" s="53" t="n">
        <v>6</v>
      </c>
      <c r="D13" s="53" t="n">
        <v>1</v>
      </c>
      <c r="E13" s="53" t="n">
        <v>1</v>
      </c>
      <c r="F13" s="53" t="n">
        <v>1</v>
      </c>
      <c r="G13" s="52" t="inlineStr"/>
    </row>
    <row r="14">
      <c r="A14" s="43" t="inlineStr">
        <is>
          <t>2026-W33</t>
        </is>
      </c>
      <c r="B14" s="44" t="n">
        <v>6</v>
      </c>
      <c r="C14" s="44" t="n">
        <v>6</v>
      </c>
      <c r="D14" s="44" t="n">
        <v>1</v>
      </c>
      <c r="E14" s="44" t="n">
        <v>1</v>
      </c>
      <c r="F14" s="44" t="n">
        <v>1</v>
      </c>
      <c r="G14" s="43" t="inlineStr"/>
    </row>
    <row r="15">
      <c r="A15" s="52" t="inlineStr">
        <is>
          <t>2026-W34</t>
        </is>
      </c>
      <c r="B15" s="53" t="n">
        <v>6</v>
      </c>
      <c r="C15" s="53" t="n">
        <v>6</v>
      </c>
      <c r="D15" s="53" t="n">
        <v>1</v>
      </c>
      <c r="E15" s="53" t="n">
        <v>1</v>
      </c>
      <c r="F15" s="53" t="n">
        <v>1</v>
      </c>
      <c r="G15" s="52" t="inlineStr"/>
    </row>
    <row r="16">
      <c r="A16" s="43" t="inlineStr">
        <is>
          <t>2026-W35</t>
        </is>
      </c>
      <c r="B16" s="44" t="n">
        <v>6</v>
      </c>
      <c r="C16" s="44" t="n">
        <v>6</v>
      </c>
      <c r="D16" s="44" t="n">
        <v>1</v>
      </c>
      <c r="E16" s="44" t="n">
        <v>1</v>
      </c>
      <c r="F16" s="44" t="n">
        <v>1</v>
      </c>
      <c r="G16" s="43" t="inlineStr"/>
    </row>
    <row r="17">
      <c r="A17" s="52" t="inlineStr">
        <is>
          <t>2026-W36</t>
        </is>
      </c>
      <c r="B17" s="53" t="n">
        <v>6</v>
      </c>
      <c r="C17" s="53" t="n">
        <v>6</v>
      </c>
      <c r="D17" s="53" t="n">
        <v>1</v>
      </c>
      <c r="E17" s="53" t="n">
        <v>1</v>
      </c>
      <c r="F17" s="53" t="n">
        <v>1</v>
      </c>
      <c r="G17" s="52" t="inlineStr"/>
    </row>
    <row r="18">
      <c r="A18" s="43" t="inlineStr">
        <is>
          <t>2026-W37</t>
        </is>
      </c>
      <c r="B18" s="44" t="n">
        <v>6</v>
      </c>
      <c r="C18" s="44" t="n">
        <v>6</v>
      </c>
      <c r="D18" s="44" t="n">
        <v>1</v>
      </c>
      <c r="E18" s="44" t="n">
        <v>1</v>
      </c>
      <c r="F18" s="44" t="n">
        <v>1</v>
      </c>
      <c r="G18" s="43" t="inlineStr"/>
    </row>
    <row r="19">
      <c r="A19" s="52" t="inlineStr">
        <is>
          <t>2026-W38</t>
        </is>
      </c>
      <c r="B19" s="53" t="n">
        <v>6</v>
      </c>
      <c r="C19" s="53" t="n">
        <v>6</v>
      </c>
      <c r="D19" s="53" t="n">
        <v>1</v>
      </c>
      <c r="E19" s="53" t="n">
        <v>1</v>
      </c>
      <c r="F19" s="53" t="n">
        <v>1</v>
      </c>
      <c r="G19" s="52" t="inlineStr"/>
    </row>
    <row r="20">
      <c r="A20" s="43" t="inlineStr">
        <is>
          <t>2026-W39</t>
        </is>
      </c>
      <c r="B20" s="44" t="n">
        <v>6</v>
      </c>
      <c r="C20" s="44" t="n">
        <v>6</v>
      </c>
      <c r="D20" s="44" t="n">
        <v>1</v>
      </c>
      <c r="E20" s="44" t="n">
        <v>1</v>
      </c>
      <c r="F20" s="44" t="n">
        <v>1</v>
      </c>
      <c r="G20" s="43" t="inlineStr"/>
    </row>
    <row r="21">
      <c r="A21" s="52" t="inlineStr">
        <is>
          <t>2026-W40</t>
        </is>
      </c>
      <c r="B21" s="53" t="n">
        <v>6</v>
      </c>
      <c r="C21" s="53" t="n">
        <v>6</v>
      </c>
      <c r="D21" s="53" t="n">
        <v>1</v>
      </c>
      <c r="E21" s="53" t="n">
        <v>1</v>
      </c>
      <c r="F21" s="53" t="n">
        <v>1</v>
      </c>
      <c r="G21" s="52" t="inlineStr"/>
    </row>
    <row r="22">
      <c r="A22" s="43" t="inlineStr">
        <is>
          <t>2026-W41</t>
        </is>
      </c>
      <c r="B22" s="44" t="n">
        <v>6</v>
      </c>
      <c r="C22" s="44" t="n">
        <v>6</v>
      </c>
      <c r="D22" s="44" t="n">
        <v>1</v>
      </c>
      <c r="E22" s="44" t="n">
        <v>0.9333</v>
      </c>
      <c r="F22" s="44" t="n">
        <v>0.9333</v>
      </c>
      <c r="G22" s="43" t="inlineStr"/>
    </row>
    <row r="23">
      <c r="A23" s="52" t="inlineStr">
        <is>
          <t>2026-W42</t>
        </is>
      </c>
      <c r="B23" s="53" t="n">
        <v>6</v>
      </c>
      <c r="C23" s="53" t="n">
        <v>6</v>
      </c>
      <c r="D23" s="53" t="n">
        <v>1</v>
      </c>
      <c r="E23" s="53" t="n">
        <v>0.9333</v>
      </c>
      <c r="F23" s="53" t="n">
        <v>0.9333</v>
      </c>
      <c r="G23" s="52" t="inlineStr"/>
    </row>
    <row r="24">
      <c r="A24" s="43" t="inlineStr">
        <is>
          <t>2026-W43</t>
        </is>
      </c>
      <c r="B24" s="44" t="n">
        <v>6</v>
      </c>
      <c r="C24" s="44" t="n">
        <v>6</v>
      </c>
      <c r="D24" s="44" t="n">
        <v>1</v>
      </c>
      <c r="E24" s="44" t="n">
        <v>0.9333</v>
      </c>
      <c r="F24" s="44" t="n">
        <v>0.9333</v>
      </c>
      <c r="G24" s="43" t="inlineStr"/>
    </row>
    <row r="25">
      <c r="A25" s="52" t="inlineStr">
        <is>
          <t>2026-W44</t>
        </is>
      </c>
      <c r="B25" s="53" t="n">
        <v>6</v>
      </c>
      <c r="C25" s="53" t="n">
        <v>6</v>
      </c>
      <c r="D25" s="53" t="n">
        <v>1</v>
      </c>
      <c r="E25" s="53" t="n">
        <v>0.9333</v>
      </c>
      <c r="F25" s="53" t="n">
        <v>0.9333</v>
      </c>
      <c r="G25" s="52" t="inlineStr"/>
    </row>
    <row r="26">
      <c r="A26" s="43" t="inlineStr">
        <is>
          <t>2026-W45</t>
        </is>
      </c>
      <c r="B26" s="44" t="n">
        <v>6</v>
      </c>
      <c r="C26" s="44" t="n">
        <v>6</v>
      </c>
      <c r="D26" s="44" t="n">
        <v>1</v>
      </c>
      <c r="E26" s="44" t="n">
        <v>0.9355</v>
      </c>
      <c r="F26" s="44" t="n">
        <v>0.9355</v>
      </c>
      <c r="G26" s="43" t="inlineStr"/>
    </row>
    <row r="27">
      <c r="A27" s="52" t="inlineStr">
        <is>
          <t>2026-W46</t>
        </is>
      </c>
      <c r="B27" s="53" t="n">
        <v>6</v>
      </c>
      <c r="C27" s="53" t="n">
        <v>6</v>
      </c>
      <c r="D27" s="53" t="n">
        <v>1</v>
      </c>
      <c r="E27" s="53" t="n">
        <v>0.9355</v>
      </c>
      <c r="F27" s="53" t="n">
        <v>0.9355</v>
      </c>
      <c r="G27" s="52" t="inlineStr"/>
    </row>
    <row r="28">
      <c r="A28" s="43" t="inlineStr">
        <is>
          <t>2026-W47</t>
        </is>
      </c>
      <c r="B28" s="44" t="n">
        <v>6</v>
      </c>
      <c r="C28" s="44" t="n">
        <v>6</v>
      </c>
      <c r="D28" s="44" t="n">
        <v>1</v>
      </c>
      <c r="E28" s="44" t="n">
        <v>0.9355</v>
      </c>
      <c r="F28" s="44" t="n">
        <v>0.9355</v>
      </c>
      <c r="G28" s="43" t="inlineStr"/>
    </row>
    <row r="29">
      <c r="A29" s="52" t="inlineStr">
        <is>
          <t>2026-W48</t>
        </is>
      </c>
      <c r="B29" s="53" t="n">
        <v>6</v>
      </c>
      <c r="C29" s="53" t="n">
        <v>6</v>
      </c>
      <c r="D29" s="53" t="n">
        <v>1</v>
      </c>
      <c r="E29" s="53" t="n">
        <v>0.9355</v>
      </c>
      <c r="F29" s="53" t="n">
        <v>0.9355</v>
      </c>
      <c r="G29" s="52" t="inlineStr"/>
    </row>
    <row r="30">
      <c r="A30" s="43" t="inlineStr">
        <is>
          <t>2026-W49</t>
        </is>
      </c>
      <c r="B30" s="44" t="n">
        <v>6</v>
      </c>
      <c r="C30" s="44" t="n">
        <v>6</v>
      </c>
      <c r="D30" s="44" t="n">
        <v>1</v>
      </c>
      <c r="E30" s="44" t="n">
        <v>0.9355</v>
      </c>
      <c r="F30" s="44" t="n">
        <v>0.9355</v>
      </c>
      <c r="G30" s="43" t="inlineStr"/>
    </row>
    <row r="31">
      <c r="A31" s="52" t="inlineStr">
        <is>
          <t>2026-W50</t>
        </is>
      </c>
      <c r="B31" s="53" t="n">
        <v>6</v>
      </c>
      <c r="C31" s="53" t="n">
        <v>6</v>
      </c>
      <c r="D31" s="53" t="n">
        <v>1</v>
      </c>
      <c r="E31" s="53" t="n">
        <v>0.9355</v>
      </c>
      <c r="F31" s="53" t="n">
        <v>0.9355</v>
      </c>
      <c r="G31" s="52" t="inlineStr"/>
    </row>
    <row r="32">
      <c r="A32" s="43" t="inlineStr">
        <is>
          <t>2026-W51</t>
        </is>
      </c>
      <c r="B32" s="44" t="n">
        <v>6</v>
      </c>
      <c r="C32" s="44" t="n">
        <v>6</v>
      </c>
      <c r="D32" s="44" t="n">
        <v>1</v>
      </c>
      <c r="E32" s="44" t="n">
        <v>0.9355</v>
      </c>
      <c r="F32" s="44" t="n">
        <v>0.9355</v>
      </c>
      <c r="G32" s="43" t="inlineStr"/>
    </row>
    <row r="33">
      <c r="A33" s="52" t="inlineStr">
        <is>
          <t>2026-W52</t>
        </is>
      </c>
      <c r="B33" s="53" t="n">
        <v>6</v>
      </c>
      <c r="C33" s="53" t="n">
        <v>6</v>
      </c>
      <c r="D33" s="53" t="n">
        <v>1</v>
      </c>
      <c r="E33" s="53" t="n">
        <v>0.9355</v>
      </c>
      <c r="F33" s="53" t="n">
        <v>0.9355</v>
      </c>
      <c r="G33" s="52" t="inlineStr"/>
    </row>
    <row r="34">
      <c r="A34" s="43" t="inlineStr">
        <is>
          <t>2026-W53</t>
        </is>
      </c>
      <c r="B34" s="44" t="n">
        <v>6</v>
      </c>
      <c r="C34" s="44" t="n">
        <v>6</v>
      </c>
      <c r="D34" s="44" t="n">
        <v>1</v>
      </c>
      <c r="E34" s="44" t="n">
        <v>0.9355</v>
      </c>
      <c r="F34" s="44" t="n">
        <v>0.9355</v>
      </c>
      <c r="G34" s="43" t="inlineStr"/>
    </row>
    <row r="35">
      <c r="A35" s="52" t="inlineStr">
        <is>
          <t>2027-W01</t>
        </is>
      </c>
      <c r="B35" s="53" t="n">
        <v>6</v>
      </c>
      <c r="C35" s="53" t="n">
        <v>6</v>
      </c>
      <c r="D35" s="53" t="n">
        <v>1</v>
      </c>
      <c r="E35" s="53" t="n">
        <v>0.8387</v>
      </c>
      <c r="F35" s="53" t="n">
        <v>0.8387</v>
      </c>
      <c r="G35" s="52" t="inlineStr"/>
    </row>
    <row r="36">
      <c r="A36" s="43" t="inlineStr">
        <is>
          <t>2027-W02</t>
        </is>
      </c>
      <c r="B36" s="44" t="n">
        <v>6</v>
      </c>
      <c r="C36" s="44" t="n">
        <v>6</v>
      </c>
      <c r="D36" s="44" t="n">
        <v>1</v>
      </c>
      <c r="E36" s="44" t="n">
        <v>0.8387</v>
      </c>
      <c r="F36" s="44" t="n">
        <v>0.8387</v>
      </c>
      <c r="G36" s="43" t="inlineStr"/>
    </row>
    <row r="37">
      <c r="A37" s="52" t="inlineStr">
        <is>
          <t>2027-W03</t>
        </is>
      </c>
      <c r="B37" s="53" t="n">
        <v>6</v>
      </c>
      <c r="C37" s="53" t="n">
        <v>6</v>
      </c>
      <c r="D37" s="53" t="n">
        <v>1</v>
      </c>
      <c r="E37" s="53" t="n">
        <v>0.8387</v>
      </c>
      <c r="F37" s="53" t="n">
        <v>0.8387</v>
      </c>
      <c r="G37" s="52" t="inlineStr"/>
    </row>
    <row r="38">
      <c r="A38" s="43" t="inlineStr">
        <is>
          <t>2027-W04</t>
        </is>
      </c>
      <c r="B38" s="44" t="n">
        <v>6</v>
      </c>
      <c r="C38" s="44" t="n">
        <v>6</v>
      </c>
      <c r="D38" s="44" t="n">
        <v>1</v>
      </c>
      <c r="E38" s="44" t="n">
        <v>0.8387</v>
      </c>
      <c r="F38" s="44" t="n">
        <v>0.8387</v>
      </c>
      <c r="G38" s="43" t="inlineStr"/>
    </row>
    <row r="39">
      <c r="A39" s="52" t="inlineStr">
        <is>
          <t>2027-W05</t>
        </is>
      </c>
      <c r="B39" s="53" t="n">
        <v>6</v>
      </c>
      <c r="C39" s="53" t="n">
        <v>6</v>
      </c>
      <c r="D39" s="53" t="n">
        <v>1</v>
      </c>
      <c r="E39" s="53" t="n">
        <v>0.7857</v>
      </c>
      <c r="F39" s="53" t="n">
        <v>0.7857</v>
      </c>
      <c r="G39" s="52" t="inlineStr"/>
    </row>
    <row r="40">
      <c r="A40" s="43" t="inlineStr">
        <is>
          <t>2027-W06</t>
        </is>
      </c>
      <c r="B40" s="44" t="n">
        <v>6</v>
      </c>
      <c r="C40" s="44" t="n">
        <v>6</v>
      </c>
      <c r="D40" s="44" t="n">
        <v>1</v>
      </c>
      <c r="E40" s="44" t="n">
        <v>0.7857</v>
      </c>
      <c r="F40" s="44" t="n">
        <v>0.7857</v>
      </c>
      <c r="G40" s="43" t="inlineStr"/>
    </row>
    <row r="41">
      <c r="A41" s="52" t="inlineStr">
        <is>
          <t>2027-W07</t>
        </is>
      </c>
      <c r="B41" s="53" t="n">
        <v>6</v>
      </c>
      <c r="C41" s="53" t="n">
        <v>6</v>
      </c>
      <c r="D41" s="53" t="n">
        <v>1</v>
      </c>
      <c r="E41" s="53" t="n">
        <v>0.7857</v>
      </c>
      <c r="F41" s="53" t="n">
        <v>0.7857</v>
      </c>
      <c r="G41" s="52" t="inlineStr"/>
    </row>
    <row r="42">
      <c r="A42" s="43" t="inlineStr">
        <is>
          <t>2027-W08</t>
        </is>
      </c>
      <c r="B42" s="44" t="n">
        <v>6</v>
      </c>
      <c r="C42" s="44" t="n">
        <v>6</v>
      </c>
      <c r="D42" s="44" t="n">
        <v>1</v>
      </c>
      <c r="E42" s="44" t="n">
        <v>0.7857</v>
      </c>
      <c r="F42" s="44" t="n">
        <v>0.7857</v>
      </c>
      <c r="G42" s="43" t="inlineStr"/>
    </row>
    <row r="43">
      <c r="A43" s="52" t="inlineStr">
        <is>
          <t>2027-W09</t>
        </is>
      </c>
      <c r="B43" s="53" t="n">
        <v>6</v>
      </c>
      <c r="C43" s="53" t="n">
        <v>6</v>
      </c>
      <c r="D43" s="53" t="n">
        <v>1</v>
      </c>
      <c r="E43" s="53" t="n">
        <v>0.6129</v>
      </c>
      <c r="F43" s="53" t="n">
        <v>0.6129</v>
      </c>
      <c r="G43" s="52" t="inlineStr"/>
    </row>
    <row r="44">
      <c r="A44" s="43" t="inlineStr">
        <is>
          <t>2027-W10</t>
        </is>
      </c>
      <c r="B44" s="44" t="n">
        <v>6</v>
      </c>
      <c r="C44" s="44" t="n">
        <v>6</v>
      </c>
      <c r="D44" s="44" t="n">
        <v>1</v>
      </c>
      <c r="E44" s="44" t="n">
        <v>0.6129</v>
      </c>
      <c r="F44" s="44" t="n">
        <v>0.6129</v>
      </c>
      <c r="G44" s="43" t="inlineStr"/>
    </row>
    <row r="45">
      <c r="A45" s="52" t="inlineStr">
        <is>
          <t>2027-W11</t>
        </is>
      </c>
      <c r="B45" s="53" t="n">
        <v>6</v>
      </c>
      <c r="C45" s="53" t="n">
        <v>6</v>
      </c>
      <c r="D45" s="53" t="n">
        <v>1</v>
      </c>
      <c r="E45" s="53" t="n">
        <v>0.6129</v>
      </c>
      <c r="F45" s="53" t="n">
        <v>0.6129</v>
      </c>
      <c r="G45" s="52" t="inlineStr"/>
    </row>
    <row r="46">
      <c r="A46" s="43" t="inlineStr">
        <is>
          <t>2027-W12</t>
        </is>
      </c>
      <c r="B46" s="44" t="n">
        <v>6</v>
      </c>
      <c r="C46" s="44" t="n">
        <v>6</v>
      </c>
      <c r="D46" s="44" t="n">
        <v>1</v>
      </c>
      <c r="E46" s="44" t="n">
        <v>0.6129</v>
      </c>
      <c r="F46" s="44" t="n">
        <v>0.6129</v>
      </c>
      <c r="G46" s="43" t="inlineStr"/>
    </row>
    <row r="47">
      <c r="A47" s="52" t="inlineStr">
        <is>
          <t>2027-W13</t>
        </is>
      </c>
      <c r="B47" s="53" t="n">
        <v>6</v>
      </c>
      <c r="C47" s="53" t="n">
        <v>6</v>
      </c>
      <c r="D47" s="53" t="n">
        <v>1</v>
      </c>
      <c r="E47" s="53" t="n">
        <v>0.9</v>
      </c>
      <c r="F47" s="53" t="n">
        <v>0.9</v>
      </c>
      <c r="G47" s="52" t="inlineStr"/>
    </row>
    <row r="48">
      <c r="A48" s="43" t="inlineStr">
        <is>
          <t>2027-W14</t>
        </is>
      </c>
      <c r="B48" s="44" t="n">
        <v>6</v>
      </c>
      <c r="C48" s="44" t="n">
        <v>6</v>
      </c>
      <c r="D48" s="44" t="n">
        <v>1</v>
      </c>
      <c r="E48" s="44" t="n">
        <v>0.9</v>
      </c>
      <c r="F48" s="44" t="n">
        <v>0.9</v>
      </c>
      <c r="G48" s="43" t="inlineStr"/>
    </row>
    <row r="49">
      <c r="A49" s="52" t="inlineStr">
        <is>
          <t>2027-W15</t>
        </is>
      </c>
      <c r="B49" s="53" t="n">
        <v>6</v>
      </c>
      <c r="C49" s="53" t="n">
        <v>6</v>
      </c>
      <c r="D49" s="53" t="n">
        <v>1</v>
      </c>
      <c r="E49" s="53" t="n">
        <v>0.9</v>
      </c>
      <c r="F49" s="53" t="n">
        <v>0.9</v>
      </c>
      <c r="G49" s="52" t="inlineStr"/>
    </row>
    <row r="50">
      <c r="A50" s="43" t="inlineStr">
        <is>
          <t>2027-W16</t>
        </is>
      </c>
      <c r="B50" s="44" t="n">
        <v>6</v>
      </c>
      <c r="C50" s="44" t="n">
        <v>6</v>
      </c>
      <c r="D50" s="44" t="n">
        <v>1</v>
      </c>
      <c r="E50" s="44" t="n">
        <v>0.9</v>
      </c>
      <c r="F50" s="44" t="n">
        <v>0.9</v>
      </c>
      <c r="G50" s="43" t="inlineStr"/>
    </row>
    <row r="51">
      <c r="A51" s="52" t="inlineStr">
        <is>
          <t>2027-W17</t>
        </is>
      </c>
      <c r="B51" s="53" t="n">
        <v>6</v>
      </c>
      <c r="C51" s="53" t="n">
        <v>6</v>
      </c>
      <c r="D51" s="53" t="n">
        <v>1</v>
      </c>
      <c r="E51" s="53" t="n">
        <v>0.871</v>
      </c>
      <c r="F51" s="53" t="n">
        <v>0.871</v>
      </c>
      <c r="G51" s="52" t="inlineStr"/>
    </row>
    <row r="52">
      <c r="A52" s="43" t="inlineStr">
        <is>
          <t>2027-W18</t>
        </is>
      </c>
      <c r="B52" s="44" t="n">
        <v>6</v>
      </c>
      <c r="C52" s="44" t="n">
        <v>6</v>
      </c>
      <c r="D52" s="44" t="n">
        <v>1</v>
      </c>
      <c r="E52" s="44" t="n">
        <v>0.871</v>
      </c>
      <c r="F52" s="44" t="n">
        <v>0.871</v>
      </c>
      <c r="G52" s="43" t="inlineStr"/>
    </row>
    <row r="53">
      <c r="A53" s="52" t="inlineStr">
        <is>
          <t>2027-W19</t>
        </is>
      </c>
      <c r="B53" s="53" t="n">
        <v>6</v>
      </c>
      <c r="C53" s="53" t="n">
        <v>6</v>
      </c>
      <c r="D53" s="53" t="n">
        <v>1</v>
      </c>
      <c r="E53" s="53" t="n">
        <v>0.871</v>
      </c>
      <c r="F53" s="53" t="n">
        <v>0.871</v>
      </c>
      <c r="G53" s="52" t="inlineStr"/>
    </row>
    <row r="54">
      <c r="A54" s="43" t="inlineStr">
        <is>
          <t>2027-W20</t>
        </is>
      </c>
      <c r="B54" s="44" t="n">
        <v>6</v>
      </c>
      <c r="C54" s="44" t="n">
        <v>6</v>
      </c>
      <c r="D54" s="44" t="n">
        <v>1</v>
      </c>
      <c r="E54" s="44" t="n">
        <v>0.871</v>
      </c>
      <c r="F54" s="44" t="n">
        <v>0.871</v>
      </c>
      <c r="G54" s="43" t="inlineStr"/>
    </row>
    <row r="55">
      <c r="A55" s="52" t="inlineStr">
        <is>
          <t>2027-W21</t>
        </is>
      </c>
      <c r="B55" s="53" t="n">
        <v>6</v>
      </c>
      <c r="C55" s="53" t="n">
        <v>6</v>
      </c>
      <c r="D55" s="53" t="n">
        <v>1</v>
      </c>
      <c r="E55" s="53" t="n">
        <v>1</v>
      </c>
      <c r="F55" s="53" t="n">
        <v>1</v>
      </c>
      <c r="G55" s="52" t="inlineStr"/>
    </row>
    <row r="56">
      <c r="A56" s="43" t="inlineStr">
        <is>
          <t>2027-W22</t>
        </is>
      </c>
      <c r="B56" s="44" t="n">
        <v>6</v>
      </c>
      <c r="C56" s="44" t="n">
        <v>6</v>
      </c>
      <c r="D56" s="44" t="n">
        <v>1</v>
      </c>
      <c r="E56" s="44" t="n">
        <v>1</v>
      </c>
      <c r="F56" s="44" t="n">
        <v>1</v>
      </c>
      <c r="G56" s="43" t="inlineStr"/>
    </row>
    <row r="57">
      <c r="A57" s="52" t="inlineStr">
        <is>
          <t>2027-W23</t>
        </is>
      </c>
      <c r="B57" s="53" t="n">
        <v>6</v>
      </c>
      <c r="C57" s="53" t="n">
        <v>6</v>
      </c>
      <c r="D57" s="53" t="n">
        <v>1</v>
      </c>
      <c r="E57" s="53" t="n">
        <v>1</v>
      </c>
      <c r="F57" s="53" t="n">
        <v>1</v>
      </c>
      <c r="G57" s="52" t="inlineStr"/>
    </row>
    <row r="58">
      <c r="A58" s="43" t="inlineStr">
        <is>
          <t>2027-W24</t>
        </is>
      </c>
      <c r="B58" s="44" t="n">
        <v>6</v>
      </c>
      <c r="C58" s="44" t="n">
        <v>6</v>
      </c>
      <c r="D58" s="44" t="n">
        <v>1</v>
      </c>
      <c r="E58" s="44" t="n">
        <v>1</v>
      </c>
      <c r="F58" s="44" t="n">
        <v>0.4082</v>
      </c>
      <c r="G58" s="43" t="inlineStr"/>
    </row>
    <row r="59">
      <c r="A59" s="52" t="inlineStr">
        <is>
          <t>2027-W25</t>
        </is>
      </c>
      <c r="B59" s="53" t="n">
        <v>6</v>
      </c>
      <c r="C59" s="53" t="n">
        <v>6</v>
      </c>
      <c r="D59" s="53" t="n">
        <v>1</v>
      </c>
      <c r="E59" s="53" t="n">
        <v>1</v>
      </c>
      <c r="F59" s="53" t="n">
        <v>1</v>
      </c>
      <c r="G59" s="52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RESULTADO FINANCEIRO — MENDESLOBO CONSTRUTORA</t>
        </is>
      </c>
    </row>
    <row r="2"/>
    <row r="3">
      <c r="A3" s="3" t="inlineStr">
        <is>
          <t>PROJETO</t>
        </is>
      </c>
    </row>
    <row r="4">
      <c r="A4" s="43" t="inlineStr">
        <is>
          <t>Nome</t>
        </is>
      </c>
      <c r="B4" s="43" t="inlineStr">
        <is>
          <t>AGIS - Ferrovia Nova Transnordestina (Supressao e Terraplanagem)</t>
        </is>
      </c>
      <c r="C4" s="19" t="n"/>
    </row>
    <row r="5">
      <c r="A5" s="52" t="inlineStr">
        <is>
          <t>Tipo de obra</t>
        </is>
      </c>
      <c r="B5" s="52" t="inlineStr">
        <is>
          <t>terraplenagem</t>
        </is>
      </c>
      <c r="C5" s="22" t="n"/>
    </row>
    <row r="6">
      <c r="A6" s="43" t="inlineStr">
        <is>
          <t>Localização</t>
        </is>
      </c>
      <c r="B6" s="43" t="inlineStr">
        <is>
          <t>Ceara, Brasil</t>
        </is>
      </c>
      <c r="C6" s="19" t="n"/>
    </row>
    <row r="7">
      <c r="A7" s="52" t="inlineStr">
        <is>
          <t>Período</t>
        </is>
      </c>
      <c r="B7" s="52" t="inlineStr">
        <is>
          <t>2026-06-01 -&gt; 2027-06-27</t>
        </is>
      </c>
      <c r="C7" s="22" t="n"/>
    </row>
    <row r="8">
      <c r="A8" s="43" t="inlineStr">
        <is>
          <t>Regime</t>
        </is>
      </c>
      <c r="B8" s="43" t="inlineStr">
        <is>
          <t>6 dias/sem · 8 h/dia</t>
        </is>
      </c>
      <c r="C8" s="19" t="n"/>
    </row>
    <row r="9"/>
    <row r="10">
      <c r="A10" s="3" t="inlineStr">
        <is>
          <t>RECEITA CONTRATUAL (COM BDI)</t>
        </is>
      </c>
    </row>
    <row r="11">
      <c r="A11" s="52" t="inlineStr">
        <is>
          <t>Preço de venda s/ BDI</t>
        </is>
      </c>
      <c r="B11" s="54">
        <f>PLANEJAMENTO!$M$15</f>
        <v/>
      </c>
      <c r="C11" s="22" t="n"/>
    </row>
    <row r="12">
      <c r="A12" s="109" t="inlineStr">
        <is>
          <t>Preço de venda c/ BDI</t>
        </is>
      </c>
      <c r="B12" s="110" t="n">
        <v>85639774.05</v>
      </c>
      <c r="C12" s="19" t="n"/>
    </row>
    <row r="13"/>
    <row r="14">
      <c r="A14" s="3" t="inlineStr">
        <is>
          <t>CUSTOS</t>
        </is>
      </c>
    </row>
    <row r="15">
      <c r="A15" s="52" t="inlineStr">
        <is>
          <t>Custo direto (catálogo s/BDI)</t>
        </is>
      </c>
      <c r="B15" s="54">
        <f>PLANEJAMENTO!$M$15</f>
        <v/>
      </c>
      <c r="C15" s="22" t="n"/>
    </row>
    <row r="16">
      <c r="A16" s="43" t="inlineStr">
        <is>
          <t xml:space="preserve">  ADM</t>
        </is>
      </c>
      <c r="B16" s="45">
        <f>'INDIRETOS.DET'!$H$26</f>
        <v/>
      </c>
      <c r="C16" s="19" t="n"/>
    </row>
    <row r="17">
      <c r="A17" s="52" t="inlineStr">
        <is>
          <t xml:space="preserve">  TOP</t>
        </is>
      </c>
      <c r="B17" s="54">
        <f>'INDIRETOS.DET'!$H$32</f>
        <v/>
      </c>
      <c r="C17" s="22" t="n"/>
    </row>
    <row r="18">
      <c r="A18" s="43" t="inlineStr">
        <is>
          <t xml:space="preserve">  LAB</t>
        </is>
      </c>
      <c r="B18" s="45">
        <f>'INDIRETOS.DET'!$H$36</f>
        <v/>
      </c>
      <c r="C18" s="19" t="n"/>
    </row>
    <row r="19">
      <c r="A19" s="52" t="inlineStr">
        <is>
          <t xml:space="preserve">  QSMS</t>
        </is>
      </c>
      <c r="B19" s="54">
        <f>'INDIRETOS.DET'!$H$43</f>
        <v/>
      </c>
      <c r="C19" s="22" t="n"/>
    </row>
    <row r="20">
      <c r="A20" s="43" t="inlineStr">
        <is>
          <t xml:space="preserve">  MOB</t>
        </is>
      </c>
      <c r="B20" s="45">
        <f>'INDIRETOS.DET'!$H$46</f>
        <v/>
      </c>
      <c r="C20" s="19" t="n"/>
    </row>
    <row r="21">
      <c r="A21" s="52" t="inlineStr">
        <is>
          <t>Custo indireto (subtotal)</t>
        </is>
      </c>
      <c r="B21" s="54">
        <f>'INDIRETOS.DET'!$H$48</f>
        <v/>
      </c>
      <c r="C21" s="22" t="n"/>
    </row>
    <row r="22">
      <c r="A22" s="109" t="inlineStr">
        <is>
          <t>CUSTO TOTAL</t>
        </is>
      </c>
      <c r="B22" s="110">
        <f>B15+B21</f>
        <v/>
      </c>
      <c r="C22" s="19" t="n"/>
    </row>
    <row r="23"/>
    <row r="24">
      <c r="A24" s="3" t="inlineStr">
        <is>
          <t>RESULTADO</t>
        </is>
      </c>
    </row>
    <row r="25">
      <c r="A25" s="111" t="inlineStr">
        <is>
          <t>Resultado bruto (R$)</t>
        </is>
      </c>
      <c r="B25" s="108">
        <f>B12-B22</f>
        <v/>
      </c>
      <c r="C25" s="22" t="n"/>
    </row>
    <row r="26">
      <c r="A26" s="109" t="inlineStr">
        <is>
          <t>Margem bruta (%)</t>
        </is>
      </c>
      <c r="B26" s="112">
        <f>IF(B12&gt;0, B25/B12, 0)</f>
        <v/>
      </c>
      <c r="C26" s="19" t="n"/>
    </row>
    <row r="27"/>
    <row r="28">
      <c r="A28" s="113" t="inlineStr">
        <is>
          <t>STATUS: VERMELHO</t>
        </is>
      </c>
    </row>
    <row r="29"/>
    <row r="30">
      <c r="A30" s="3" t="inlineStr">
        <is>
          <t>COMPOSIÇÃO DE CUSTO</t>
        </is>
      </c>
    </row>
    <row r="31">
      <c r="A31" s="52" t="inlineStr">
        <is>
          <t>Total Direto (catálogo s/BDI)</t>
        </is>
      </c>
      <c r="B31" s="54">
        <f>PLANEJAMENTO!$M$15</f>
        <v/>
      </c>
      <c r="C31" s="22" t="n"/>
    </row>
    <row r="32">
      <c r="A32" s="43" t="inlineStr">
        <is>
          <t>Total Direto (c/BDI)</t>
        </is>
      </c>
      <c r="B32" s="45" t="n">
        <v>85639774.05</v>
      </c>
      <c r="C32" s="19" t="n"/>
    </row>
    <row r="33">
      <c r="A33" s="52" t="inlineStr">
        <is>
          <t>RAZÃO CI / CD (%)</t>
        </is>
      </c>
      <c r="B33" s="114" t="n">
        <v>45.44</v>
      </c>
      <c r="C33" s="22" t="n"/>
    </row>
    <row r="34">
      <c r="A34" s="43" t="inlineStr">
        <is>
          <t>CI / PVT (%)</t>
        </is>
      </c>
      <c r="B34" s="115" t="n">
        <v>24.85</v>
      </c>
      <c r="C34" s="19" t="n"/>
    </row>
    <row r="35"/>
    <row r="36">
      <c r="A36" s="3" t="inlineStr">
        <is>
          <t>CAPITAL DE GIRO</t>
        </is>
      </c>
    </row>
    <row r="37">
      <c r="A37" s="52" t="inlineStr">
        <is>
          <t>Exposição máxima</t>
        </is>
      </c>
      <c r="B37" s="116" t="n">
        <v>8083316.404494153</v>
      </c>
      <c r="C37" s="22" t="n"/>
    </row>
    <row r="38">
      <c r="A38" s="43" t="inlineStr">
        <is>
          <t>Parcela mensal (meses 2 a n)</t>
        </is>
      </c>
      <c r="B38" s="45" t="n">
        <v>6587674</v>
      </c>
      <c r="C38" s="19" t="n"/>
    </row>
    <row r="39">
      <c r="A39" s="52" t="inlineStr">
        <is>
          <t>Resíduo (mês n+1)</t>
        </is>
      </c>
      <c r="B39" s="54" t="n">
        <v>6587686.049999997</v>
      </c>
      <c r="C39" s="22" t="n"/>
    </row>
    <row r="40">
      <c r="A40" s="43" t="inlineStr">
        <is>
          <t>Duração da execução (meses)</t>
        </is>
      </c>
      <c r="B40" s="43" t="n">
        <v>13</v>
      </c>
      <c r="C40" s="19" t="n"/>
    </row>
    <row r="41">
      <c r="A41" s="3" t="inlineStr">
        <is>
          <t>ALAVANCAS DE REAJUSTE</t>
        </is>
      </c>
    </row>
    <row r="42">
      <c r="A42" s="43" t="inlineStr">
        <is>
          <t>Preço de venda total</t>
        </is>
      </c>
      <c r="B42" s="21" t="n">
        <v>85639774.05</v>
      </c>
      <c r="C42" s="117" t="inlineStr">
        <is>
          <t>Depende de MO/EQ/MAT/DIESEL + BDI indireto</t>
        </is>
      </c>
    </row>
    <row r="43">
      <c r="A43" s="52" t="inlineStr">
        <is>
          <t>Base catálogo s/BDI</t>
        </is>
      </c>
      <c r="B43" s="24" t="n">
        <v>46843791.49</v>
      </c>
      <c r="C43" s="118" t="inlineStr">
        <is>
          <t>Knob de partida para precificação</t>
        </is>
      </c>
    </row>
    <row r="44">
      <c r="A44" s="43" t="inlineStr">
        <is>
          <t>Markup efetivo</t>
        </is>
      </c>
      <c r="B44" s="6" t="n">
        <v>0.2570282764317655</v>
      </c>
      <c r="C44" s="117" t="inlineStr">
        <is>
          <t>Resultado consolidado, não a fórmula de composição</t>
        </is>
      </c>
    </row>
    <row r="45">
      <c r="A45" s="52" t="inlineStr">
        <is>
          <t>Custo direto de equipes</t>
        </is>
      </c>
      <c r="B45" s="24" t="n">
        <v>48544217.78</v>
      </c>
      <c r="C45" s="118" t="inlineStr">
        <is>
          <t>Sensível a permanência, produtividade e nº de frentes</t>
        </is>
      </c>
    </row>
    <row r="46">
      <c r="A46" s="43" t="inlineStr">
        <is>
          <t>Custo fixo mensal de equipes</t>
        </is>
      </c>
      <c r="B46" s="21" t="n">
        <v>3844188.26</v>
      </c>
      <c r="C46" s="117" t="inlineStr">
        <is>
          <t>Multiplica diretamente pela permanência</t>
        </is>
      </c>
    </row>
    <row r="47">
      <c r="A47" s="52" t="inlineStr">
        <is>
          <t>Permanência média (meses)</t>
        </is>
      </c>
      <c r="B47" s="23" t="n">
        <v>5.143636363636364</v>
      </c>
      <c r="C47" s="118" t="inlineStr">
        <is>
          <t>Reduzir prazo reduz custo fixo e mobilização</t>
        </is>
      </c>
    </row>
    <row r="48">
      <c r="A48" s="43" t="inlineStr">
        <is>
          <t>Pico de equipes</t>
        </is>
      </c>
      <c r="B48" s="20" t="n">
        <v>1</v>
      </c>
      <c r="C48" s="117" t="inlineStr">
        <is>
          <t>Se subir, pressiona custo fixo e mobilização</t>
        </is>
      </c>
    </row>
    <row r="49">
      <c r="A49" s="52" t="inlineStr">
        <is>
          <t>Praticabilidade média</t>
        </is>
      </c>
      <c r="B49" s="9" t="n">
        <v>0.9083433962264151</v>
      </c>
      <c r="C49" s="118" t="inlineStr">
        <is>
          <t>Baixa praticabilidade aumenta permanência</t>
        </is>
      </c>
    </row>
  </sheetData>
  <mergeCells count="9">
    <mergeCell ref="A10:C10"/>
    <mergeCell ref="A28:C28"/>
    <mergeCell ref="A41:C41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4" t="inlineStr">
        <is>
          <t>Mês</t>
        </is>
      </c>
      <c r="B2" s="4" t="inlineStr">
        <is>
          <t>Despesa (R$)</t>
        </is>
      </c>
      <c r="C2" s="4" t="inlineStr">
        <is>
          <t>Receita (R$)</t>
        </is>
      </c>
      <c r="D2" s="4" t="inlineStr">
        <is>
          <t>Rec. Acumulada (R$)</t>
        </is>
      </c>
      <c r="E2" s="4" t="inlineStr">
        <is>
          <t>Saldo do Mês (R$)</t>
        </is>
      </c>
      <c r="F2" s="4" t="inlineStr">
        <is>
          <t>Saldo Atual (R$)</t>
        </is>
      </c>
      <c r="G2" s="4" t="inlineStr">
        <is>
          <t>Exposição Acum. (R$)</t>
        </is>
      </c>
    </row>
    <row r="3">
      <c r="A3" s="46" t="inlineStr">
        <is>
          <t>Jun/26</t>
        </is>
      </c>
      <c r="B3" s="45" t="n">
        <v>8083316.4</v>
      </c>
      <c r="C3" s="45" t="n">
        <v>0</v>
      </c>
      <c r="D3" s="45" t="n">
        <v>0</v>
      </c>
      <c r="E3" s="119" t="n">
        <v>-8083316.4</v>
      </c>
      <c r="F3" s="119" t="n">
        <v>-8083316.4</v>
      </c>
      <c r="G3" s="119" t="n">
        <v>8083316.4</v>
      </c>
    </row>
    <row r="4">
      <c r="A4" s="55" t="inlineStr">
        <is>
          <t>Jul/26</t>
        </is>
      </c>
      <c r="B4" s="54" t="n">
        <v>4807790.61</v>
      </c>
      <c r="C4" s="54" t="n">
        <v>6587674</v>
      </c>
      <c r="D4" s="54" t="n">
        <v>6587674</v>
      </c>
      <c r="E4" s="120" t="n">
        <v>1779883.39</v>
      </c>
      <c r="F4" s="119" t="n">
        <v>-6303433.01</v>
      </c>
      <c r="G4" s="119" t="n">
        <v>6303433.01</v>
      </c>
    </row>
    <row r="5">
      <c r="A5" s="46" t="inlineStr">
        <is>
          <t>Ago/26</t>
        </is>
      </c>
      <c r="B5" s="45" t="n">
        <v>6278658.51</v>
      </c>
      <c r="C5" s="45" t="n">
        <v>6587674</v>
      </c>
      <c r="D5" s="45" t="n">
        <v>13175348</v>
      </c>
      <c r="E5" s="120" t="n">
        <v>309015.49</v>
      </c>
      <c r="F5" s="119" t="n">
        <v>-5994417.52</v>
      </c>
      <c r="G5" s="119" t="n">
        <v>5994417.52</v>
      </c>
    </row>
    <row r="6">
      <c r="A6" s="55" t="inlineStr">
        <is>
          <t>Set/26</t>
        </is>
      </c>
      <c r="B6" s="54" t="n">
        <v>6401356.05</v>
      </c>
      <c r="C6" s="54" t="n">
        <v>6587674</v>
      </c>
      <c r="D6" s="54" t="n">
        <v>19763022</v>
      </c>
      <c r="E6" s="120" t="n">
        <v>186317.95</v>
      </c>
      <c r="F6" s="119" t="n">
        <v>-5808099.57</v>
      </c>
      <c r="G6" s="119" t="n">
        <v>5808099.57</v>
      </c>
    </row>
    <row r="7">
      <c r="A7" s="46" t="inlineStr">
        <is>
          <t>Out/26</t>
        </is>
      </c>
      <c r="B7" s="45" t="n">
        <v>5395086.14</v>
      </c>
      <c r="C7" s="45" t="n">
        <v>6587674</v>
      </c>
      <c r="D7" s="45" t="n">
        <v>26350696</v>
      </c>
      <c r="E7" s="120" t="n">
        <v>1192587.86</v>
      </c>
      <c r="F7" s="119" t="n">
        <v>-4615511.71</v>
      </c>
      <c r="G7" s="119" t="n">
        <v>4615511.71</v>
      </c>
    </row>
    <row r="8">
      <c r="A8" s="55" t="inlineStr">
        <is>
          <t>Nov/26</t>
        </is>
      </c>
      <c r="B8" s="54" t="n">
        <v>6704830.86</v>
      </c>
      <c r="C8" s="54" t="n">
        <v>6587674</v>
      </c>
      <c r="D8" s="54" t="n">
        <v>32938370</v>
      </c>
      <c r="E8" s="119" t="n">
        <v>-117156.86</v>
      </c>
      <c r="F8" s="119" t="n">
        <v>-4732668.57</v>
      </c>
      <c r="G8" s="119" t="n">
        <v>4732668.57</v>
      </c>
    </row>
    <row r="9">
      <c r="A9" s="46" t="inlineStr">
        <is>
          <t>Dez/26</t>
        </is>
      </c>
      <c r="B9" s="45" t="n">
        <v>5602786.83</v>
      </c>
      <c r="C9" s="45" t="n">
        <v>6587674</v>
      </c>
      <c r="D9" s="45" t="n">
        <v>39526044</v>
      </c>
      <c r="E9" s="120" t="n">
        <v>984887.17</v>
      </c>
      <c r="F9" s="119" t="n">
        <v>-3747781.4</v>
      </c>
      <c r="G9" s="119" t="n">
        <v>3747781.4</v>
      </c>
    </row>
    <row r="10">
      <c r="A10" s="55" t="inlineStr">
        <is>
          <t>Jan/27</t>
        </is>
      </c>
      <c r="B10" s="54" t="n">
        <v>5094563.08</v>
      </c>
      <c r="C10" s="54" t="n">
        <v>6587674</v>
      </c>
      <c r="D10" s="54" t="n">
        <v>46113718</v>
      </c>
      <c r="E10" s="120" t="n">
        <v>1493110.92</v>
      </c>
      <c r="F10" s="119" t="n">
        <v>-2254670.48</v>
      </c>
      <c r="G10" s="119" t="n">
        <v>2254670.48</v>
      </c>
    </row>
    <row r="11">
      <c r="A11" s="46" t="inlineStr">
        <is>
          <t>Fev/27</t>
        </is>
      </c>
      <c r="B11" s="45" t="n">
        <v>3822326.32</v>
      </c>
      <c r="C11" s="45" t="n">
        <v>6587674</v>
      </c>
      <c r="D11" s="45" t="n">
        <v>52701392</v>
      </c>
      <c r="E11" s="120" t="n">
        <v>2765347.68</v>
      </c>
      <c r="F11" s="120" t="n">
        <v>510677.2</v>
      </c>
      <c r="G11" s="120" t="n">
        <v>-510677.2</v>
      </c>
    </row>
    <row r="12">
      <c r="A12" s="55" t="inlineStr">
        <is>
          <t>Mar/27</t>
        </is>
      </c>
      <c r="B12" s="54" t="n">
        <v>3661772.18</v>
      </c>
      <c r="C12" s="54" t="n">
        <v>6587674</v>
      </c>
      <c r="D12" s="54" t="n">
        <v>59289066</v>
      </c>
      <c r="E12" s="120" t="n">
        <v>2925901.82</v>
      </c>
      <c r="F12" s="120" t="n">
        <v>3436579.02</v>
      </c>
      <c r="G12" s="120" t="n">
        <v>-3436579.02</v>
      </c>
    </row>
    <row r="13">
      <c r="A13" s="46" t="inlineStr">
        <is>
          <t>Abr/27</t>
        </is>
      </c>
      <c r="B13" s="45" t="n">
        <v>3474542.01</v>
      </c>
      <c r="C13" s="45" t="n">
        <v>6587674</v>
      </c>
      <c r="D13" s="45" t="n">
        <v>65876740</v>
      </c>
      <c r="E13" s="120" t="n">
        <v>3113131.99</v>
      </c>
      <c r="F13" s="120" t="n">
        <v>6549711.01</v>
      </c>
      <c r="G13" s="120" t="n">
        <v>-6549711.01</v>
      </c>
    </row>
    <row r="14">
      <c r="A14" s="55" t="inlineStr">
        <is>
          <t>Mai/27</t>
        </is>
      </c>
      <c r="B14" s="54" t="n">
        <v>2490520</v>
      </c>
      <c r="C14" s="54" t="n">
        <v>6587674</v>
      </c>
      <c r="D14" s="54" t="n">
        <v>72464414</v>
      </c>
      <c r="E14" s="120" t="n">
        <v>4097154</v>
      </c>
      <c r="F14" s="120" t="n">
        <v>10646865.02</v>
      </c>
      <c r="G14" s="120" t="n">
        <v>-10646865.02</v>
      </c>
    </row>
    <row r="15">
      <c r="A15" s="46" t="inlineStr">
        <is>
          <t>Jun/27</t>
        </is>
      </c>
      <c r="B15" s="45" t="n">
        <v>1292197.92</v>
      </c>
      <c r="C15" s="45" t="n">
        <v>6587674</v>
      </c>
      <c r="D15" s="45" t="n">
        <v>79052088</v>
      </c>
      <c r="E15" s="120" t="n">
        <v>5295476.08</v>
      </c>
      <c r="F15" s="120" t="n">
        <v>15942341.1</v>
      </c>
      <c r="G15" s="120" t="n">
        <v>-15942341.1</v>
      </c>
    </row>
    <row r="16">
      <c r="A16" s="55" t="inlineStr">
        <is>
          <t>Jul/27</t>
        </is>
      </c>
      <c r="B16" s="54" t="n">
        <v>0</v>
      </c>
      <c r="C16" s="54" t="n">
        <v>6587686.05</v>
      </c>
      <c r="D16" s="54" t="n">
        <v>85639774.05</v>
      </c>
      <c r="E16" s="120" t="n">
        <v>6587686.05</v>
      </c>
      <c r="F16" s="120" t="n">
        <v>22530027.15</v>
      </c>
      <c r="G16" s="120" t="n">
        <v>-22530027.15</v>
      </c>
    </row>
    <row r="18">
      <c r="A18" s="121" t="inlineStr">
        <is>
          <t>TOTAL</t>
        </is>
      </c>
      <c r="B18" s="58" t="n">
        <v>63109746.9</v>
      </c>
      <c r="C18" s="58" t="n">
        <v>85639774.05</v>
      </c>
      <c r="D18" s="58" t="n">
        <v>85639774.05</v>
      </c>
      <c r="E18" s="122" t="n">
        <v>22530027.15</v>
      </c>
      <c r="F18" s="122" t="n">
        <v>22530027.15</v>
      </c>
      <c r="G18" s="66" t="n"/>
    </row>
    <row r="21">
      <c r="A21" s="3" t="inlineStr">
        <is>
          <t>MÉTRICAS DO FLUXO DE CAIXA</t>
        </is>
      </c>
    </row>
    <row r="22">
      <c r="A22" s="67" t="inlineStr">
        <is>
          <t>Duração da execução (meses)</t>
        </is>
      </c>
      <c r="B22" s="68" t="n"/>
      <c r="C22" s="123" t="n">
        <v>13</v>
      </c>
      <c r="D22" s="70" t="n"/>
      <c r="E22" s="70" t="n"/>
      <c r="F22" s="70" t="n"/>
      <c r="G22" s="68" t="n"/>
    </row>
    <row r="23">
      <c r="A23" s="67" t="inlineStr">
        <is>
          <t>Parcela mensal (meses 2 a n)</t>
        </is>
      </c>
      <c r="B23" s="68" t="n"/>
      <c r="C23" s="123" t="n">
        <v>6587674</v>
      </c>
      <c r="D23" s="70" t="n"/>
      <c r="E23" s="70" t="n"/>
      <c r="F23" s="70" t="n"/>
      <c r="G23" s="68" t="n"/>
    </row>
    <row r="24">
      <c r="A24" s="67" t="inlineStr">
        <is>
          <t>Resíduo (mês n+1)</t>
        </is>
      </c>
      <c r="B24" s="68" t="n"/>
      <c r="C24" s="124" t="n">
        <v>6587686.049999997</v>
      </c>
      <c r="D24" s="70" t="n"/>
      <c r="E24" s="70" t="n"/>
      <c r="F24" s="70" t="n"/>
      <c r="G24" s="68" t="n"/>
    </row>
    <row r="25">
      <c r="A25" s="67" t="inlineStr">
        <is>
          <t>Exposição máxima</t>
        </is>
      </c>
      <c r="B25" s="68" t="n"/>
      <c r="C25" s="125" t="n">
        <v>8083316.404494153</v>
      </c>
      <c r="D25" s="70" t="n"/>
      <c r="E25" s="70" t="n"/>
      <c r="F25" s="70" t="n"/>
      <c r="G25" s="68" t="n"/>
    </row>
    <row r="26">
      <c r="A26" s="67" t="inlineStr">
        <is>
          <t>Mês da exposição máxima</t>
        </is>
      </c>
      <c r="B26" s="68" t="n"/>
      <c r="C26" s="123" t="inlineStr">
        <is>
          <t>Jun/26</t>
        </is>
      </c>
      <c r="D26" s="70" t="n"/>
      <c r="E26" s="70" t="n"/>
      <c r="F26" s="70" t="n"/>
      <c r="G26" s="68" t="n"/>
    </row>
    <row r="27">
      <c r="A27" s="67" t="inlineStr">
        <is>
          <t>Saldo final do projeto</t>
        </is>
      </c>
      <c r="B27" s="68" t="n"/>
      <c r="C27" s="124" t="n">
        <v>22530027.15029928</v>
      </c>
      <c r="D27" s="70" t="n"/>
      <c r="E27" s="70" t="n"/>
      <c r="F27" s="70" t="n"/>
      <c r="G27" s="68" t="n"/>
    </row>
    <row r="29" ht="36" customHeight="1">
      <c r="A29" s="126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6:B26"/>
    <mergeCell ref="A24:B24"/>
    <mergeCell ref="A1:G1"/>
    <mergeCell ref="A25:B25"/>
    <mergeCell ref="C24:G24"/>
    <mergeCell ref="A21:G21"/>
    <mergeCell ref="C25:G25"/>
    <mergeCell ref="A27:B27"/>
    <mergeCell ref="C27:G27"/>
    <mergeCell ref="A29:G29"/>
    <mergeCell ref="C23:G23"/>
    <mergeCell ref="A23:B23"/>
    <mergeCell ref="C22:G22"/>
    <mergeCell ref="A22:B22"/>
    <mergeCell ref="C26:G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EQUIPAMENTOS — DEMANDA SEMANAL (UN.)</t>
        </is>
      </c>
    </row>
    <row r="2">
      <c r="A2" s="4" t="inlineStr">
        <is>
          <t>Equip.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AGIS-CAM-PIPA-18K</t>
        </is>
      </c>
      <c r="B3" s="43" t="inlineStr">
        <is>
          <t>Caminhão Pipa 18.000 L</t>
        </is>
      </c>
      <c r="C3" s="46" t="inlineStr">
        <is>
          <t>un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90" t="n">
        <v>4</v>
      </c>
      <c r="R3" s="90" t="n">
        <v>4</v>
      </c>
      <c r="S3" s="90" t="n">
        <v>4</v>
      </c>
      <c r="T3" s="90" t="n">
        <v>4</v>
      </c>
      <c r="U3" s="90" t="n">
        <v>4</v>
      </c>
      <c r="V3" s="90" t="n">
        <v>4</v>
      </c>
      <c r="W3" s="90" t="n">
        <v>4</v>
      </c>
      <c r="X3" s="90" t="n">
        <v>4</v>
      </c>
      <c r="Y3" s="90" t="n">
        <v>4</v>
      </c>
      <c r="Z3" s="90" t="n">
        <v>4</v>
      </c>
      <c r="AA3" s="90" t="n">
        <v>4</v>
      </c>
      <c r="AB3" s="90" t="n">
        <v>4</v>
      </c>
      <c r="AC3" s="90" t="n">
        <v>4</v>
      </c>
      <c r="AD3" s="90" t="n">
        <v>4</v>
      </c>
      <c r="AE3" s="90" t="n">
        <v>4</v>
      </c>
      <c r="AF3" s="90" t="n">
        <v>4</v>
      </c>
      <c r="AG3" s="90" t="n">
        <v>4</v>
      </c>
      <c r="AH3" s="90" t="n">
        <v>4</v>
      </c>
      <c r="AI3" s="90" t="n">
        <v>4</v>
      </c>
      <c r="AJ3" s="90" t="n">
        <v>4</v>
      </c>
      <c r="AK3" s="90" t="n">
        <v>4</v>
      </c>
      <c r="AL3" s="90" t="n">
        <v>4</v>
      </c>
      <c r="AM3" s="90" t="n">
        <v>4</v>
      </c>
      <c r="AN3" s="90" t="n">
        <v>4</v>
      </c>
      <c r="AO3" s="90" t="n">
        <v>4</v>
      </c>
      <c r="AP3" s="90" t="n">
        <v>4</v>
      </c>
      <c r="AQ3" s="90" t="n">
        <v>4</v>
      </c>
      <c r="AR3" s="90" t="n">
        <v>4</v>
      </c>
      <c r="AS3" s="90" t="n">
        <v>4</v>
      </c>
      <c r="AT3" s="90" t="n">
        <v>4</v>
      </c>
      <c r="AU3" s="90" t="n">
        <v>4</v>
      </c>
      <c r="AV3" s="90" t="n">
        <v>4</v>
      </c>
      <c r="AW3" s="90" t="n">
        <v>4</v>
      </c>
      <c r="AX3" s="90" t="n">
        <v>4</v>
      </c>
      <c r="AY3" s="90" t="n">
        <v>4</v>
      </c>
      <c r="AZ3" s="90" t="n">
        <v>1</v>
      </c>
      <c r="BA3" s="90" t="n">
        <v>2</v>
      </c>
      <c r="BB3" s="90" t="n">
        <v>2</v>
      </c>
      <c r="BC3" s="90" t="n">
        <v>1</v>
      </c>
      <c r="BD3" s="90" t="n">
        <v>1</v>
      </c>
      <c r="BE3" s="90" t="n">
        <v>1</v>
      </c>
      <c r="BF3" s="90" t="n">
        <v>1</v>
      </c>
    </row>
    <row r="4">
      <c r="A4" s="52" t="inlineStr">
        <is>
          <t>AGIS-E0002</t>
        </is>
      </c>
      <c r="B4" s="52" t="inlineStr">
        <is>
          <t>Caminhão Basculante 14 m³</t>
        </is>
      </c>
      <c r="C4" s="55" t="inlineStr">
        <is>
          <t>un</t>
        </is>
      </c>
      <c r="D4" s="22" t="n"/>
      <c r="E4" s="22" t="n"/>
      <c r="F4" s="99" t="n">
        <v>14</v>
      </c>
      <c r="G4" s="99" t="n">
        <v>14</v>
      </c>
      <c r="H4" s="99" t="n">
        <v>14</v>
      </c>
      <c r="I4" s="99" t="n">
        <v>14</v>
      </c>
      <c r="J4" s="99" t="n">
        <v>14</v>
      </c>
      <c r="K4" s="99" t="n">
        <v>14</v>
      </c>
      <c r="L4" s="99" t="n">
        <v>14</v>
      </c>
      <c r="M4" s="99" t="n">
        <v>14</v>
      </c>
      <c r="N4" s="99" t="n">
        <v>14</v>
      </c>
      <c r="O4" s="99" t="n">
        <v>14</v>
      </c>
      <c r="P4" s="99" t="n">
        <v>21</v>
      </c>
      <c r="Q4" s="99" t="n">
        <v>29</v>
      </c>
      <c r="R4" s="99" t="n">
        <v>29</v>
      </c>
      <c r="S4" s="99" t="n">
        <v>29</v>
      </c>
      <c r="T4" s="99" t="n">
        <v>29</v>
      </c>
      <c r="U4" s="99" t="n">
        <v>29</v>
      </c>
      <c r="V4" s="99" t="n">
        <v>29</v>
      </c>
      <c r="W4" s="99" t="n">
        <v>29</v>
      </c>
      <c r="X4" s="99" t="n">
        <v>29</v>
      </c>
      <c r="Y4" s="99" t="n">
        <v>29</v>
      </c>
      <c r="Z4" s="99" t="n">
        <v>22</v>
      </c>
      <c r="AA4" s="99" t="n">
        <v>22</v>
      </c>
      <c r="AB4" s="99" t="n">
        <v>22</v>
      </c>
      <c r="AC4" s="99" t="n">
        <v>22</v>
      </c>
      <c r="AD4" s="99" t="n">
        <v>22</v>
      </c>
      <c r="AE4" s="99" t="n">
        <v>22</v>
      </c>
      <c r="AF4" s="99" t="n">
        <v>22</v>
      </c>
      <c r="AG4" s="99" t="n">
        <v>22</v>
      </c>
      <c r="AH4" s="99" t="n">
        <v>22</v>
      </c>
      <c r="AI4" s="99" t="n">
        <v>22</v>
      </c>
      <c r="AJ4" s="99" t="n">
        <v>22</v>
      </c>
      <c r="AK4" s="99" t="n">
        <v>22</v>
      </c>
      <c r="AL4" s="99" t="n">
        <v>22</v>
      </c>
      <c r="AM4" s="99" t="n">
        <v>22</v>
      </c>
      <c r="AN4" s="99" t="n">
        <v>22</v>
      </c>
      <c r="AO4" s="99" t="n">
        <v>22</v>
      </c>
      <c r="AP4" s="99" t="n">
        <v>22</v>
      </c>
      <c r="AQ4" s="99" t="n">
        <v>22</v>
      </c>
      <c r="AR4" s="99" t="n">
        <v>22</v>
      </c>
      <c r="AS4" s="99" t="n">
        <v>20</v>
      </c>
      <c r="AT4" s="99" t="n">
        <v>20</v>
      </c>
      <c r="AU4" s="99" t="n">
        <v>20</v>
      </c>
      <c r="AV4" s="99" t="n">
        <v>12</v>
      </c>
      <c r="AW4" s="99" t="n">
        <v>12</v>
      </c>
      <c r="AX4" s="99" t="n">
        <v>12</v>
      </c>
      <c r="AY4" s="99" t="n">
        <v>12</v>
      </c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AGIS-E0004</t>
        </is>
      </c>
      <c r="B5" s="43" t="inlineStr">
        <is>
          <t>Caminhão Basculante 14 m³ - Rochas</t>
        </is>
      </c>
      <c r="C5" s="46" t="inlineStr">
        <is>
          <t>un</t>
        </is>
      </c>
      <c r="D5" s="19" t="n"/>
      <c r="E5" s="19" t="n"/>
      <c r="F5" s="90" t="n">
        <v>42</v>
      </c>
      <c r="G5" s="90" t="n">
        <v>42</v>
      </c>
      <c r="H5" s="90" t="n">
        <v>42</v>
      </c>
      <c r="I5" s="90" t="n">
        <v>42</v>
      </c>
      <c r="J5" s="90" t="n">
        <v>42</v>
      </c>
      <c r="K5" s="90" t="n">
        <v>42</v>
      </c>
      <c r="L5" s="90" t="n">
        <v>42</v>
      </c>
      <c r="M5" s="90" t="n">
        <v>42</v>
      </c>
      <c r="N5" s="90" t="n">
        <v>42</v>
      </c>
      <c r="O5" s="90" t="n">
        <v>42</v>
      </c>
      <c r="P5" s="90" t="n">
        <v>42</v>
      </c>
      <c r="Q5" s="90" t="n">
        <v>42</v>
      </c>
      <c r="R5" s="90" t="n">
        <v>42</v>
      </c>
      <c r="S5" s="90" t="n">
        <v>42</v>
      </c>
      <c r="T5" s="90" t="n">
        <v>42</v>
      </c>
      <c r="U5" s="90" t="n">
        <v>24</v>
      </c>
      <c r="V5" s="90" t="n">
        <v>24</v>
      </c>
      <c r="W5" s="90" t="n">
        <v>24</v>
      </c>
      <c r="X5" s="90" t="n">
        <v>24</v>
      </c>
      <c r="Y5" s="90" t="n">
        <v>24</v>
      </c>
      <c r="Z5" s="90" t="n">
        <v>24</v>
      </c>
      <c r="AA5" s="90" t="n">
        <v>24</v>
      </c>
      <c r="AB5" s="90" t="n">
        <v>24</v>
      </c>
      <c r="AC5" s="90" t="n">
        <v>24</v>
      </c>
      <c r="AD5" s="90" t="n">
        <v>24</v>
      </c>
      <c r="AE5" s="90" t="n">
        <v>24</v>
      </c>
      <c r="AF5" s="90" t="n">
        <v>24</v>
      </c>
      <c r="AG5" s="90" t="n">
        <v>24</v>
      </c>
      <c r="AH5" s="90" t="n">
        <v>24</v>
      </c>
      <c r="AI5" s="90" t="n">
        <v>24</v>
      </c>
      <c r="AJ5" s="90" t="n">
        <v>24</v>
      </c>
      <c r="AK5" s="90" t="n">
        <v>24</v>
      </c>
      <c r="AL5" s="90" t="n">
        <v>24</v>
      </c>
      <c r="AM5" s="90" t="n">
        <v>24</v>
      </c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</row>
    <row r="6">
      <c r="A6" s="52" t="inlineStr">
        <is>
          <t>AGIS-E0015</t>
        </is>
      </c>
      <c r="B6" s="52" t="inlineStr">
        <is>
          <t>Escavadeira Hidráulica sobre esteira 38T</t>
        </is>
      </c>
      <c r="C6" s="55" t="inlineStr">
        <is>
          <t>un</t>
        </is>
      </c>
      <c r="D6" s="22" t="n"/>
      <c r="E6" s="22" t="n"/>
      <c r="F6" s="99" t="n">
        <v>2</v>
      </c>
      <c r="G6" s="99" t="n">
        <v>2</v>
      </c>
      <c r="H6" s="99" t="n">
        <v>2</v>
      </c>
      <c r="I6" s="99" t="n">
        <v>2</v>
      </c>
      <c r="J6" s="99" t="n">
        <v>2</v>
      </c>
      <c r="K6" s="99" t="n">
        <v>2</v>
      </c>
      <c r="L6" s="99" t="n">
        <v>2</v>
      </c>
      <c r="M6" s="99" t="n">
        <v>2</v>
      </c>
      <c r="N6" s="99" t="n">
        <v>2</v>
      </c>
      <c r="O6" s="99" t="n">
        <v>2</v>
      </c>
      <c r="P6" s="99" t="n">
        <v>3</v>
      </c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4</v>
      </c>
      <c r="Z6" s="99" t="n">
        <v>3</v>
      </c>
      <c r="AA6" s="99" t="n">
        <v>3</v>
      </c>
      <c r="AB6" s="99" t="n">
        <v>3</v>
      </c>
      <c r="AC6" s="99" t="n">
        <v>3</v>
      </c>
      <c r="AD6" s="99" t="n">
        <v>3</v>
      </c>
      <c r="AE6" s="99" t="n">
        <v>3</v>
      </c>
      <c r="AF6" s="99" t="n">
        <v>3</v>
      </c>
      <c r="AG6" s="99" t="n">
        <v>3</v>
      </c>
      <c r="AH6" s="99" t="n">
        <v>3</v>
      </c>
      <c r="AI6" s="99" t="n">
        <v>3</v>
      </c>
      <c r="AJ6" s="99" t="n">
        <v>3</v>
      </c>
      <c r="AK6" s="99" t="n">
        <v>3</v>
      </c>
      <c r="AL6" s="99" t="n">
        <v>3</v>
      </c>
      <c r="AM6" s="99" t="n">
        <v>3</v>
      </c>
      <c r="AN6" s="99" t="n">
        <v>3</v>
      </c>
      <c r="AO6" s="99" t="n">
        <v>3</v>
      </c>
      <c r="AP6" s="99" t="n">
        <v>3</v>
      </c>
      <c r="AQ6" s="99" t="n">
        <v>3</v>
      </c>
      <c r="AR6" s="99" t="n">
        <v>3</v>
      </c>
      <c r="AS6" s="99" t="n">
        <v>3</v>
      </c>
      <c r="AT6" s="99" t="n">
        <v>3</v>
      </c>
      <c r="AU6" s="99" t="n">
        <v>3</v>
      </c>
      <c r="AV6" s="99" t="n">
        <v>2</v>
      </c>
      <c r="AW6" s="99" t="n">
        <v>2</v>
      </c>
      <c r="AX6" s="99" t="n">
        <v>2</v>
      </c>
      <c r="AY6" s="99" t="n">
        <v>2</v>
      </c>
      <c r="AZ6" s="22" t="n"/>
      <c r="BA6" s="22" t="n"/>
      <c r="BB6" s="22" t="n"/>
      <c r="BC6" s="22" t="n"/>
      <c r="BD6" s="22" t="n"/>
      <c r="BE6" s="22" t="n"/>
      <c r="BF6" s="22" t="n"/>
    </row>
    <row r="7">
      <c r="A7" s="43" t="inlineStr">
        <is>
          <t>AGIS-E0016</t>
        </is>
      </c>
      <c r="B7" s="43" t="inlineStr">
        <is>
          <t>Escavadeira Hidráulica sobre esteira 48T</t>
        </is>
      </c>
      <c r="C7" s="46" t="inlineStr">
        <is>
          <t>un</t>
        </is>
      </c>
      <c r="D7" s="19" t="n"/>
      <c r="E7" s="19" t="n"/>
      <c r="F7" s="90" t="n">
        <v>6</v>
      </c>
      <c r="G7" s="90" t="n">
        <v>6</v>
      </c>
      <c r="H7" s="90" t="n">
        <v>6</v>
      </c>
      <c r="I7" s="90" t="n">
        <v>6</v>
      </c>
      <c r="J7" s="90" t="n">
        <v>6</v>
      </c>
      <c r="K7" s="90" t="n">
        <v>6</v>
      </c>
      <c r="L7" s="90" t="n">
        <v>6</v>
      </c>
      <c r="M7" s="90" t="n">
        <v>6</v>
      </c>
      <c r="N7" s="90" t="n">
        <v>6</v>
      </c>
      <c r="O7" s="90" t="n">
        <v>6</v>
      </c>
      <c r="P7" s="90" t="n">
        <v>6</v>
      </c>
      <c r="Q7" s="90" t="n">
        <v>6</v>
      </c>
      <c r="R7" s="90" t="n">
        <v>6</v>
      </c>
      <c r="S7" s="90" t="n">
        <v>6</v>
      </c>
      <c r="T7" s="90" t="n">
        <v>6</v>
      </c>
      <c r="U7" s="90" t="n">
        <v>3</v>
      </c>
      <c r="V7" s="90" t="n">
        <v>3</v>
      </c>
      <c r="W7" s="90" t="n">
        <v>3</v>
      </c>
      <c r="X7" s="90" t="n">
        <v>3</v>
      </c>
      <c r="Y7" s="90" t="n">
        <v>3</v>
      </c>
      <c r="Z7" s="90" t="n">
        <v>3</v>
      </c>
      <c r="AA7" s="90" t="n">
        <v>3</v>
      </c>
      <c r="AB7" s="90" t="n">
        <v>3</v>
      </c>
      <c r="AC7" s="90" t="n">
        <v>3</v>
      </c>
      <c r="AD7" s="90" t="n">
        <v>3</v>
      </c>
      <c r="AE7" s="90" t="n">
        <v>3</v>
      </c>
      <c r="AF7" s="90" t="n">
        <v>3</v>
      </c>
      <c r="AG7" s="90" t="n">
        <v>3</v>
      </c>
      <c r="AH7" s="90" t="n">
        <v>3</v>
      </c>
      <c r="AI7" s="90" t="n">
        <v>3</v>
      </c>
      <c r="AJ7" s="90" t="n">
        <v>3</v>
      </c>
      <c r="AK7" s="90" t="n">
        <v>3</v>
      </c>
      <c r="AL7" s="90" t="n">
        <v>3</v>
      </c>
      <c r="AM7" s="90" t="n">
        <v>3</v>
      </c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AGIS-ESCAV-22T</t>
        </is>
      </c>
      <c r="B8" s="52" t="inlineStr">
        <is>
          <t>Escavadeira Hidráulica sobre esteira 22T</t>
        </is>
      </c>
      <c r="C8" s="55" t="inlineStr">
        <is>
          <t>un</t>
        </is>
      </c>
      <c r="D8" s="99" t="n">
        <v>2</v>
      </c>
      <c r="E8" s="99" t="n">
        <v>2</v>
      </c>
      <c r="F8" s="99" t="n">
        <v>2</v>
      </c>
      <c r="G8" s="99" t="n">
        <v>2</v>
      </c>
      <c r="H8" s="99" t="n">
        <v>2</v>
      </c>
      <c r="I8" s="99" t="n">
        <v>2</v>
      </c>
      <c r="J8" s="99" t="n">
        <v>2</v>
      </c>
      <c r="K8" s="99" t="n">
        <v>2</v>
      </c>
      <c r="L8" s="99" t="n">
        <v>2</v>
      </c>
      <c r="M8" s="99" t="n">
        <v>2</v>
      </c>
      <c r="N8" s="99" t="n">
        <v>2</v>
      </c>
      <c r="O8" s="99" t="n">
        <v>2</v>
      </c>
      <c r="P8" s="99" t="n">
        <v>2</v>
      </c>
      <c r="Q8" s="99" t="n">
        <v>2</v>
      </c>
      <c r="R8" s="99" t="n">
        <v>2</v>
      </c>
      <c r="S8" s="99" t="n">
        <v>2</v>
      </c>
      <c r="T8" s="99" t="n">
        <v>2</v>
      </c>
      <c r="U8" s="99" t="n">
        <v>2</v>
      </c>
      <c r="V8" s="99" t="n">
        <v>2</v>
      </c>
      <c r="W8" s="99" t="n">
        <v>2</v>
      </c>
      <c r="X8" s="99" t="n">
        <v>2</v>
      </c>
      <c r="Y8" s="99" t="n">
        <v>2</v>
      </c>
      <c r="Z8" s="99" t="n">
        <v>2</v>
      </c>
      <c r="AA8" s="99" t="n">
        <v>2</v>
      </c>
      <c r="AB8" s="99" t="n">
        <v>2</v>
      </c>
      <c r="AC8" s="99" t="n">
        <v>2</v>
      </c>
      <c r="AD8" s="99" t="n">
        <v>2</v>
      </c>
      <c r="AE8" s="99" t="n">
        <v>2</v>
      </c>
      <c r="AF8" s="99" t="n">
        <v>2</v>
      </c>
      <c r="AG8" s="99" t="n">
        <v>2</v>
      </c>
      <c r="AH8" s="99" t="n">
        <v>2</v>
      </c>
      <c r="AI8" s="99" t="n">
        <v>2</v>
      </c>
      <c r="AJ8" s="99" t="n">
        <v>2</v>
      </c>
      <c r="AK8" s="99" t="n">
        <v>2</v>
      </c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</row>
    <row r="9">
      <c r="A9" s="43" t="inlineStr">
        <is>
          <t>AGIS-MOTON-140K</t>
        </is>
      </c>
      <c r="B9" s="43" t="inlineStr">
        <is>
          <t>Motoniveladora 140K</t>
        </is>
      </c>
      <c r="C9" s="46" t="inlineStr">
        <is>
          <t>un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90" t="n">
        <v>4</v>
      </c>
      <c r="R9" s="90" t="n">
        <v>4</v>
      </c>
      <c r="S9" s="90" t="n">
        <v>4</v>
      </c>
      <c r="T9" s="90" t="n">
        <v>4</v>
      </c>
      <c r="U9" s="90" t="n">
        <v>4</v>
      </c>
      <c r="V9" s="90" t="n">
        <v>4</v>
      </c>
      <c r="W9" s="90" t="n">
        <v>4</v>
      </c>
      <c r="X9" s="90" t="n">
        <v>4</v>
      </c>
      <c r="Y9" s="90" t="n">
        <v>4</v>
      </c>
      <c r="Z9" s="90" t="n">
        <v>4</v>
      </c>
      <c r="AA9" s="90" t="n">
        <v>4</v>
      </c>
      <c r="AB9" s="90" t="n">
        <v>4</v>
      </c>
      <c r="AC9" s="90" t="n">
        <v>4</v>
      </c>
      <c r="AD9" s="90" t="n">
        <v>4</v>
      </c>
      <c r="AE9" s="90" t="n">
        <v>4</v>
      </c>
      <c r="AF9" s="90" t="n">
        <v>4</v>
      </c>
      <c r="AG9" s="90" t="n">
        <v>4</v>
      </c>
      <c r="AH9" s="90" t="n">
        <v>4</v>
      </c>
      <c r="AI9" s="90" t="n">
        <v>4</v>
      </c>
      <c r="AJ9" s="90" t="n">
        <v>4</v>
      </c>
      <c r="AK9" s="90" t="n">
        <v>4</v>
      </c>
      <c r="AL9" s="90" t="n">
        <v>4</v>
      </c>
      <c r="AM9" s="90" t="n">
        <v>4</v>
      </c>
      <c r="AN9" s="90" t="n">
        <v>4</v>
      </c>
      <c r="AO9" s="90" t="n">
        <v>4</v>
      </c>
      <c r="AP9" s="90" t="n">
        <v>4</v>
      </c>
      <c r="AQ9" s="90" t="n">
        <v>4</v>
      </c>
      <c r="AR9" s="90" t="n">
        <v>4</v>
      </c>
      <c r="AS9" s="90" t="n">
        <v>4</v>
      </c>
      <c r="AT9" s="90" t="n">
        <v>4</v>
      </c>
      <c r="AU9" s="90" t="n">
        <v>4</v>
      </c>
      <c r="AV9" s="90" t="n">
        <v>4</v>
      </c>
      <c r="AW9" s="90" t="n">
        <v>4</v>
      </c>
      <c r="AX9" s="90" t="n">
        <v>4</v>
      </c>
      <c r="AY9" s="90" t="n">
        <v>4</v>
      </c>
      <c r="AZ9" s="90" t="n">
        <v>1</v>
      </c>
      <c r="BA9" s="90" t="n">
        <v>1</v>
      </c>
      <c r="BB9" s="90" t="n">
        <v>1</v>
      </c>
      <c r="BC9" s="19" t="n"/>
      <c r="BD9" s="19" t="n"/>
      <c r="BE9" s="19" t="n"/>
      <c r="BF9" s="19" t="n"/>
    </row>
    <row r="10">
      <c r="A10" s="52" t="inlineStr">
        <is>
          <t>AGIS-MOTOSSERRA</t>
        </is>
      </c>
      <c r="B10" s="52" t="inlineStr">
        <is>
          <t>Motosserra a Gasolina</t>
        </is>
      </c>
      <c r="C10" s="55" t="inlineStr">
        <is>
          <t>un</t>
        </is>
      </c>
      <c r="D10" s="99" t="n">
        <v>2</v>
      </c>
      <c r="E10" s="99" t="n">
        <v>2</v>
      </c>
      <c r="F10" s="99" t="n">
        <v>2</v>
      </c>
      <c r="G10" s="99" t="n">
        <v>2</v>
      </c>
      <c r="H10" s="99" t="n">
        <v>2</v>
      </c>
      <c r="I10" s="99" t="n">
        <v>2</v>
      </c>
      <c r="J10" s="99" t="n">
        <v>2</v>
      </c>
      <c r="K10" s="99" t="n">
        <v>2</v>
      </c>
      <c r="L10" s="99" t="n">
        <v>2</v>
      </c>
      <c r="M10" s="99" t="n">
        <v>2</v>
      </c>
      <c r="N10" s="99" t="n">
        <v>2</v>
      </c>
      <c r="O10" s="99" t="n">
        <v>2</v>
      </c>
      <c r="P10" s="99" t="n">
        <v>2</v>
      </c>
      <c r="Q10" s="99" t="n">
        <v>2</v>
      </c>
      <c r="R10" s="99" t="n">
        <v>2</v>
      </c>
      <c r="S10" s="99" t="n">
        <v>2</v>
      </c>
      <c r="T10" s="99" t="n">
        <v>2</v>
      </c>
      <c r="U10" s="99" t="n">
        <v>2</v>
      </c>
      <c r="V10" s="99" t="n">
        <v>2</v>
      </c>
      <c r="W10" s="99" t="n">
        <v>2</v>
      </c>
      <c r="X10" s="99" t="n">
        <v>2</v>
      </c>
      <c r="Y10" s="99" t="n">
        <v>2</v>
      </c>
      <c r="Z10" s="99" t="n">
        <v>2</v>
      </c>
      <c r="AA10" s="99" t="n">
        <v>2</v>
      </c>
      <c r="AB10" s="99" t="n">
        <v>2</v>
      </c>
      <c r="AC10" s="99" t="n">
        <v>2</v>
      </c>
      <c r="AD10" s="99" t="n">
        <v>2</v>
      </c>
      <c r="AE10" s="99" t="n">
        <v>2</v>
      </c>
      <c r="AF10" s="99" t="n">
        <v>2</v>
      </c>
      <c r="AG10" s="99" t="n">
        <v>2</v>
      </c>
      <c r="AH10" s="99" t="n">
        <v>2</v>
      </c>
      <c r="AI10" s="99" t="n">
        <v>2</v>
      </c>
      <c r="AJ10" s="99" t="n">
        <v>2</v>
      </c>
      <c r="AK10" s="99" t="n">
        <v>2</v>
      </c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</row>
    <row r="11">
      <c r="A11" s="43" t="inlineStr">
        <is>
          <t>AGIS-ROLO-LISO</t>
        </is>
      </c>
      <c r="B11" s="43" t="inlineStr">
        <is>
          <t>Rolo Compactador Liso</t>
        </is>
      </c>
      <c r="C11" s="46" t="inlineStr">
        <is>
          <t>un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90" t="n">
        <v>2</v>
      </c>
      <c r="BB11" s="90" t="n">
        <v>2</v>
      </c>
      <c r="BC11" s="90" t="n">
        <v>2</v>
      </c>
      <c r="BD11" s="90" t="n">
        <v>2</v>
      </c>
      <c r="BE11" s="90" t="n">
        <v>2</v>
      </c>
      <c r="BF11" s="90" t="n">
        <v>2</v>
      </c>
    </row>
    <row r="12">
      <c r="A12" s="52" t="inlineStr">
        <is>
          <t>AGIS-ROLO-PC-10T</t>
        </is>
      </c>
      <c r="B12" s="52" t="inlineStr">
        <is>
          <t>Rolo Compactador Pé de Carneiro 10T</t>
        </is>
      </c>
      <c r="C12" s="55" t="inlineStr">
        <is>
          <t>un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9</v>
      </c>
      <c r="BB12" s="99" t="n">
        <v>9</v>
      </c>
      <c r="BC12" s="99" t="n">
        <v>7</v>
      </c>
      <c r="BD12" s="99" t="n">
        <v>7</v>
      </c>
      <c r="BE12" s="99" t="n">
        <v>1</v>
      </c>
      <c r="BF12" s="99" t="n">
        <v>1</v>
      </c>
    </row>
    <row r="13">
      <c r="A13" s="43" t="inlineStr">
        <is>
          <t>AGIS-TRAT-EST-20T</t>
        </is>
      </c>
      <c r="B13" s="43" t="inlineStr">
        <is>
          <t>Trator de Esteiras 20T</t>
        </is>
      </c>
      <c r="C13" s="46" t="inlineStr">
        <is>
          <t>un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2</v>
      </c>
      <c r="Z13" s="90" t="n">
        <v>2</v>
      </c>
      <c r="AA13" s="90" t="n">
        <v>2</v>
      </c>
      <c r="AB13" s="90" t="n">
        <v>2</v>
      </c>
      <c r="AC13" s="90" t="n">
        <v>2</v>
      </c>
      <c r="AD13" s="90" t="n">
        <v>2</v>
      </c>
      <c r="AE13" s="90" t="n">
        <v>2</v>
      </c>
      <c r="AF13" s="90" t="n">
        <v>2</v>
      </c>
      <c r="AG13" s="90" t="n">
        <v>2</v>
      </c>
      <c r="AH13" s="90" t="n">
        <v>2</v>
      </c>
      <c r="AI13" s="90" t="n">
        <v>2</v>
      </c>
      <c r="AJ13" s="90" t="n">
        <v>2</v>
      </c>
      <c r="AK13" s="90" t="n">
        <v>2</v>
      </c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90" t="n">
        <v>1</v>
      </c>
      <c r="BB13" s="90" t="n">
        <v>1</v>
      </c>
      <c r="BC13" s="90" t="n">
        <v>1</v>
      </c>
      <c r="BD13" s="90" t="n">
        <v>1</v>
      </c>
      <c r="BE13" s="90" t="n">
        <v>1</v>
      </c>
      <c r="BF13" s="90" t="n">
        <v>1</v>
      </c>
    </row>
    <row r="14">
      <c r="A14" s="52" t="inlineStr">
        <is>
          <t>AGIS-TRAT-EST-40T</t>
        </is>
      </c>
      <c r="B14" s="52" t="inlineStr">
        <is>
          <t>Trator de Esteiras 40T</t>
        </is>
      </c>
      <c r="C14" s="55" t="inlineStr">
        <is>
          <t>un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99" t="n">
        <v>3</v>
      </c>
      <c r="Z14" s="99" t="n">
        <v>3</v>
      </c>
      <c r="AA14" s="99" t="n">
        <v>3</v>
      </c>
      <c r="AB14" s="99" t="n">
        <v>3</v>
      </c>
      <c r="AC14" s="99" t="n">
        <v>3</v>
      </c>
      <c r="AD14" s="99" t="n">
        <v>3</v>
      </c>
      <c r="AE14" s="99" t="n">
        <v>3</v>
      </c>
      <c r="AF14" s="99" t="n">
        <v>3</v>
      </c>
      <c r="AG14" s="99" t="n">
        <v>3</v>
      </c>
      <c r="AH14" s="99" t="n">
        <v>3</v>
      </c>
      <c r="AI14" s="99" t="n">
        <v>3</v>
      </c>
      <c r="AJ14" s="99" t="n">
        <v>3</v>
      </c>
      <c r="AK14" s="99" t="n">
        <v>3</v>
      </c>
      <c r="AL14" s="99" t="n">
        <v>3</v>
      </c>
      <c r="AM14" s="99" t="n">
        <v>3</v>
      </c>
      <c r="AN14" s="99" t="n">
        <v>3</v>
      </c>
      <c r="AO14" s="99" t="n">
        <v>3</v>
      </c>
      <c r="AP14" s="99" t="n">
        <v>3</v>
      </c>
      <c r="AQ14" s="99" t="n">
        <v>3</v>
      </c>
      <c r="AR14" s="99" t="n">
        <v>3</v>
      </c>
      <c r="AS14" s="99" t="n">
        <v>3</v>
      </c>
      <c r="AT14" s="99" t="n">
        <v>3</v>
      </c>
      <c r="AU14" s="99" t="n">
        <v>3</v>
      </c>
      <c r="AV14" s="99" t="n">
        <v>3</v>
      </c>
      <c r="AW14" s="99" t="n">
        <v>3</v>
      </c>
      <c r="AX14" s="99" t="n">
        <v>3</v>
      </c>
      <c r="AY14" s="99" t="n">
        <v>3</v>
      </c>
      <c r="AZ14" s="99" t="n">
        <v>3</v>
      </c>
      <c r="BA14" s="99" t="n">
        <v>3</v>
      </c>
      <c r="BB14" s="99" t="n">
        <v>3</v>
      </c>
      <c r="BC14" s="99" t="n">
        <v>3</v>
      </c>
      <c r="BD14" s="99" t="n">
        <v>3</v>
      </c>
      <c r="BE14" s="22" t="n"/>
      <c r="BF14" s="22" t="n"/>
    </row>
    <row r="15">
      <c r="A15" s="43" t="inlineStr">
        <is>
          <t>AGIS-TRATOR-PNEU-GRADE</t>
        </is>
      </c>
      <c r="B15" s="43" t="inlineStr">
        <is>
          <t>Trator de Pneus com Grade</t>
        </is>
      </c>
      <c r="C15" s="46" t="inlineStr">
        <is>
          <t>un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90" t="n">
        <v>4</v>
      </c>
      <c r="R15" s="90" t="n">
        <v>4</v>
      </c>
      <c r="S15" s="90" t="n">
        <v>4</v>
      </c>
      <c r="T15" s="90" t="n">
        <v>4</v>
      </c>
      <c r="U15" s="90" t="n">
        <v>4</v>
      </c>
      <c r="V15" s="90" t="n">
        <v>4</v>
      </c>
      <c r="W15" s="90" t="n">
        <v>4</v>
      </c>
      <c r="X15" s="90" t="n">
        <v>4</v>
      </c>
      <c r="Y15" s="90" t="n">
        <v>4</v>
      </c>
      <c r="Z15" s="90" t="n">
        <v>4</v>
      </c>
      <c r="AA15" s="90" t="n">
        <v>4</v>
      </c>
      <c r="AB15" s="90" t="n">
        <v>4</v>
      </c>
      <c r="AC15" s="90" t="n">
        <v>4</v>
      </c>
      <c r="AD15" s="90" t="n">
        <v>4</v>
      </c>
      <c r="AE15" s="90" t="n">
        <v>4</v>
      </c>
      <c r="AF15" s="90" t="n">
        <v>4</v>
      </c>
      <c r="AG15" s="90" t="n">
        <v>4</v>
      </c>
      <c r="AH15" s="90" t="n">
        <v>4</v>
      </c>
      <c r="AI15" s="90" t="n">
        <v>4</v>
      </c>
      <c r="AJ15" s="90" t="n">
        <v>4</v>
      </c>
      <c r="AK15" s="90" t="n">
        <v>4</v>
      </c>
      <c r="AL15" s="90" t="n">
        <v>4</v>
      </c>
      <c r="AM15" s="90" t="n">
        <v>4</v>
      </c>
      <c r="AN15" s="90" t="n">
        <v>4</v>
      </c>
      <c r="AO15" s="90" t="n">
        <v>4</v>
      </c>
      <c r="AP15" s="90" t="n">
        <v>4</v>
      </c>
      <c r="AQ15" s="90" t="n">
        <v>4</v>
      </c>
      <c r="AR15" s="90" t="n">
        <v>4</v>
      </c>
      <c r="AS15" s="90" t="n">
        <v>4</v>
      </c>
      <c r="AT15" s="90" t="n">
        <v>4</v>
      </c>
      <c r="AU15" s="90" t="n">
        <v>4</v>
      </c>
      <c r="AV15" s="90" t="n">
        <v>4</v>
      </c>
      <c r="AW15" s="90" t="n">
        <v>4</v>
      </c>
      <c r="AX15" s="90" t="n">
        <v>4</v>
      </c>
      <c r="AY15" s="90" t="n">
        <v>4</v>
      </c>
      <c r="AZ15" s="90" t="n">
        <v>1</v>
      </c>
      <c r="BA15" s="90" t="n">
        <v>1</v>
      </c>
      <c r="BB15" s="90" t="n">
        <v>1</v>
      </c>
      <c r="BC15" s="19" t="n"/>
      <c r="BD15" s="19" t="n"/>
      <c r="BE15" s="19" t="n"/>
      <c r="BF15" s="19" t="n"/>
    </row>
    <row r="17">
      <c r="A17" s="127" t="inlineStr">
        <is>
          <t>TOTAL SEMANAL</t>
        </is>
      </c>
      <c r="D17" s="128" t="n">
        <v>6</v>
      </c>
      <c r="E17" s="128" t="n">
        <v>6</v>
      </c>
      <c r="F17" s="128" t="n">
        <v>70</v>
      </c>
      <c r="G17" s="128" t="n">
        <v>70</v>
      </c>
      <c r="H17" s="128" t="n">
        <v>70</v>
      </c>
      <c r="I17" s="128" t="n">
        <v>70</v>
      </c>
      <c r="J17" s="128" t="n">
        <v>70</v>
      </c>
      <c r="K17" s="128" t="n">
        <v>70</v>
      </c>
      <c r="L17" s="128" t="n">
        <v>70</v>
      </c>
      <c r="M17" s="128" t="n">
        <v>70</v>
      </c>
      <c r="N17" s="128" t="n">
        <v>70</v>
      </c>
      <c r="O17" s="128" t="n">
        <v>70</v>
      </c>
      <c r="P17" s="128" t="n">
        <v>78</v>
      </c>
      <c r="Q17" s="128" t="n">
        <v>107</v>
      </c>
      <c r="R17" s="128" t="n">
        <v>107</v>
      </c>
      <c r="S17" s="128" t="n">
        <v>107</v>
      </c>
      <c r="T17" s="128" t="n">
        <v>107</v>
      </c>
      <c r="U17" s="128" t="n">
        <v>86</v>
      </c>
      <c r="V17" s="128" t="n">
        <v>86</v>
      </c>
      <c r="W17" s="128" t="n">
        <v>86</v>
      </c>
      <c r="X17" s="128" t="n">
        <v>86</v>
      </c>
      <c r="Y17" s="128" t="n">
        <v>95</v>
      </c>
      <c r="Z17" s="128" t="n">
        <v>87</v>
      </c>
      <c r="AA17" s="128" t="n">
        <v>87</v>
      </c>
      <c r="AB17" s="128" t="n">
        <v>87</v>
      </c>
      <c r="AC17" s="128" t="n">
        <v>87</v>
      </c>
      <c r="AD17" s="128" t="n">
        <v>87</v>
      </c>
      <c r="AE17" s="128" t="n">
        <v>87</v>
      </c>
      <c r="AF17" s="128" t="n">
        <v>87</v>
      </c>
      <c r="AG17" s="128" t="n">
        <v>87</v>
      </c>
      <c r="AH17" s="128" t="n">
        <v>87</v>
      </c>
      <c r="AI17" s="128" t="n">
        <v>87</v>
      </c>
      <c r="AJ17" s="128" t="n">
        <v>87</v>
      </c>
      <c r="AK17" s="128" t="n">
        <v>87</v>
      </c>
      <c r="AL17" s="128" t="n">
        <v>81</v>
      </c>
      <c r="AM17" s="128" t="n">
        <v>81</v>
      </c>
      <c r="AN17" s="128" t="n">
        <v>54</v>
      </c>
      <c r="AO17" s="128" t="n">
        <v>54</v>
      </c>
      <c r="AP17" s="128" t="n">
        <v>54</v>
      </c>
      <c r="AQ17" s="128" t="n">
        <v>54</v>
      </c>
      <c r="AR17" s="128" t="n">
        <v>54</v>
      </c>
      <c r="AS17" s="128" t="n">
        <v>52</v>
      </c>
      <c r="AT17" s="128" t="n">
        <v>52</v>
      </c>
      <c r="AU17" s="128" t="n">
        <v>52</v>
      </c>
      <c r="AV17" s="128" t="n">
        <v>43</v>
      </c>
      <c r="AW17" s="128" t="n">
        <v>43</v>
      </c>
      <c r="AX17" s="128" t="n">
        <v>43</v>
      </c>
      <c r="AY17" s="128" t="n">
        <v>43</v>
      </c>
      <c r="AZ17" s="128" t="n">
        <v>14</v>
      </c>
      <c r="BA17" s="128" t="n">
        <v>19</v>
      </c>
      <c r="BB17" s="128" t="n">
        <v>19</v>
      </c>
      <c r="BC17" s="128" t="n">
        <v>14</v>
      </c>
      <c r="BD17" s="128" t="n">
        <v>14</v>
      </c>
      <c r="BE17" s="128" t="n">
        <v>5</v>
      </c>
      <c r="BF17" s="128" t="n">
        <v>5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MÃO DE OBRA — DEMANDA SEMANAL (PESSOAS)</t>
        </is>
      </c>
    </row>
    <row r="2">
      <c r="A2" s="4" t="inlineStr">
        <is>
          <t>Função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AGIS-FN-AJUD</t>
        </is>
      </c>
      <c r="B3" s="43" t="inlineStr">
        <is>
          <t>Ajudante</t>
        </is>
      </c>
      <c r="C3" s="46" t="inlineStr">
        <is>
          <t>pax</t>
        </is>
      </c>
      <c r="D3" s="90" t="n">
        <v>2</v>
      </c>
      <c r="E3" s="90" t="n">
        <v>2</v>
      </c>
      <c r="F3" s="90" t="n">
        <v>10</v>
      </c>
      <c r="G3" s="90" t="n">
        <v>10</v>
      </c>
      <c r="H3" s="90" t="n">
        <v>10</v>
      </c>
      <c r="I3" s="90" t="n">
        <v>10</v>
      </c>
      <c r="J3" s="90" t="n">
        <v>10</v>
      </c>
      <c r="K3" s="90" t="n">
        <v>10</v>
      </c>
      <c r="L3" s="90" t="n">
        <v>10</v>
      </c>
      <c r="M3" s="90" t="n">
        <v>10</v>
      </c>
      <c r="N3" s="90" t="n">
        <v>10</v>
      </c>
      <c r="O3" s="90" t="n">
        <v>10</v>
      </c>
      <c r="P3" s="90" t="n">
        <v>11</v>
      </c>
      <c r="Q3" s="90" t="n">
        <v>20</v>
      </c>
      <c r="R3" s="90" t="n">
        <v>20</v>
      </c>
      <c r="S3" s="90" t="n">
        <v>20</v>
      </c>
      <c r="T3" s="90" t="n">
        <v>20</v>
      </c>
      <c r="U3" s="90" t="n">
        <v>17</v>
      </c>
      <c r="V3" s="90" t="n">
        <v>17</v>
      </c>
      <c r="W3" s="90" t="n">
        <v>17</v>
      </c>
      <c r="X3" s="90" t="n">
        <v>17</v>
      </c>
      <c r="Y3" s="90" t="n">
        <v>23</v>
      </c>
      <c r="Z3" s="90" t="n">
        <v>22</v>
      </c>
      <c r="AA3" s="90" t="n">
        <v>22</v>
      </c>
      <c r="AB3" s="90" t="n">
        <v>22</v>
      </c>
      <c r="AC3" s="90" t="n">
        <v>22</v>
      </c>
      <c r="AD3" s="90" t="n">
        <v>22</v>
      </c>
      <c r="AE3" s="90" t="n">
        <v>22</v>
      </c>
      <c r="AF3" s="90" t="n">
        <v>22</v>
      </c>
      <c r="AG3" s="90" t="n">
        <v>22</v>
      </c>
      <c r="AH3" s="90" t="n">
        <v>22</v>
      </c>
      <c r="AI3" s="90" t="n">
        <v>22</v>
      </c>
      <c r="AJ3" s="90" t="n">
        <v>22</v>
      </c>
      <c r="AK3" s="90" t="n">
        <v>22</v>
      </c>
      <c r="AL3" s="90" t="n">
        <v>20</v>
      </c>
      <c r="AM3" s="90" t="n">
        <v>20</v>
      </c>
      <c r="AN3" s="90" t="n">
        <v>17</v>
      </c>
      <c r="AO3" s="90" t="n">
        <v>17</v>
      </c>
      <c r="AP3" s="90" t="n">
        <v>17</v>
      </c>
      <c r="AQ3" s="90" t="n">
        <v>17</v>
      </c>
      <c r="AR3" s="90" t="n">
        <v>17</v>
      </c>
      <c r="AS3" s="90" t="n">
        <v>17</v>
      </c>
      <c r="AT3" s="90" t="n">
        <v>17</v>
      </c>
      <c r="AU3" s="90" t="n">
        <v>17</v>
      </c>
      <c r="AV3" s="90" t="n">
        <v>16</v>
      </c>
      <c r="AW3" s="90" t="n">
        <v>16</v>
      </c>
      <c r="AX3" s="90" t="n">
        <v>16</v>
      </c>
      <c r="AY3" s="90" t="n">
        <v>16</v>
      </c>
      <c r="AZ3" s="90" t="n">
        <v>8</v>
      </c>
      <c r="BA3" s="90" t="n">
        <v>10</v>
      </c>
      <c r="BB3" s="90" t="n">
        <v>10</v>
      </c>
      <c r="BC3" s="90" t="n">
        <v>8</v>
      </c>
      <c r="BD3" s="90" t="n">
        <v>8</v>
      </c>
      <c r="BE3" s="90" t="n">
        <v>2</v>
      </c>
      <c r="BF3" s="90" t="n">
        <v>2</v>
      </c>
    </row>
    <row r="4">
      <c r="A4" s="52" t="inlineStr">
        <is>
          <t>AGIS-FN-APONTADOR</t>
        </is>
      </c>
      <c r="B4" s="52" t="inlineStr">
        <is>
          <t>Apontador</t>
        </is>
      </c>
      <c r="C4" s="55" t="inlineStr">
        <is>
          <t>pax</t>
        </is>
      </c>
      <c r="D4" s="99" t="n">
        <v>2</v>
      </c>
      <c r="E4" s="99" t="n">
        <v>2</v>
      </c>
      <c r="F4" s="99" t="n">
        <v>2</v>
      </c>
      <c r="G4" s="99" t="n">
        <v>2</v>
      </c>
      <c r="H4" s="99" t="n">
        <v>2</v>
      </c>
      <c r="I4" s="99" t="n">
        <v>2</v>
      </c>
      <c r="J4" s="99" t="n">
        <v>2</v>
      </c>
      <c r="K4" s="99" t="n">
        <v>2</v>
      </c>
      <c r="L4" s="99" t="n">
        <v>2</v>
      </c>
      <c r="M4" s="99" t="n">
        <v>2</v>
      </c>
      <c r="N4" s="99" t="n">
        <v>2</v>
      </c>
      <c r="O4" s="99" t="n">
        <v>2</v>
      </c>
      <c r="P4" s="99" t="n">
        <v>2</v>
      </c>
      <c r="Q4" s="99" t="n">
        <v>2</v>
      </c>
      <c r="R4" s="99" t="n">
        <v>2</v>
      </c>
      <c r="S4" s="99" t="n">
        <v>2</v>
      </c>
      <c r="T4" s="99" t="n">
        <v>2</v>
      </c>
      <c r="U4" s="99" t="n">
        <v>2</v>
      </c>
      <c r="V4" s="99" t="n">
        <v>2</v>
      </c>
      <c r="W4" s="99" t="n">
        <v>2</v>
      </c>
      <c r="X4" s="99" t="n">
        <v>2</v>
      </c>
      <c r="Y4" s="99" t="n">
        <v>2</v>
      </c>
      <c r="Z4" s="99" t="n">
        <v>2</v>
      </c>
      <c r="AA4" s="99" t="n">
        <v>2</v>
      </c>
      <c r="AB4" s="99" t="n">
        <v>2</v>
      </c>
      <c r="AC4" s="99" t="n">
        <v>2</v>
      </c>
      <c r="AD4" s="99" t="n">
        <v>2</v>
      </c>
      <c r="AE4" s="99" t="n">
        <v>2</v>
      </c>
      <c r="AF4" s="99" t="n">
        <v>2</v>
      </c>
      <c r="AG4" s="99" t="n">
        <v>2</v>
      </c>
      <c r="AH4" s="99" t="n">
        <v>2</v>
      </c>
      <c r="AI4" s="99" t="n">
        <v>2</v>
      </c>
      <c r="AJ4" s="99" t="n">
        <v>2</v>
      </c>
      <c r="AK4" s="99" t="n">
        <v>2</v>
      </c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AGIS-FN-ENCAR</t>
        </is>
      </c>
      <c r="B5" s="43" t="inlineStr">
        <is>
          <t>Encarregado de Frente</t>
        </is>
      </c>
      <c r="C5" s="46" t="inlineStr">
        <is>
          <t>pax</t>
        </is>
      </c>
      <c r="D5" s="90" t="n">
        <v>2</v>
      </c>
      <c r="E5" s="90" t="n">
        <v>2</v>
      </c>
      <c r="F5" s="90" t="n">
        <v>4</v>
      </c>
      <c r="G5" s="90" t="n">
        <v>4</v>
      </c>
      <c r="H5" s="90" t="n">
        <v>4</v>
      </c>
      <c r="I5" s="90" t="n">
        <v>4</v>
      </c>
      <c r="J5" s="90" t="n">
        <v>4</v>
      </c>
      <c r="K5" s="90" t="n">
        <v>4</v>
      </c>
      <c r="L5" s="90" t="n">
        <v>4</v>
      </c>
      <c r="M5" s="90" t="n">
        <v>4</v>
      </c>
      <c r="N5" s="90" t="n">
        <v>4</v>
      </c>
      <c r="O5" s="90" t="n">
        <v>4</v>
      </c>
      <c r="P5" s="90" t="n">
        <v>5</v>
      </c>
      <c r="Q5" s="90" t="n">
        <v>10</v>
      </c>
      <c r="R5" s="90" t="n">
        <v>10</v>
      </c>
      <c r="S5" s="90" t="n">
        <v>10</v>
      </c>
      <c r="T5" s="90" t="n">
        <v>10</v>
      </c>
      <c r="U5" s="90" t="n">
        <v>10</v>
      </c>
      <c r="V5" s="90" t="n">
        <v>10</v>
      </c>
      <c r="W5" s="90" t="n">
        <v>10</v>
      </c>
      <c r="X5" s="90" t="n">
        <v>10</v>
      </c>
      <c r="Y5" s="90" t="n">
        <v>13</v>
      </c>
      <c r="Z5" s="90" t="n">
        <v>12</v>
      </c>
      <c r="AA5" s="90" t="n">
        <v>12</v>
      </c>
      <c r="AB5" s="90" t="n">
        <v>12</v>
      </c>
      <c r="AC5" s="90" t="n">
        <v>12</v>
      </c>
      <c r="AD5" s="90" t="n">
        <v>12</v>
      </c>
      <c r="AE5" s="90" t="n">
        <v>12</v>
      </c>
      <c r="AF5" s="90" t="n">
        <v>12</v>
      </c>
      <c r="AG5" s="90" t="n">
        <v>12</v>
      </c>
      <c r="AH5" s="90" t="n">
        <v>12</v>
      </c>
      <c r="AI5" s="90" t="n">
        <v>12</v>
      </c>
      <c r="AJ5" s="90" t="n">
        <v>12</v>
      </c>
      <c r="AK5" s="90" t="n">
        <v>12</v>
      </c>
      <c r="AL5" s="90" t="n">
        <v>10</v>
      </c>
      <c r="AM5" s="90" t="n">
        <v>10</v>
      </c>
      <c r="AN5" s="90" t="n">
        <v>10</v>
      </c>
      <c r="AO5" s="90" t="n">
        <v>10</v>
      </c>
      <c r="AP5" s="90" t="n">
        <v>10</v>
      </c>
      <c r="AQ5" s="90" t="n">
        <v>10</v>
      </c>
      <c r="AR5" s="90" t="n">
        <v>10</v>
      </c>
      <c r="AS5" s="90" t="n">
        <v>10</v>
      </c>
      <c r="AT5" s="90" t="n">
        <v>10</v>
      </c>
      <c r="AU5" s="90" t="n">
        <v>10</v>
      </c>
      <c r="AV5" s="90" t="n">
        <v>9</v>
      </c>
      <c r="AW5" s="90" t="n">
        <v>9</v>
      </c>
      <c r="AX5" s="90" t="n">
        <v>9</v>
      </c>
      <c r="AY5" s="90" t="n">
        <v>9</v>
      </c>
      <c r="AZ5" s="90" t="n">
        <v>4</v>
      </c>
      <c r="BA5" s="90" t="n">
        <v>4</v>
      </c>
      <c r="BB5" s="90" t="n">
        <v>4</v>
      </c>
      <c r="BC5" s="90" t="n">
        <v>3</v>
      </c>
      <c r="BD5" s="90" t="n">
        <v>3</v>
      </c>
      <c r="BE5" s="19" t="n"/>
      <c r="BF5" s="19" t="n"/>
    </row>
    <row r="6">
      <c r="A6" s="52" t="inlineStr">
        <is>
          <t>AGIS-FN-GREDISTA</t>
        </is>
      </c>
      <c r="B6" s="52" t="inlineStr">
        <is>
          <t>Gredista</t>
        </is>
      </c>
      <c r="C6" s="55" t="inlineStr">
        <is>
          <t>pax</t>
        </is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7</v>
      </c>
      <c r="Z6" s="99" t="n">
        <v>7</v>
      </c>
      <c r="AA6" s="99" t="n">
        <v>7</v>
      </c>
      <c r="AB6" s="99" t="n">
        <v>7</v>
      </c>
      <c r="AC6" s="99" t="n">
        <v>7</v>
      </c>
      <c r="AD6" s="99" t="n">
        <v>7</v>
      </c>
      <c r="AE6" s="99" t="n">
        <v>7</v>
      </c>
      <c r="AF6" s="99" t="n">
        <v>7</v>
      </c>
      <c r="AG6" s="99" t="n">
        <v>7</v>
      </c>
      <c r="AH6" s="99" t="n">
        <v>7</v>
      </c>
      <c r="AI6" s="99" t="n">
        <v>7</v>
      </c>
      <c r="AJ6" s="99" t="n">
        <v>7</v>
      </c>
      <c r="AK6" s="99" t="n">
        <v>7</v>
      </c>
      <c r="AL6" s="99" t="n">
        <v>7</v>
      </c>
      <c r="AM6" s="99" t="n">
        <v>7</v>
      </c>
      <c r="AN6" s="99" t="n">
        <v>7</v>
      </c>
      <c r="AO6" s="99" t="n">
        <v>7</v>
      </c>
      <c r="AP6" s="99" t="n">
        <v>7</v>
      </c>
      <c r="AQ6" s="99" t="n">
        <v>7</v>
      </c>
      <c r="AR6" s="99" t="n">
        <v>7</v>
      </c>
      <c r="AS6" s="99" t="n">
        <v>7</v>
      </c>
      <c r="AT6" s="99" t="n">
        <v>7</v>
      </c>
      <c r="AU6" s="99" t="n">
        <v>7</v>
      </c>
      <c r="AV6" s="99" t="n">
        <v>7</v>
      </c>
      <c r="AW6" s="99" t="n">
        <v>7</v>
      </c>
      <c r="AX6" s="99" t="n">
        <v>7</v>
      </c>
      <c r="AY6" s="99" t="n">
        <v>7</v>
      </c>
      <c r="AZ6" s="99" t="n">
        <v>4</v>
      </c>
      <c r="BA6" s="99" t="n">
        <v>4</v>
      </c>
      <c r="BB6" s="99" t="n">
        <v>4</v>
      </c>
      <c r="BC6" s="99" t="n">
        <v>3</v>
      </c>
      <c r="BD6" s="99" t="n">
        <v>3</v>
      </c>
      <c r="BE6" s="22" t="n"/>
      <c r="BF6" s="22" t="n"/>
    </row>
    <row r="7">
      <c r="A7" s="43" t="inlineStr">
        <is>
          <t>AGIS-FN-MOTOR-BASC</t>
        </is>
      </c>
      <c r="B7" s="43" t="inlineStr">
        <is>
          <t>Motorista de Caminhão Basculante</t>
        </is>
      </c>
      <c r="C7" s="46" t="inlineStr">
        <is>
          <t>pax</t>
        </is>
      </c>
      <c r="D7" s="19" t="n"/>
      <c r="E7" s="19" t="n"/>
      <c r="F7" s="90" t="n">
        <v>56</v>
      </c>
      <c r="G7" s="90" t="n">
        <v>56</v>
      </c>
      <c r="H7" s="90" t="n">
        <v>56</v>
      </c>
      <c r="I7" s="90" t="n">
        <v>56</v>
      </c>
      <c r="J7" s="90" t="n">
        <v>56</v>
      </c>
      <c r="K7" s="90" t="n">
        <v>56</v>
      </c>
      <c r="L7" s="90" t="n">
        <v>56</v>
      </c>
      <c r="M7" s="90" t="n">
        <v>56</v>
      </c>
      <c r="N7" s="90" t="n">
        <v>56</v>
      </c>
      <c r="O7" s="90" t="n">
        <v>56</v>
      </c>
      <c r="P7" s="90" t="n">
        <v>63</v>
      </c>
      <c r="Q7" s="90" t="n">
        <v>71</v>
      </c>
      <c r="R7" s="90" t="n">
        <v>71</v>
      </c>
      <c r="S7" s="90" t="n">
        <v>71</v>
      </c>
      <c r="T7" s="90" t="n">
        <v>71</v>
      </c>
      <c r="U7" s="90" t="n">
        <v>53</v>
      </c>
      <c r="V7" s="90" t="n">
        <v>53</v>
      </c>
      <c r="W7" s="90" t="n">
        <v>53</v>
      </c>
      <c r="X7" s="90" t="n">
        <v>53</v>
      </c>
      <c r="Y7" s="90" t="n">
        <v>53</v>
      </c>
      <c r="Z7" s="90" t="n">
        <v>46</v>
      </c>
      <c r="AA7" s="90" t="n">
        <v>46</v>
      </c>
      <c r="AB7" s="90" t="n">
        <v>46</v>
      </c>
      <c r="AC7" s="90" t="n">
        <v>46</v>
      </c>
      <c r="AD7" s="90" t="n">
        <v>46</v>
      </c>
      <c r="AE7" s="90" t="n">
        <v>46</v>
      </c>
      <c r="AF7" s="90" t="n">
        <v>46</v>
      </c>
      <c r="AG7" s="90" t="n">
        <v>46</v>
      </c>
      <c r="AH7" s="90" t="n">
        <v>46</v>
      </c>
      <c r="AI7" s="90" t="n">
        <v>46</v>
      </c>
      <c r="AJ7" s="90" t="n">
        <v>46</v>
      </c>
      <c r="AK7" s="90" t="n">
        <v>46</v>
      </c>
      <c r="AL7" s="90" t="n">
        <v>46</v>
      </c>
      <c r="AM7" s="90" t="n">
        <v>46</v>
      </c>
      <c r="AN7" s="90" t="n">
        <v>22</v>
      </c>
      <c r="AO7" s="90" t="n">
        <v>22</v>
      </c>
      <c r="AP7" s="90" t="n">
        <v>22</v>
      </c>
      <c r="AQ7" s="90" t="n">
        <v>22</v>
      </c>
      <c r="AR7" s="90" t="n">
        <v>22</v>
      </c>
      <c r="AS7" s="90" t="n">
        <v>20</v>
      </c>
      <c r="AT7" s="90" t="n">
        <v>20</v>
      </c>
      <c r="AU7" s="90" t="n">
        <v>20</v>
      </c>
      <c r="AV7" s="90" t="n">
        <v>12</v>
      </c>
      <c r="AW7" s="90" t="n">
        <v>12</v>
      </c>
      <c r="AX7" s="90" t="n">
        <v>12</v>
      </c>
      <c r="AY7" s="90" t="n">
        <v>12</v>
      </c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AGIS-FN-MOTOR-PIPA</t>
        </is>
      </c>
      <c r="B8" s="52" t="inlineStr">
        <is>
          <t>Motorista de Caminhão Pipa</t>
        </is>
      </c>
      <c r="C8" s="55" t="inlineStr">
        <is>
          <t>pax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99" t="n">
        <v>4</v>
      </c>
      <c r="R8" s="99" t="n">
        <v>4</v>
      </c>
      <c r="S8" s="99" t="n">
        <v>4</v>
      </c>
      <c r="T8" s="99" t="n">
        <v>4</v>
      </c>
      <c r="U8" s="99" t="n">
        <v>4</v>
      </c>
      <c r="V8" s="99" t="n">
        <v>4</v>
      </c>
      <c r="W8" s="99" t="n">
        <v>4</v>
      </c>
      <c r="X8" s="99" t="n">
        <v>4</v>
      </c>
      <c r="Y8" s="99" t="n">
        <v>4</v>
      </c>
      <c r="Z8" s="99" t="n">
        <v>4</v>
      </c>
      <c r="AA8" s="99" t="n">
        <v>4</v>
      </c>
      <c r="AB8" s="99" t="n">
        <v>4</v>
      </c>
      <c r="AC8" s="99" t="n">
        <v>4</v>
      </c>
      <c r="AD8" s="99" t="n">
        <v>4</v>
      </c>
      <c r="AE8" s="99" t="n">
        <v>4</v>
      </c>
      <c r="AF8" s="99" t="n">
        <v>4</v>
      </c>
      <c r="AG8" s="99" t="n">
        <v>4</v>
      </c>
      <c r="AH8" s="99" t="n">
        <v>4</v>
      </c>
      <c r="AI8" s="99" t="n">
        <v>4</v>
      </c>
      <c r="AJ8" s="99" t="n">
        <v>4</v>
      </c>
      <c r="AK8" s="99" t="n">
        <v>4</v>
      </c>
      <c r="AL8" s="99" t="n">
        <v>4</v>
      </c>
      <c r="AM8" s="99" t="n">
        <v>4</v>
      </c>
      <c r="AN8" s="99" t="n">
        <v>4</v>
      </c>
      <c r="AO8" s="99" t="n">
        <v>4</v>
      </c>
      <c r="AP8" s="99" t="n">
        <v>4</v>
      </c>
      <c r="AQ8" s="99" t="n">
        <v>4</v>
      </c>
      <c r="AR8" s="99" t="n">
        <v>4</v>
      </c>
      <c r="AS8" s="99" t="n">
        <v>4</v>
      </c>
      <c r="AT8" s="99" t="n">
        <v>4</v>
      </c>
      <c r="AU8" s="99" t="n">
        <v>4</v>
      </c>
      <c r="AV8" s="99" t="n">
        <v>4</v>
      </c>
      <c r="AW8" s="99" t="n">
        <v>4</v>
      </c>
      <c r="AX8" s="99" t="n">
        <v>4</v>
      </c>
      <c r="AY8" s="99" t="n">
        <v>4</v>
      </c>
      <c r="AZ8" s="99" t="n">
        <v>1</v>
      </c>
      <c r="BA8" s="99" t="n">
        <v>2</v>
      </c>
      <c r="BB8" s="99" t="n">
        <v>2</v>
      </c>
      <c r="BC8" s="99" t="n">
        <v>1</v>
      </c>
      <c r="BD8" s="99" t="n">
        <v>1</v>
      </c>
      <c r="BE8" s="99" t="n">
        <v>1</v>
      </c>
      <c r="BF8" s="99" t="n">
        <v>1</v>
      </c>
    </row>
    <row r="9">
      <c r="A9" s="43" t="inlineStr">
        <is>
          <t>AGIS-FN-OPER-ESCAV</t>
        </is>
      </c>
      <c r="B9" s="43" t="inlineStr">
        <is>
          <t>Operador de Escavadeira</t>
        </is>
      </c>
      <c r="C9" s="46" t="inlineStr">
        <is>
          <t>pax</t>
        </is>
      </c>
      <c r="D9" s="90" t="n">
        <v>2</v>
      </c>
      <c r="E9" s="90" t="n">
        <v>2</v>
      </c>
      <c r="F9" s="90" t="n">
        <v>10</v>
      </c>
      <c r="G9" s="90" t="n">
        <v>10</v>
      </c>
      <c r="H9" s="90" t="n">
        <v>10</v>
      </c>
      <c r="I9" s="90" t="n">
        <v>10</v>
      </c>
      <c r="J9" s="90" t="n">
        <v>10</v>
      </c>
      <c r="K9" s="90" t="n">
        <v>10</v>
      </c>
      <c r="L9" s="90" t="n">
        <v>10</v>
      </c>
      <c r="M9" s="90" t="n">
        <v>10</v>
      </c>
      <c r="N9" s="90" t="n">
        <v>10</v>
      </c>
      <c r="O9" s="90" t="n">
        <v>10</v>
      </c>
      <c r="P9" s="90" t="n">
        <v>11</v>
      </c>
      <c r="Q9" s="90" t="n">
        <v>12</v>
      </c>
      <c r="R9" s="90" t="n">
        <v>12</v>
      </c>
      <c r="S9" s="90" t="n">
        <v>12</v>
      </c>
      <c r="T9" s="90" t="n">
        <v>12</v>
      </c>
      <c r="U9" s="90" t="n">
        <v>9</v>
      </c>
      <c r="V9" s="90" t="n">
        <v>9</v>
      </c>
      <c r="W9" s="90" t="n">
        <v>9</v>
      </c>
      <c r="X9" s="90" t="n">
        <v>9</v>
      </c>
      <c r="Y9" s="90" t="n">
        <v>9</v>
      </c>
      <c r="Z9" s="90" t="n">
        <v>8</v>
      </c>
      <c r="AA9" s="90" t="n">
        <v>8</v>
      </c>
      <c r="AB9" s="90" t="n">
        <v>8</v>
      </c>
      <c r="AC9" s="90" t="n">
        <v>8</v>
      </c>
      <c r="AD9" s="90" t="n">
        <v>8</v>
      </c>
      <c r="AE9" s="90" t="n">
        <v>8</v>
      </c>
      <c r="AF9" s="90" t="n">
        <v>8</v>
      </c>
      <c r="AG9" s="90" t="n">
        <v>8</v>
      </c>
      <c r="AH9" s="90" t="n">
        <v>8</v>
      </c>
      <c r="AI9" s="90" t="n">
        <v>8</v>
      </c>
      <c r="AJ9" s="90" t="n">
        <v>8</v>
      </c>
      <c r="AK9" s="90" t="n">
        <v>8</v>
      </c>
      <c r="AL9" s="90" t="n">
        <v>6</v>
      </c>
      <c r="AM9" s="90" t="n">
        <v>6</v>
      </c>
      <c r="AN9" s="90" t="n">
        <v>3</v>
      </c>
      <c r="AO9" s="90" t="n">
        <v>3</v>
      </c>
      <c r="AP9" s="90" t="n">
        <v>3</v>
      </c>
      <c r="AQ9" s="90" t="n">
        <v>3</v>
      </c>
      <c r="AR9" s="90" t="n">
        <v>3</v>
      </c>
      <c r="AS9" s="90" t="n">
        <v>3</v>
      </c>
      <c r="AT9" s="90" t="n">
        <v>3</v>
      </c>
      <c r="AU9" s="90" t="n">
        <v>3</v>
      </c>
      <c r="AV9" s="90" t="n">
        <v>2</v>
      </c>
      <c r="AW9" s="90" t="n">
        <v>2</v>
      </c>
      <c r="AX9" s="90" t="n">
        <v>2</v>
      </c>
      <c r="AY9" s="90" t="n">
        <v>2</v>
      </c>
      <c r="AZ9" s="19" t="n"/>
      <c r="BA9" s="19" t="n"/>
      <c r="BB9" s="19" t="n"/>
      <c r="BC9" s="19" t="n"/>
      <c r="BD9" s="19" t="n"/>
      <c r="BE9" s="19" t="n"/>
      <c r="BF9" s="19" t="n"/>
    </row>
    <row r="10">
      <c r="A10" s="52" t="inlineStr">
        <is>
          <t>AGIS-FN-OPER-MOTON</t>
        </is>
      </c>
      <c r="B10" s="52" t="inlineStr">
        <is>
          <t>Operador de Motoniveladora</t>
        </is>
      </c>
      <c r="C10" s="55" t="inlineStr">
        <is>
          <t>pax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99" t="n">
        <v>4</v>
      </c>
      <c r="R10" s="99" t="n">
        <v>4</v>
      </c>
      <c r="S10" s="99" t="n">
        <v>4</v>
      </c>
      <c r="T10" s="99" t="n">
        <v>4</v>
      </c>
      <c r="U10" s="99" t="n">
        <v>4</v>
      </c>
      <c r="V10" s="99" t="n">
        <v>4</v>
      </c>
      <c r="W10" s="99" t="n">
        <v>4</v>
      </c>
      <c r="X10" s="99" t="n">
        <v>4</v>
      </c>
      <c r="Y10" s="99" t="n">
        <v>4</v>
      </c>
      <c r="Z10" s="99" t="n">
        <v>4</v>
      </c>
      <c r="AA10" s="99" t="n">
        <v>4</v>
      </c>
      <c r="AB10" s="99" t="n">
        <v>4</v>
      </c>
      <c r="AC10" s="99" t="n">
        <v>4</v>
      </c>
      <c r="AD10" s="99" t="n">
        <v>4</v>
      </c>
      <c r="AE10" s="99" t="n">
        <v>4</v>
      </c>
      <c r="AF10" s="99" t="n">
        <v>4</v>
      </c>
      <c r="AG10" s="99" t="n">
        <v>4</v>
      </c>
      <c r="AH10" s="99" t="n">
        <v>4</v>
      </c>
      <c r="AI10" s="99" t="n">
        <v>4</v>
      </c>
      <c r="AJ10" s="99" t="n">
        <v>4</v>
      </c>
      <c r="AK10" s="99" t="n">
        <v>4</v>
      </c>
      <c r="AL10" s="99" t="n">
        <v>4</v>
      </c>
      <c r="AM10" s="99" t="n">
        <v>4</v>
      </c>
      <c r="AN10" s="99" t="n">
        <v>4</v>
      </c>
      <c r="AO10" s="99" t="n">
        <v>4</v>
      </c>
      <c r="AP10" s="99" t="n">
        <v>4</v>
      </c>
      <c r="AQ10" s="99" t="n">
        <v>4</v>
      </c>
      <c r="AR10" s="99" t="n">
        <v>4</v>
      </c>
      <c r="AS10" s="99" t="n">
        <v>4</v>
      </c>
      <c r="AT10" s="99" t="n">
        <v>4</v>
      </c>
      <c r="AU10" s="99" t="n">
        <v>4</v>
      </c>
      <c r="AV10" s="99" t="n">
        <v>4</v>
      </c>
      <c r="AW10" s="99" t="n">
        <v>4</v>
      </c>
      <c r="AX10" s="99" t="n">
        <v>4</v>
      </c>
      <c r="AY10" s="99" t="n">
        <v>4</v>
      </c>
      <c r="AZ10" s="99" t="n">
        <v>1</v>
      </c>
      <c r="BA10" s="99" t="n">
        <v>1</v>
      </c>
      <c r="BB10" s="99" t="n">
        <v>1</v>
      </c>
      <c r="BC10" s="22" t="n"/>
      <c r="BD10" s="22" t="n"/>
      <c r="BE10" s="22" t="n"/>
      <c r="BF10" s="22" t="n"/>
    </row>
    <row r="11">
      <c r="A11" s="43" t="inlineStr">
        <is>
          <t>AGIS-FN-OPER-MOTOSSERRA</t>
        </is>
      </c>
      <c r="B11" s="43" t="inlineStr">
        <is>
          <t>Operador de Motosserra</t>
        </is>
      </c>
      <c r="C11" s="46" t="inlineStr">
        <is>
          <t>pax</t>
        </is>
      </c>
      <c r="D11" s="90" t="n">
        <v>2</v>
      </c>
      <c r="E11" s="90" t="n">
        <v>2</v>
      </c>
      <c r="F11" s="90" t="n">
        <v>2</v>
      </c>
      <c r="G11" s="90" t="n">
        <v>2</v>
      </c>
      <c r="H11" s="90" t="n">
        <v>2</v>
      </c>
      <c r="I11" s="90" t="n">
        <v>2</v>
      </c>
      <c r="J11" s="90" t="n">
        <v>2</v>
      </c>
      <c r="K11" s="90" t="n">
        <v>2</v>
      </c>
      <c r="L11" s="90" t="n">
        <v>2</v>
      </c>
      <c r="M11" s="90" t="n">
        <v>2</v>
      </c>
      <c r="N11" s="90" t="n">
        <v>2</v>
      </c>
      <c r="O11" s="90" t="n">
        <v>2</v>
      </c>
      <c r="P11" s="90" t="n">
        <v>2</v>
      </c>
      <c r="Q11" s="90" t="n">
        <v>2</v>
      </c>
      <c r="R11" s="90" t="n">
        <v>2</v>
      </c>
      <c r="S11" s="90" t="n">
        <v>2</v>
      </c>
      <c r="T11" s="90" t="n">
        <v>2</v>
      </c>
      <c r="U11" s="90" t="n">
        <v>2</v>
      </c>
      <c r="V11" s="90" t="n">
        <v>2</v>
      </c>
      <c r="W11" s="90" t="n">
        <v>2</v>
      </c>
      <c r="X11" s="90" t="n">
        <v>2</v>
      </c>
      <c r="Y11" s="90" t="n">
        <v>2</v>
      </c>
      <c r="Z11" s="90" t="n">
        <v>2</v>
      </c>
      <c r="AA11" s="90" t="n">
        <v>2</v>
      </c>
      <c r="AB11" s="90" t="n">
        <v>2</v>
      </c>
      <c r="AC11" s="90" t="n">
        <v>2</v>
      </c>
      <c r="AD11" s="90" t="n">
        <v>2</v>
      </c>
      <c r="AE11" s="90" t="n">
        <v>2</v>
      </c>
      <c r="AF11" s="90" t="n">
        <v>2</v>
      </c>
      <c r="AG11" s="90" t="n">
        <v>2</v>
      </c>
      <c r="AH11" s="90" t="n">
        <v>2</v>
      </c>
      <c r="AI11" s="90" t="n">
        <v>2</v>
      </c>
      <c r="AJ11" s="90" t="n">
        <v>2</v>
      </c>
      <c r="AK11" s="90" t="n">
        <v>2</v>
      </c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</row>
    <row r="12">
      <c r="A12" s="52" t="inlineStr">
        <is>
          <t>AGIS-FN-OPER-ROLO</t>
        </is>
      </c>
      <c r="B12" s="52" t="inlineStr">
        <is>
          <t>Operador de Rolo Compactador</t>
        </is>
      </c>
      <c r="C12" s="55" t="inlineStr">
        <is>
          <t>pax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11</v>
      </c>
      <c r="BB12" s="99" t="n">
        <v>11</v>
      </c>
      <c r="BC12" s="99" t="n">
        <v>9</v>
      </c>
      <c r="BD12" s="99" t="n">
        <v>9</v>
      </c>
      <c r="BE12" s="99" t="n">
        <v>3</v>
      </c>
      <c r="BF12" s="99" t="n">
        <v>3</v>
      </c>
    </row>
    <row r="13">
      <c r="A13" s="43" t="inlineStr">
        <is>
          <t>AGIS-FN-OPER-TRAT-EST</t>
        </is>
      </c>
      <c r="B13" s="43" t="inlineStr">
        <is>
          <t>Operador de Trator de Esteiras</t>
        </is>
      </c>
      <c r="C13" s="46" t="inlineStr">
        <is>
          <t>pax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5</v>
      </c>
      <c r="Z13" s="90" t="n">
        <v>5</v>
      </c>
      <c r="AA13" s="90" t="n">
        <v>5</v>
      </c>
      <c r="AB13" s="90" t="n">
        <v>5</v>
      </c>
      <c r="AC13" s="90" t="n">
        <v>5</v>
      </c>
      <c r="AD13" s="90" t="n">
        <v>5</v>
      </c>
      <c r="AE13" s="90" t="n">
        <v>5</v>
      </c>
      <c r="AF13" s="90" t="n">
        <v>5</v>
      </c>
      <c r="AG13" s="90" t="n">
        <v>5</v>
      </c>
      <c r="AH13" s="90" t="n">
        <v>5</v>
      </c>
      <c r="AI13" s="90" t="n">
        <v>5</v>
      </c>
      <c r="AJ13" s="90" t="n">
        <v>5</v>
      </c>
      <c r="AK13" s="90" t="n">
        <v>5</v>
      </c>
      <c r="AL13" s="90" t="n">
        <v>3</v>
      </c>
      <c r="AM13" s="90" t="n">
        <v>3</v>
      </c>
      <c r="AN13" s="90" t="n">
        <v>3</v>
      </c>
      <c r="AO13" s="90" t="n">
        <v>3</v>
      </c>
      <c r="AP13" s="90" t="n">
        <v>3</v>
      </c>
      <c r="AQ13" s="90" t="n">
        <v>3</v>
      </c>
      <c r="AR13" s="90" t="n">
        <v>3</v>
      </c>
      <c r="AS13" s="90" t="n">
        <v>3</v>
      </c>
      <c r="AT13" s="90" t="n">
        <v>3</v>
      </c>
      <c r="AU13" s="90" t="n">
        <v>3</v>
      </c>
      <c r="AV13" s="90" t="n">
        <v>3</v>
      </c>
      <c r="AW13" s="90" t="n">
        <v>3</v>
      </c>
      <c r="AX13" s="90" t="n">
        <v>3</v>
      </c>
      <c r="AY13" s="90" t="n">
        <v>3</v>
      </c>
      <c r="AZ13" s="90" t="n">
        <v>3</v>
      </c>
      <c r="BA13" s="90" t="n">
        <v>4</v>
      </c>
      <c r="BB13" s="90" t="n">
        <v>4</v>
      </c>
      <c r="BC13" s="90" t="n">
        <v>4</v>
      </c>
      <c r="BD13" s="90" t="n">
        <v>4</v>
      </c>
      <c r="BE13" s="90" t="n">
        <v>1</v>
      </c>
      <c r="BF13" s="90" t="n">
        <v>1</v>
      </c>
    </row>
    <row r="14">
      <c r="A14" s="52" t="inlineStr">
        <is>
          <t>AGIS-FN-OPER-TRAT-PNEU</t>
        </is>
      </c>
      <c r="B14" s="52" t="inlineStr">
        <is>
          <t>Operador de Trator de Pneus</t>
        </is>
      </c>
      <c r="C14" s="55" t="inlineStr">
        <is>
          <t>pax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99" t="n">
        <v>4</v>
      </c>
      <c r="R14" s="99" t="n">
        <v>4</v>
      </c>
      <c r="S14" s="99" t="n">
        <v>4</v>
      </c>
      <c r="T14" s="99" t="n">
        <v>4</v>
      </c>
      <c r="U14" s="99" t="n">
        <v>4</v>
      </c>
      <c r="V14" s="99" t="n">
        <v>4</v>
      </c>
      <c r="W14" s="99" t="n">
        <v>4</v>
      </c>
      <c r="X14" s="99" t="n">
        <v>4</v>
      </c>
      <c r="Y14" s="99" t="n">
        <v>4</v>
      </c>
      <c r="Z14" s="99" t="n">
        <v>4</v>
      </c>
      <c r="AA14" s="99" t="n">
        <v>4</v>
      </c>
      <c r="AB14" s="99" t="n">
        <v>4</v>
      </c>
      <c r="AC14" s="99" t="n">
        <v>4</v>
      </c>
      <c r="AD14" s="99" t="n">
        <v>4</v>
      </c>
      <c r="AE14" s="99" t="n">
        <v>4</v>
      </c>
      <c r="AF14" s="99" t="n">
        <v>4</v>
      </c>
      <c r="AG14" s="99" t="n">
        <v>4</v>
      </c>
      <c r="AH14" s="99" t="n">
        <v>4</v>
      </c>
      <c r="AI14" s="99" t="n">
        <v>4</v>
      </c>
      <c r="AJ14" s="99" t="n">
        <v>4</v>
      </c>
      <c r="AK14" s="99" t="n">
        <v>4</v>
      </c>
      <c r="AL14" s="99" t="n">
        <v>4</v>
      </c>
      <c r="AM14" s="99" t="n">
        <v>4</v>
      </c>
      <c r="AN14" s="99" t="n">
        <v>4</v>
      </c>
      <c r="AO14" s="99" t="n">
        <v>4</v>
      </c>
      <c r="AP14" s="99" t="n">
        <v>4</v>
      </c>
      <c r="AQ14" s="99" t="n">
        <v>4</v>
      </c>
      <c r="AR14" s="99" t="n">
        <v>4</v>
      </c>
      <c r="AS14" s="99" t="n">
        <v>4</v>
      </c>
      <c r="AT14" s="99" t="n">
        <v>4</v>
      </c>
      <c r="AU14" s="99" t="n">
        <v>4</v>
      </c>
      <c r="AV14" s="99" t="n">
        <v>4</v>
      </c>
      <c r="AW14" s="99" t="n">
        <v>4</v>
      </c>
      <c r="AX14" s="99" t="n">
        <v>4</v>
      </c>
      <c r="AY14" s="99" t="n">
        <v>4</v>
      </c>
      <c r="AZ14" s="99" t="n">
        <v>1</v>
      </c>
      <c r="BA14" s="99" t="n">
        <v>1</v>
      </c>
      <c r="BB14" s="99" t="n">
        <v>1</v>
      </c>
      <c r="BC14" s="22" t="n"/>
      <c r="BD14" s="22" t="n"/>
      <c r="BE14" s="22" t="n"/>
      <c r="BF14" s="22" t="n"/>
    </row>
    <row r="15">
      <c r="A15" s="43" t="inlineStr">
        <is>
          <t>AGIS-FN-SINALEIRO</t>
        </is>
      </c>
      <c r="B15" s="43" t="inlineStr">
        <is>
          <t>Sinaleiro</t>
        </is>
      </c>
      <c r="C15" s="46" t="inlineStr">
        <is>
          <t>pax</t>
        </is>
      </c>
      <c r="D15" s="90" t="n">
        <v>2</v>
      </c>
      <c r="E15" s="90" t="n">
        <v>2</v>
      </c>
      <c r="F15" s="90" t="n">
        <v>2</v>
      </c>
      <c r="G15" s="90" t="n">
        <v>2</v>
      </c>
      <c r="H15" s="90" t="n">
        <v>2</v>
      </c>
      <c r="I15" s="90" t="n">
        <v>2</v>
      </c>
      <c r="J15" s="90" t="n">
        <v>2</v>
      </c>
      <c r="K15" s="90" t="n">
        <v>2</v>
      </c>
      <c r="L15" s="90" t="n">
        <v>2</v>
      </c>
      <c r="M15" s="90" t="n">
        <v>2</v>
      </c>
      <c r="N15" s="90" t="n">
        <v>2</v>
      </c>
      <c r="O15" s="90" t="n">
        <v>2</v>
      </c>
      <c r="P15" s="90" t="n">
        <v>2</v>
      </c>
      <c r="Q15" s="90" t="n">
        <v>2</v>
      </c>
      <c r="R15" s="90" t="n">
        <v>2</v>
      </c>
      <c r="S15" s="90" t="n">
        <v>2</v>
      </c>
      <c r="T15" s="90" t="n">
        <v>2</v>
      </c>
      <c r="U15" s="90" t="n">
        <v>2</v>
      </c>
      <c r="V15" s="90" t="n">
        <v>2</v>
      </c>
      <c r="W15" s="90" t="n">
        <v>2</v>
      </c>
      <c r="X15" s="90" t="n">
        <v>2</v>
      </c>
      <c r="Y15" s="90" t="n">
        <v>2</v>
      </c>
      <c r="Z15" s="90" t="n">
        <v>2</v>
      </c>
      <c r="AA15" s="90" t="n">
        <v>2</v>
      </c>
      <c r="AB15" s="90" t="n">
        <v>2</v>
      </c>
      <c r="AC15" s="90" t="n">
        <v>2</v>
      </c>
      <c r="AD15" s="90" t="n">
        <v>2</v>
      </c>
      <c r="AE15" s="90" t="n">
        <v>2</v>
      </c>
      <c r="AF15" s="90" t="n">
        <v>2</v>
      </c>
      <c r="AG15" s="90" t="n">
        <v>2</v>
      </c>
      <c r="AH15" s="90" t="n">
        <v>2</v>
      </c>
      <c r="AI15" s="90" t="n">
        <v>2</v>
      </c>
      <c r="AJ15" s="90" t="n">
        <v>2</v>
      </c>
      <c r="AK15" s="90" t="n">
        <v>2</v>
      </c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</row>
    <row r="17">
      <c r="A17" s="127" t="inlineStr">
        <is>
          <t>TOTAL SEMANAL</t>
        </is>
      </c>
      <c r="D17" s="128" t="n">
        <v>14</v>
      </c>
      <c r="E17" s="128" t="n">
        <v>14</v>
      </c>
      <c r="F17" s="128" t="n">
        <v>88</v>
      </c>
      <c r="G17" s="128" t="n">
        <v>88</v>
      </c>
      <c r="H17" s="128" t="n">
        <v>88</v>
      </c>
      <c r="I17" s="128" t="n">
        <v>88</v>
      </c>
      <c r="J17" s="128" t="n">
        <v>88</v>
      </c>
      <c r="K17" s="128" t="n">
        <v>88</v>
      </c>
      <c r="L17" s="128" t="n">
        <v>88</v>
      </c>
      <c r="M17" s="128" t="n">
        <v>88</v>
      </c>
      <c r="N17" s="128" t="n">
        <v>88</v>
      </c>
      <c r="O17" s="128" t="n">
        <v>88</v>
      </c>
      <c r="P17" s="128" t="n">
        <v>98</v>
      </c>
      <c r="Q17" s="128" t="n">
        <v>145</v>
      </c>
      <c r="R17" s="128" t="n">
        <v>145</v>
      </c>
      <c r="S17" s="128" t="n">
        <v>145</v>
      </c>
      <c r="T17" s="128" t="n">
        <v>145</v>
      </c>
      <c r="U17" s="128" t="n">
        <v>121</v>
      </c>
      <c r="V17" s="128" t="n">
        <v>121</v>
      </c>
      <c r="W17" s="128" t="n">
        <v>121</v>
      </c>
      <c r="X17" s="128" t="n">
        <v>121</v>
      </c>
      <c r="Y17" s="128" t="n">
        <v>142</v>
      </c>
      <c r="Z17" s="128" t="n">
        <v>132</v>
      </c>
      <c r="AA17" s="128" t="n">
        <v>132</v>
      </c>
      <c r="AB17" s="128" t="n">
        <v>132</v>
      </c>
      <c r="AC17" s="128" t="n">
        <v>132</v>
      </c>
      <c r="AD17" s="128" t="n">
        <v>132</v>
      </c>
      <c r="AE17" s="128" t="n">
        <v>132</v>
      </c>
      <c r="AF17" s="128" t="n">
        <v>132</v>
      </c>
      <c r="AG17" s="128" t="n">
        <v>132</v>
      </c>
      <c r="AH17" s="128" t="n">
        <v>132</v>
      </c>
      <c r="AI17" s="128" t="n">
        <v>132</v>
      </c>
      <c r="AJ17" s="128" t="n">
        <v>132</v>
      </c>
      <c r="AK17" s="128" t="n">
        <v>132</v>
      </c>
      <c r="AL17" s="128" t="n">
        <v>118</v>
      </c>
      <c r="AM17" s="128" t="n">
        <v>118</v>
      </c>
      <c r="AN17" s="128" t="n">
        <v>88</v>
      </c>
      <c r="AO17" s="128" t="n">
        <v>88</v>
      </c>
      <c r="AP17" s="128" t="n">
        <v>88</v>
      </c>
      <c r="AQ17" s="128" t="n">
        <v>88</v>
      </c>
      <c r="AR17" s="128" t="n">
        <v>88</v>
      </c>
      <c r="AS17" s="128" t="n">
        <v>86</v>
      </c>
      <c r="AT17" s="128" t="n">
        <v>86</v>
      </c>
      <c r="AU17" s="128" t="n">
        <v>86</v>
      </c>
      <c r="AV17" s="128" t="n">
        <v>75</v>
      </c>
      <c r="AW17" s="128" t="n">
        <v>75</v>
      </c>
      <c r="AX17" s="128" t="n">
        <v>75</v>
      </c>
      <c r="AY17" s="128" t="n">
        <v>75</v>
      </c>
      <c r="AZ17" s="128" t="n">
        <v>30</v>
      </c>
      <c r="BA17" s="128" t="n">
        <v>37</v>
      </c>
      <c r="BB17" s="128" t="n">
        <v>37</v>
      </c>
      <c r="BC17" s="128" t="n">
        <v>28</v>
      </c>
      <c r="BD17" s="128" t="n">
        <v>28</v>
      </c>
      <c r="BE17" s="128" t="n">
        <v>7</v>
      </c>
      <c r="BF17" s="128" t="n">
        <v>7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Histograma de Equipamentos</t>
        </is>
      </c>
      <c r="D1" t="inlineStr">
        <is>
          <t>Histograma de Mao de Obra</t>
        </is>
      </c>
      <c r="G1" t="inlineStr">
        <is>
          <t>Cronograma (Gantt)</t>
        </is>
      </c>
    </row>
    <row r="2">
      <c r="A2" t="inlineStr">
        <is>
          <t>Categoria</t>
        </is>
      </c>
      <c r="B2" t="inlineStr">
        <is>
          <t>Valor</t>
        </is>
      </c>
      <c r="D2" t="inlineStr">
        <is>
          <t>Categoria</t>
        </is>
      </c>
      <c r="E2" t="inlineStr">
        <is>
          <t>Valor</t>
        </is>
      </c>
      <c r="G2" t="inlineStr">
        <is>
          <t>Tarefa</t>
        </is>
      </c>
      <c r="H2" t="inlineStr">
        <is>
          <t>Inicio</t>
        </is>
      </c>
      <c r="I2" t="inlineStr">
        <is>
          <t>Duracao (dias)</t>
        </is>
      </c>
    </row>
    <row r="3">
      <c r="A3" t="inlineStr">
        <is>
          <t>01/Jun</t>
        </is>
      </c>
      <c r="B3" s="129" t="n">
        <v>6</v>
      </c>
      <c r="D3" t="inlineStr">
        <is>
          <t>01/Jun</t>
        </is>
      </c>
      <c r="E3" s="129" t="n">
        <v>14</v>
      </c>
      <c r="G3" t="inlineStr">
        <is>
          <t>eap-1_0</t>
        </is>
      </c>
      <c r="H3" t="n">
        <v>0</v>
      </c>
      <c r="I3" t="n">
        <v>238</v>
      </c>
    </row>
    <row r="4">
      <c r="A4" t="inlineStr">
        <is>
          <t>08/Jun</t>
        </is>
      </c>
      <c r="B4" s="129" t="n">
        <v>6</v>
      </c>
      <c r="D4" t="inlineStr">
        <is>
          <t>08/Jun</t>
        </is>
      </c>
      <c r="E4" s="129" t="n">
        <v>14</v>
      </c>
      <c r="G4" t="inlineStr">
        <is>
          <t>eap-1_1</t>
        </is>
      </c>
      <c r="H4" t="n">
        <v>84</v>
      </c>
      <c r="I4" t="n">
        <v>70</v>
      </c>
    </row>
    <row r="5">
      <c r="A5" t="inlineStr">
        <is>
          <t>15/Jun</t>
        </is>
      </c>
      <c r="B5" s="129" t="n">
        <v>70</v>
      </c>
      <c r="D5" t="inlineStr">
        <is>
          <t>15/Jun</t>
        </is>
      </c>
      <c r="E5" s="129" t="n">
        <v>88</v>
      </c>
      <c r="G5" t="inlineStr">
        <is>
          <t>eap-1_2</t>
        </is>
      </c>
      <c r="H5" t="n">
        <v>91</v>
      </c>
      <c r="I5" t="n">
        <v>217</v>
      </c>
    </row>
    <row r="6">
      <c r="A6" t="inlineStr">
        <is>
          <t>22/Jun</t>
        </is>
      </c>
      <c r="B6" s="129" t="n">
        <v>70</v>
      </c>
      <c r="D6" t="inlineStr">
        <is>
          <t>22/Jun</t>
        </is>
      </c>
      <c r="E6" s="129" t="n">
        <v>88</v>
      </c>
      <c r="G6" t="inlineStr">
        <is>
          <t>eap-1_3</t>
        </is>
      </c>
      <c r="H6" t="n">
        <v>287</v>
      </c>
      <c r="I6" t="n">
        <v>49</v>
      </c>
    </row>
    <row r="7">
      <c r="A7" t="inlineStr">
        <is>
          <t>29/Jun</t>
        </is>
      </c>
      <c r="B7" s="129" t="n">
        <v>70</v>
      </c>
      <c r="D7" t="inlineStr">
        <is>
          <t>29/Jun</t>
        </is>
      </c>
      <c r="E7" s="129" t="n">
        <v>88</v>
      </c>
      <c r="G7" t="inlineStr">
        <is>
          <t>eap-1_4</t>
        </is>
      </c>
      <c r="H7" t="n">
        <v>14</v>
      </c>
      <c r="I7" t="n">
        <v>273</v>
      </c>
    </row>
    <row r="8">
      <c r="A8" t="inlineStr">
        <is>
          <t>06/Jul</t>
        </is>
      </c>
      <c r="B8" s="129" t="n">
        <v>70</v>
      </c>
      <c r="D8" t="inlineStr">
        <is>
          <t>06/Jul</t>
        </is>
      </c>
      <c r="E8" s="129" t="n">
        <v>88</v>
      </c>
      <c r="G8" t="inlineStr">
        <is>
          <t>eap-1_5</t>
        </is>
      </c>
      <c r="H8" t="n">
        <v>14</v>
      </c>
      <c r="I8" t="n">
        <v>105</v>
      </c>
    </row>
    <row r="9">
      <c r="A9" t="inlineStr">
        <is>
          <t>13/Jul</t>
        </is>
      </c>
      <c r="B9" s="129" t="n">
        <v>70</v>
      </c>
      <c r="D9" t="inlineStr">
        <is>
          <t>13/Jul</t>
        </is>
      </c>
      <c r="E9" s="129" t="n">
        <v>88</v>
      </c>
      <c r="G9" t="inlineStr">
        <is>
          <t>eap-1_6</t>
        </is>
      </c>
      <c r="H9" t="n">
        <v>14</v>
      </c>
      <c r="I9" t="n">
        <v>238</v>
      </c>
    </row>
    <row r="10">
      <c r="A10" t="inlineStr">
        <is>
          <t>20/Jul</t>
        </is>
      </c>
      <c r="B10" s="129" t="n">
        <v>70</v>
      </c>
      <c r="D10" t="inlineStr">
        <is>
          <t>20/Jul</t>
        </is>
      </c>
      <c r="E10" s="129" t="n">
        <v>88</v>
      </c>
      <c r="G10" t="inlineStr">
        <is>
          <t>eap-1_7</t>
        </is>
      </c>
      <c r="H10" t="n">
        <v>91</v>
      </c>
      <c r="I10" t="n">
        <v>245</v>
      </c>
    </row>
    <row r="11">
      <c r="A11" t="inlineStr">
        <is>
          <t>27/Jul</t>
        </is>
      </c>
      <c r="B11" s="129" t="n">
        <v>70</v>
      </c>
      <c r="D11" t="inlineStr">
        <is>
          <t>27/Jul</t>
        </is>
      </c>
      <c r="E11" s="129" t="n">
        <v>88</v>
      </c>
      <c r="G11" t="inlineStr">
        <is>
          <t>eap-1_8</t>
        </is>
      </c>
      <c r="H11" t="n">
        <v>336</v>
      </c>
      <c r="I11" t="n">
        <v>21</v>
      </c>
    </row>
    <row r="12">
      <c r="A12" t="inlineStr">
        <is>
          <t>03/Ago</t>
        </is>
      </c>
      <c r="B12" s="129" t="n">
        <v>70</v>
      </c>
      <c r="D12" t="inlineStr">
        <is>
          <t>03/Ago</t>
        </is>
      </c>
      <c r="E12" s="129" t="n">
        <v>88</v>
      </c>
      <c r="G12" t="inlineStr">
        <is>
          <t>eap-1_9</t>
        </is>
      </c>
      <c r="H12" t="n">
        <v>147</v>
      </c>
      <c r="I12" t="n">
        <v>224</v>
      </c>
    </row>
    <row r="13">
      <c r="A13" t="inlineStr">
        <is>
          <t>10/Ago</t>
        </is>
      </c>
      <c r="B13" s="129" t="n">
        <v>70</v>
      </c>
      <c r="D13" t="inlineStr">
        <is>
          <t>10/Ago</t>
        </is>
      </c>
      <c r="E13" s="129" t="n">
        <v>88</v>
      </c>
      <c r="G13" t="inlineStr">
        <is>
          <t>eap-1_10</t>
        </is>
      </c>
      <c r="H13" t="n">
        <v>343</v>
      </c>
      <c r="I13" t="n">
        <v>42</v>
      </c>
    </row>
    <row r="14">
      <c r="A14" t="inlineStr">
        <is>
          <t>17/Ago</t>
        </is>
      </c>
      <c r="B14" s="129" t="n">
        <v>70</v>
      </c>
      <c r="D14" t="inlineStr">
        <is>
          <t>17/Ago</t>
        </is>
      </c>
      <c r="E14" s="129" t="n">
        <v>88</v>
      </c>
    </row>
    <row r="15">
      <c r="A15" t="inlineStr">
        <is>
          <t>24/Ago</t>
        </is>
      </c>
      <c r="B15" s="129" t="n">
        <v>78</v>
      </c>
      <c r="D15" t="inlineStr">
        <is>
          <t>24/Ago</t>
        </is>
      </c>
      <c r="E15" s="129" t="n">
        <v>98</v>
      </c>
    </row>
    <row r="16">
      <c r="A16" t="inlineStr">
        <is>
          <t>31/Ago</t>
        </is>
      </c>
      <c r="B16" s="129" t="n">
        <v>107</v>
      </c>
      <c r="D16" t="inlineStr">
        <is>
          <t>31/Ago</t>
        </is>
      </c>
      <c r="E16" s="129" t="n">
        <v>145</v>
      </c>
    </row>
    <row r="17">
      <c r="A17" t="inlineStr">
        <is>
          <t>07/Set</t>
        </is>
      </c>
      <c r="B17" s="129" t="n">
        <v>107</v>
      </c>
      <c r="D17" t="inlineStr">
        <is>
          <t>07/Set</t>
        </is>
      </c>
      <c r="E17" s="129" t="n">
        <v>145</v>
      </c>
    </row>
    <row r="18">
      <c r="A18" t="inlineStr">
        <is>
          <t>14/Set</t>
        </is>
      </c>
      <c r="B18" s="129" t="n">
        <v>107</v>
      </c>
      <c r="D18" t="inlineStr">
        <is>
          <t>14/Set</t>
        </is>
      </c>
      <c r="E18" s="129" t="n">
        <v>145</v>
      </c>
    </row>
    <row r="19">
      <c r="A19" t="inlineStr">
        <is>
          <t>21/Set</t>
        </is>
      </c>
      <c r="B19" s="129" t="n">
        <v>107</v>
      </c>
      <c r="D19" t="inlineStr">
        <is>
          <t>21/Set</t>
        </is>
      </c>
      <c r="E19" s="129" t="n">
        <v>145</v>
      </c>
    </row>
    <row r="20">
      <c r="A20" t="inlineStr">
        <is>
          <t>Fluxo mensal</t>
        </is>
      </c>
      <c r="B20" s="129" t="n">
        <v>86</v>
      </c>
      <c r="D20" t="inlineStr">
        <is>
          <t>28/Set</t>
        </is>
      </c>
      <c r="E20" s="129" t="n">
        <v>121</v>
      </c>
    </row>
    <row r="21">
      <c r="A21" t="inlineStr">
        <is>
          <t>Mes</t>
        </is>
      </c>
      <c r="B21" s="129" t="inlineStr">
        <is>
          <t>Receita</t>
        </is>
      </c>
      <c r="C21" t="inlineStr">
        <is>
          <t>Despesa</t>
        </is>
      </c>
      <c r="D21" t="inlineStr">
        <is>
          <t>Saldo</t>
        </is>
      </c>
      <c r="E21" s="129" t="inlineStr">
        <is>
          <t>Exposicao</t>
        </is>
      </c>
    </row>
    <row r="22">
      <c r="A22" t="inlineStr">
        <is>
          <t>Jun/26</t>
        </is>
      </c>
      <c r="B22" s="129" t="n">
        <v>0</v>
      </c>
      <c r="C22" s="129" t="n">
        <v>8083316.404494153</v>
      </c>
      <c r="D22" s="129" t="n">
        <v>-8083316.404494153</v>
      </c>
      <c r="E22" s="129" t="n">
        <v>8083316.404494153</v>
      </c>
    </row>
    <row r="23">
      <c r="A23" t="inlineStr">
        <is>
          <t>Jul/26</t>
        </is>
      </c>
      <c r="B23" s="129" t="n">
        <v>6587674</v>
      </c>
      <c r="C23" s="129" t="n">
        <v>4807790.607421537</v>
      </c>
      <c r="D23" s="129" t="n">
        <v>1779883.392578463</v>
      </c>
      <c r="E23" s="129" t="n">
        <v>6303433.011915691</v>
      </c>
    </row>
    <row r="24">
      <c r="A24" t="inlineStr">
        <is>
          <t>Ago/26</t>
        </is>
      </c>
      <c r="B24" s="129" t="n">
        <v>6587674</v>
      </c>
      <c r="C24" s="129" t="n">
        <v>6278658.508034099</v>
      </c>
      <c r="D24" s="129" t="n">
        <v>309015.4919659011</v>
      </c>
      <c r="E24" s="129" t="n">
        <v>5994417.51994979</v>
      </c>
    </row>
    <row r="25">
      <c r="A25" t="inlineStr">
        <is>
          <t>Set/26</t>
        </is>
      </c>
      <c r="B25" s="129" t="n">
        <v>6587674</v>
      </c>
      <c r="C25" s="129" t="n">
        <v>6401356.045632096</v>
      </c>
      <c r="D25" s="129" t="n">
        <v>186317.954367904</v>
      </c>
      <c r="E25" s="129" t="n">
        <v>5808099.565581888</v>
      </c>
    </row>
    <row r="26">
      <c r="A26" t="inlineStr">
        <is>
          <t>Out/26</t>
        </is>
      </c>
      <c r="B26" s="129" t="n">
        <v>6587674</v>
      </c>
      <c r="C26" s="129" t="n">
        <v>5395086.142060563</v>
      </c>
      <c r="D26" s="129" t="n">
        <v>1192587.857939437</v>
      </c>
      <c r="E26" s="129" t="n">
        <v>4615511.707642451</v>
      </c>
    </row>
    <row r="27">
      <c r="A27" t="inlineStr">
        <is>
          <t>Nov/26</t>
        </is>
      </c>
      <c r="B27" s="129" t="n">
        <v>6587674</v>
      </c>
      <c r="C27" s="129" t="n">
        <v>6704830.864765614</v>
      </c>
      <c r="D27" s="129" t="n">
        <v>-117156.8647656143</v>
      </c>
      <c r="E27" s="129" t="n">
        <v>4732668.572408065</v>
      </c>
    </row>
    <row r="28">
      <c r="A28" t="inlineStr">
        <is>
          <t>Dez/26</t>
        </is>
      </c>
      <c r="B28" s="129" t="n">
        <v>6587674</v>
      </c>
      <c r="C28" s="129" t="n">
        <v>5602786.827812491</v>
      </c>
      <c r="D28" s="129" t="n">
        <v>984887.172187509</v>
      </c>
      <c r="E28" s="129" t="n">
        <v>3747781.400220558</v>
      </c>
    </row>
    <row r="29">
      <c r="A29" t="inlineStr">
        <is>
          <t>Jan/27</t>
        </is>
      </c>
      <c r="B29" s="129" t="n">
        <v>6587674</v>
      </c>
      <c r="C29" s="129" t="n">
        <v>5094563.081178199</v>
      </c>
      <c r="D29" s="129" t="n">
        <v>1493110.918821801</v>
      </c>
      <c r="E29" s="129" t="n">
        <v>2254670.481398754</v>
      </c>
    </row>
    <row r="30">
      <c r="A30" t="inlineStr">
        <is>
          <t>Fev/27</t>
        </is>
      </c>
      <c r="B30" s="129" t="n">
        <v>6587674</v>
      </c>
      <c r="C30" s="129" t="n">
        <v>3822326.315049112</v>
      </c>
      <c r="D30" s="129" t="n">
        <v>2765347.684950888</v>
      </c>
      <c r="E30" s="129" t="n">
        <v>-510677.2035521343</v>
      </c>
    </row>
    <row r="31">
      <c r="A31" t="inlineStr">
        <is>
          <t>Mar/27</t>
        </is>
      </c>
      <c r="B31" s="129" t="n">
        <v>6587674</v>
      </c>
      <c r="C31" s="129" t="n">
        <v>3661772.181058617</v>
      </c>
      <c r="D31" s="129" t="n">
        <v>2925901.818941383</v>
      </c>
      <c r="E31" s="129" t="n">
        <v>-3436579.022493519</v>
      </c>
    </row>
    <row r="32">
      <c r="A32" t="inlineStr">
        <is>
          <t>Abr/27</t>
        </is>
      </c>
      <c r="B32" s="129" t="n">
        <v>6587674</v>
      </c>
      <c r="C32" s="129" t="n">
        <v>3474542.010760801</v>
      </c>
      <c r="D32" s="129" t="n">
        <v>3113131.989239199</v>
      </c>
      <c r="E32" s="129" t="n">
        <v>-6549711.01173272</v>
      </c>
    </row>
    <row r="33">
      <c r="A33" t="inlineStr">
        <is>
          <t>Mai/27</t>
        </is>
      </c>
      <c r="B33" s="129" t="n">
        <v>6587674</v>
      </c>
      <c r="C33" s="129" t="n">
        <v>2490519.995074312</v>
      </c>
      <c r="D33" s="129" t="n">
        <v>4097154.004925688</v>
      </c>
      <c r="E33" s="129" t="n">
        <v>-10646865.01665841</v>
      </c>
    </row>
    <row r="34">
      <c r="A34" t="inlineStr">
        <is>
          <t>Jun/27</t>
        </is>
      </c>
      <c r="B34" s="129" t="n">
        <v>6587674</v>
      </c>
      <c r="C34" s="129" t="n">
        <v>1292197.916359129</v>
      </c>
      <c r="D34" s="129" t="n">
        <v>5295476.083640872</v>
      </c>
      <c r="E34" s="129" t="n">
        <v>-15942341.10029928</v>
      </c>
    </row>
    <row r="35">
      <c r="A35" t="inlineStr">
        <is>
          <t>Jul/27</t>
        </is>
      </c>
      <c r="B35" s="129" t="n">
        <v>6587686.049999997</v>
      </c>
      <c r="C35" s="129" t="n">
        <v>0</v>
      </c>
      <c r="D35" s="129" t="n">
        <v>6587686.049999997</v>
      </c>
      <c r="E35" s="129" t="n">
        <v>-22530027.15029928</v>
      </c>
    </row>
    <row r="36">
      <c r="A36" t="inlineStr">
        <is>
          <t>18/Jan</t>
        </is>
      </c>
      <c r="B36" s="129" t="n">
        <v>87</v>
      </c>
      <c r="D36" t="inlineStr">
        <is>
          <t>18/Jan</t>
        </is>
      </c>
      <c r="E36" s="129" t="n">
        <v>132</v>
      </c>
    </row>
    <row r="37">
      <c r="A37" t="inlineStr">
        <is>
          <t>25/Jan</t>
        </is>
      </c>
      <c r="B37" s="129" t="n">
        <v>81</v>
      </c>
      <c r="D37" t="inlineStr">
        <is>
          <t>25/Jan</t>
        </is>
      </c>
      <c r="E37" s="129" t="n">
        <v>118</v>
      </c>
    </row>
    <row r="38">
      <c r="A38" t="inlineStr">
        <is>
          <t>01/Fev</t>
        </is>
      </c>
      <c r="B38" s="129" t="n">
        <v>81</v>
      </c>
      <c r="D38" t="inlineStr">
        <is>
          <t>01/Fev</t>
        </is>
      </c>
      <c r="E38" s="129" t="n">
        <v>118</v>
      </c>
    </row>
    <row r="39">
      <c r="A39" t="inlineStr">
        <is>
          <t>08/Fev</t>
        </is>
      </c>
      <c r="B39" s="129" t="n">
        <v>54</v>
      </c>
      <c r="D39" t="inlineStr">
        <is>
          <t>08/Fev</t>
        </is>
      </c>
      <c r="E39" s="129" t="n">
        <v>88</v>
      </c>
    </row>
    <row r="40">
      <c r="A40" t="inlineStr">
        <is>
          <t>15/Fev</t>
        </is>
      </c>
      <c r="B40" s="129" t="n">
        <v>54</v>
      </c>
      <c r="D40" t="inlineStr">
        <is>
          <t>15/Fev</t>
        </is>
      </c>
      <c r="E40" s="129" t="n">
        <v>88</v>
      </c>
    </row>
    <row r="41">
      <c r="A41" t="inlineStr">
        <is>
          <t>22/Fev</t>
        </is>
      </c>
      <c r="B41" s="129" t="n">
        <v>54</v>
      </c>
      <c r="D41" t="inlineStr">
        <is>
          <t>22/Fev</t>
        </is>
      </c>
      <c r="E41" s="129" t="n">
        <v>88</v>
      </c>
    </row>
    <row r="42">
      <c r="A42" t="inlineStr">
        <is>
          <t>01/Mar</t>
        </is>
      </c>
      <c r="B42" s="129" t="n">
        <v>54</v>
      </c>
      <c r="D42" t="inlineStr">
        <is>
          <t>01/Mar</t>
        </is>
      </c>
      <c r="E42" s="129" t="n">
        <v>88</v>
      </c>
    </row>
    <row r="43">
      <c r="A43" t="inlineStr">
        <is>
          <t>08/Mar</t>
        </is>
      </c>
      <c r="B43" s="129" t="n">
        <v>54</v>
      </c>
      <c r="D43" t="inlineStr">
        <is>
          <t>08/Mar</t>
        </is>
      </c>
      <c r="E43" s="129" t="n">
        <v>88</v>
      </c>
    </row>
    <row r="44">
      <c r="A44" t="inlineStr">
        <is>
          <t>15/Mar</t>
        </is>
      </c>
      <c r="B44" s="129" t="n">
        <v>52</v>
      </c>
      <c r="D44" t="inlineStr">
        <is>
          <t>15/Mar</t>
        </is>
      </c>
      <c r="E44" s="129" t="n">
        <v>86</v>
      </c>
    </row>
    <row r="45">
      <c r="A45" t="inlineStr">
        <is>
          <t>22/Mar</t>
        </is>
      </c>
      <c r="B45" s="129" t="n">
        <v>52</v>
      </c>
      <c r="D45" t="inlineStr">
        <is>
          <t>22/Mar</t>
        </is>
      </c>
      <c r="E45" s="129" t="n">
        <v>86</v>
      </c>
    </row>
    <row r="46">
      <c r="A46" t="inlineStr">
        <is>
          <t>29/Mar</t>
        </is>
      </c>
      <c r="B46" s="129" t="n">
        <v>52</v>
      </c>
      <c r="D46" t="inlineStr">
        <is>
          <t>29/Mar</t>
        </is>
      </c>
      <c r="E46" s="129" t="n">
        <v>86</v>
      </c>
    </row>
    <row r="47">
      <c r="A47" t="inlineStr">
        <is>
          <t>05/Abr</t>
        </is>
      </c>
      <c r="B47" s="129" t="n">
        <v>43</v>
      </c>
      <c r="D47" t="inlineStr">
        <is>
          <t>05/Abr</t>
        </is>
      </c>
      <c r="E47" s="129" t="n">
        <v>75</v>
      </c>
    </row>
    <row r="48">
      <c r="A48" t="inlineStr">
        <is>
          <t>12/Abr</t>
        </is>
      </c>
      <c r="B48" s="129" t="n">
        <v>43</v>
      </c>
      <c r="D48" t="inlineStr">
        <is>
          <t>12/Abr</t>
        </is>
      </c>
      <c r="E48" s="129" t="n">
        <v>75</v>
      </c>
    </row>
    <row r="49">
      <c r="A49" t="inlineStr">
        <is>
          <t>19/Abr</t>
        </is>
      </c>
      <c r="B49" s="129" t="n">
        <v>43</v>
      </c>
      <c r="D49" t="inlineStr">
        <is>
          <t>19/Abr</t>
        </is>
      </c>
      <c r="E49" s="129" t="n">
        <v>75</v>
      </c>
    </row>
    <row r="50">
      <c r="A50" t="inlineStr">
        <is>
          <t>26/Abr</t>
        </is>
      </c>
      <c r="B50" s="129" t="n">
        <v>43</v>
      </c>
      <c r="D50" t="inlineStr">
        <is>
          <t>26/Abr</t>
        </is>
      </c>
      <c r="E50" s="129" t="n">
        <v>75</v>
      </c>
    </row>
    <row r="51">
      <c r="A51" t="inlineStr">
        <is>
          <t>03/Mai</t>
        </is>
      </c>
      <c r="B51" s="129" t="n">
        <v>14</v>
      </c>
      <c r="D51" t="inlineStr">
        <is>
          <t>03/Mai</t>
        </is>
      </c>
      <c r="E51" s="129" t="n">
        <v>30</v>
      </c>
    </row>
    <row r="52">
      <c r="A52" t="inlineStr">
        <is>
          <t>10/Mai</t>
        </is>
      </c>
      <c r="B52" s="129" t="n">
        <v>19</v>
      </c>
      <c r="D52" t="inlineStr">
        <is>
          <t>10/Mai</t>
        </is>
      </c>
      <c r="E52" s="129" t="n">
        <v>37</v>
      </c>
    </row>
    <row r="53">
      <c r="A53" t="inlineStr">
        <is>
          <t>17/Mai</t>
        </is>
      </c>
      <c r="B53" s="129" t="n">
        <v>19</v>
      </c>
      <c r="D53" t="inlineStr">
        <is>
          <t>17/Mai</t>
        </is>
      </c>
      <c r="E53" s="129" t="n">
        <v>37</v>
      </c>
    </row>
    <row r="54">
      <c r="A54" t="inlineStr">
        <is>
          <t>24/Mai</t>
        </is>
      </c>
      <c r="B54" s="129" t="n">
        <v>14</v>
      </c>
      <c r="D54" t="inlineStr">
        <is>
          <t>24/Mai</t>
        </is>
      </c>
      <c r="E54" s="129" t="n">
        <v>28</v>
      </c>
    </row>
    <row r="55">
      <c r="A55" t="inlineStr">
        <is>
          <t>31/Mai</t>
        </is>
      </c>
      <c r="B55" s="129" t="n">
        <v>14</v>
      </c>
      <c r="D55" t="inlineStr">
        <is>
          <t>31/Mai</t>
        </is>
      </c>
      <c r="E55" s="129" t="n">
        <v>28</v>
      </c>
    </row>
    <row r="56">
      <c r="A56" t="inlineStr">
        <is>
          <t>07/Jun</t>
        </is>
      </c>
      <c r="B56" s="129" t="n">
        <v>5</v>
      </c>
      <c r="D56" t="inlineStr">
        <is>
          <t>07/Jun</t>
        </is>
      </c>
      <c r="E56" s="129" t="n">
        <v>7</v>
      </c>
    </row>
    <row r="57">
      <c r="A57" t="inlineStr">
        <is>
          <t>14/Jun</t>
        </is>
      </c>
      <c r="B57" s="129" t="n">
        <v>5</v>
      </c>
      <c r="D57" t="inlineStr">
        <is>
          <t>14/Jun</t>
        </is>
      </c>
      <c r="E57" s="129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2026-06-01T23:08:46Z</dcterms:created>
  <dcterms:modified xsi:type="dcterms:W3CDTF">2026-06-01T23:08:53Z</dcterms:modified>
</cp:coreProperties>
</file>